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8B4A2846-E6D7-4110-8BEB-A91DB03A7B83}" xr6:coauthVersionLast="47" xr6:coauthVersionMax="47" xr10:uidLastSave="{00000000-0000-0000-0000-000000000000}"/>
  <bookViews>
    <workbookView xWindow="-98" yWindow="-98" windowWidth="28996" windowHeight="17475" firstSheet="6" activeTab="12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NameLookup" sheetId="33" r:id="rId7"/>
    <sheet name="Calendar" sheetId="2" r:id="rId8"/>
    <sheet name="Leagues" sheetId="32" r:id="rId9"/>
    <sheet name="RoundRobinRiders" sheetId="4" r:id="rId10"/>
    <sheet name="Event_01" sheetId="5" r:id="rId11"/>
    <sheet name="Event_02" sheetId="6" r:id="rId12"/>
    <sheet name="Event_03" sheetId="7" r:id="rId13"/>
    <sheet name="Event_04" sheetId="8" r:id="rId14"/>
    <sheet name="Event_05" sheetId="9" r:id="rId15"/>
    <sheet name="Event_06" sheetId="10" r:id="rId16"/>
    <sheet name="Event_07" sheetId="11" r:id="rId17"/>
    <sheet name="Event_08" sheetId="12" r:id="rId18"/>
    <sheet name="Event_09" sheetId="13" r:id="rId19"/>
    <sheet name="Event_10" sheetId="14" r:id="rId20"/>
    <sheet name="Event_11" sheetId="15" r:id="rId21"/>
    <sheet name="Event_12" sheetId="16" r:id="rId22"/>
    <sheet name="Event_13" sheetId="17" r:id="rId23"/>
    <sheet name="Event_14" sheetId="18" r:id="rId24"/>
    <sheet name="Event_15" sheetId="19" r:id="rId25"/>
    <sheet name="Event_16" sheetId="20" r:id="rId26"/>
    <sheet name="Event_17" sheetId="21" r:id="rId27"/>
    <sheet name="Event_18" sheetId="22" r:id="rId28"/>
    <sheet name="Event_19" sheetId="23" r:id="rId29"/>
    <sheet name="Event_20" sheetId="24" r:id="rId30"/>
    <sheet name="Event_21" sheetId="25" r:id="rId31"/>
    <sheet name="Event_22" sheetId="26" r:id="rId32"/>
    <sheet name="Event_23" sheetId="27" r:id="rId33"/>
    <sheet name="Event_24" sheetId="28" r:id="rId34"/>
    <sheet name="Event_25" sheetId="29" r:id="rId35"/>
    <sheet name="Event_26" sheetId="30" r:id="rId36"/>
    <sheet name="Event_27" sheetId="34" r:id="rId37"/>
    <sheet name="Event_28" sheetId="35" r:id="rId38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B32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/>
  <c r="A213" i="33"/>
  <c r="B213" i="33" s="1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8" i="7" l="1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2" i="7"/>
  <c r="H32" i="7" s="1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<sst xmlns="http://schemas.openxmlformats.org/spreadsheetml/2006/main" count="4898" uniqueCount="520">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</sst>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55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1"/>
    <xf numFmtId="14" fontId="1" fillId="0" borderId="0" xfId="11" applyNumberFormat="1"/>
  </cellXfs>
  <cellStyles count="12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90" zoomScaleNormal="100" workbookViewId="0">
      <selection activeCell="B17" sqref="B17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G2" s="53"/>
      <c r="H2" s="54">
        <v>46119</v>
      </c>
      <c r="J2" s="1"/>
    </row>
    <row r="3" spans="1:10" ht="14.25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  <c r="J3" s="1"/>
    </row>
    <row r="4" spans="1:10" ht="14.25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  <c r="J4" s="1"/>
    </row>
    <row r="5" spans="1:10" ht="14.25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  <c r="J5" s="1"/>
    </row>
    <row r="6" spans="1:10" ht="14.25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  <c r="J6" s="1"/>
    </row>
    <row r="7" spans="1:10" ht="14.25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G7" s="53"/>
      <c r="H7" s="54">
        <v>46119</v>
      </c>
      <c r="J7" s="1"/>
    </row>
    <row r="8" spans="1:10" ht="14.25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  <c r="J8" s="1"/>
    </row>
    <row r="9" spans="1:10" ht="14.25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G9" s="53"/>
      <c r="H9" s="54">
        <v>46119</v>
      </c>
      <c r="J9" s="1"/>
    </row>
    <row r="10" spans="1:10" ht="14.25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  <c r="J10" s="1"/>
    </row>
    <row r="11" spans="1:10" ht="14.25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  <c r="J11" s="1"/>
    </row>
    <row r="12" spans="1:10" ht="14.25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  <c r="J12" s="1"/>
    </row>
    <row r="13" spans="1:10" ht="14.25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  <c r="J13" s="1"/>
    </row>
    <row r="14" spans="1:10" ht="14.25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  <c r="J14" s="1"/>
    </row>
    <row r="15" spans="1:10" ht="14.25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  <c r="J15" s="1"/>
    </row>
    <row r="16" spans="1:10" ht="14.25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  <c r="J16" s="1"/>
    </row>
    <row r="17" spans="1:10" ht="14.25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  <c r="J17" s="1"/>
    </row>
    <row r="18" spans="1:10" ht="14.25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G18" s="53"/>
      <c r="H18" s="54">
        <v>46119</v>
      </c>
      <c r="J18" s="1"/>
    </row>
    <row r="19" spans="1:10" ht="14.25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G19" s="53"/>
      <c r="H19" s="54">
        <v>46119</v>
      </c>
      <c r="J19" s="1"/>
    </row>
    <row r="20" spans="1:10" ht="14.25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  <c r="J20" s="1"/>
    </row>
    <row r="21" spans="1:10" ht="14.25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  <c r="J21" s="1"/>
    </row>
    <row r="22" spans="1:10" ht="14.25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G22" s="53"/>
      <c r="H22" s="54">
        <v>46119</v>
      </c>
      <c r="J22" s="1"/>
    </row>
    <row r="23" spans="1:10" ht="14.25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G23" s="53"/>
      <c r="H23" s="54">
        <v>46119</v>
      </c>
      <c r="J23" s="1"/>
    </row>
    <row r="24" spans="1:10" ht="14.25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  <c r="J24" s="1"/>
    </row>
    <row r="25" spans="1:10" ht="14.25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  <c r="J25" s="1"/>
    </row>
    <row r="26" spans="1:10" ht="14.25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  <c r="J26" s="1"/>
    </row>
    <row r="27" spans="1:10" ht="14.25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  <c r="J27" s="1"/>
    </row>
    <row r="28" spans="1:10" ht="14.25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  <c r="J28" s="1"/>
    </row>
    <row r="29" spans="1:10" ht="14.25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  <c r="J29" s="1"/>
    </row>
    <row r="30" spans="1:10" ht="14.25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G30" s="53"/>
      <c r="H30" s="54">
        <v>46119</v>
      </c>
      <c r="J30" s="1"/>
    </row>
    <row r="31" spans="1:10" ht="14.25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G31" s="53"/>
      <c r="H31" s="54">
        <v>46119</v>
      </c>
      <c r="J31" s="1"/>
    </row>
    <row r="32" spans="1:10" ht="14.25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  <c r="J32" s="1"/>
    </row>
    <row r="33" spans="1:10" ht="14.25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  <c r="J33" s="1"/>
    </row>
    <row r="34" spans="1:10" ht="14.25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G34" s="53"/>
      <c r="H34" s="54">
        <v>46119</v>
      </c>
      <c r="J34" s="1"/>
    </row>
    <row r="35" spans="1:10" ht="14.25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  <c r="J35" s="1"/>
    </row>
    <row r="36" spans="1:10" ht="14.25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  <c r="J36" s="1"/>
    </row>
    <row r="37" spans="1:10" ht="14.25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  <c r="J37" s="1"/>
    </row>
    <row r="38" spans="1:10" ht="14.25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  <c r="J38" s="1"/>
    </row>
    <row r="39" spans="1:10" ht="14.25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  <c r="J39" s="1"/>
    </row>
    <row r="40" spans="1:10" ht="14.25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  <c r="J40" s="1"/>
    </row>
    <row r="41" spans="1:10" ht="14.25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  <c r="J41" s="1"/>
    </row>
    <row r="42" spans="1:10" ht="14.25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  <c r="J42" s="1"/>
    </row>
    <row r="43" spans="1:10" ht="14.25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  <c r="J43" s="1"/>
    </row>
    <row r="44" spans="1:10" ht="14.25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G44" s="53"/>
      <c r="H44" s="54">
        <v>46119</v>
      </c>
      <c r="J44" s="1"/>
    </row>
    <row r="45" spans="1:10" ht="14.25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  <c r="J45" s="1"/>
    </row>
    <row r="46" spans="1:10" ht="14.25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  <c r="J46" s="1"/>
    </row>
    <row r="47" spans="1:10" ht="14.25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  <c r="J47" s="1"/>
    </row>
    <row r="48" spans="1:10" ht="14.25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G48" s="53"/>
      <c r="H48" s="54">
        <v>46119</v>
      </c>
      <c r="J48" s="1"/>
    </row>
    <row r="49" spans="1:10" ht="14.25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G49" s="53"/>
      <c r="H49" s="54">
        <v>46119</v>
      </c>
      <c r="J49" s="1"/>
    </row>
    <row r="50" spans="1:10" ht="14.25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  <c r="J50" s="1"/>
    </row>
    <row r="51" spans="1:10" ht="14.25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G51" s="53"/>
      <c r="H51" s="54">
        <v>46119</v>
      </c>
      <c r="J51" s="1"/>
    </row>
    <row r="52" spans="1:10" ht="14.25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G52" s="53"/>
      <c r="H52" s="54">
        <v>46119</v>
      </c>
      <c r="J52" s="1"/>
    </row>
    <row r="53" spans="1:10" ht="14.25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  <c r="J53" s="1"/>
    </row>
    <row r="54" spans="1:10" ht="14.25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  <c r="J54" s="1"/>
    </row>
    <row r="55" spans="1:10" ht="14.25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G55" s="53"/>
      <c r="H55" s="54">
        <v>46119</v>
      </c>
      <c r="J55" s="1"/>
    </row>
    <row r="56" spans="1:10" ht="14.25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G56" s="53"/>
      <c r="H56" s="54">
        <v>46119</v>
      </c>
      <c r="J56" s="1"/>
    </row>
    <row r="57" spans="1:10" ht="14.25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  <c r="J57" s="1"/>
    </row>
    <row r="58" spans="1:10" ht="14.25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  <c r="J58" s="1"/>
    </row>
    <row r="59" spans="1:10" ht="14.25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G59" s="53"/>
      <c r="H59" s="54">
        <v>46119</v>
      </c>
      <c r="J59" s="1"/>
    </row>
    <row r="60" spans="1:10" ht="14.25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G60" s="53"/>
      <c r="H60" s="54">
        <v>46119</v>
      </c>
      <c r="J60" s="1"/>
    </row>
    <row r="61" spans="1:10" ht="14.25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  <c r="J61" s="1"/>
    </row>
    <row r="62" spans="1:10" ht="14.25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  <c r="J62" s="1"/>
    </row>
    <row r="63" spans="1:10" ht="14.25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G63" s="53"/>
      <c r="H63" s="54">
        <v>46119</v>
      </c>
      <c r="J63" s="1"/>
    </row>
    <row r="64" spans="1:10" ht="14.25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  <c r="J64" s="1"/>
    </row>
    <row r="65" spans="1:10" ht="14.25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  <c r="J65" s="1"/>
    </row>
    <row r="66" spans="1:10" ht="14.25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  <c r="J66" s="1"/>
    </row>
    <row r="67" spans="1:10" ht="14.25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  <c r="J67" s="1"/>
    </row>
    <row r="68" spans="1:10" ht="14.25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G68" s="53"/>
      <c r="H68" s="54">
        <v>46119</v>
      </c>
      <c r="J68" s="1"/>
    </row>
    <row r="69" spans="1:10" ht="14.25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G69" s="53"/>
      <c r="H69" s="54">
        <v>46119</v>
      </c>
      <c r="J69" s="1"/>
    </row>
    <row r="70" spans="1:10" ht="14.25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  <c r="J70" s="1"/>
    </row>
    <row r="71" spans="1:10" ht="14.25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  <c r="J71" s="1"/>
    </row>
    <row r="72" spans="1:10" ht="14.25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G72" s="53"/>
      <c r="H72" s="54">
        <v>46119</v>
      </c>
      <c r="J72" s="1"/>
    </row>
    <row r="73" spans="1:10" ht="14.25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G73" s="53"/>
      <c r="H73" s="54">
        <v>46119</v>
      </c>
      <c r="J73" s="1"/>
    </row>
    <row r="74" spans="1:10" ht="14.25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G74" s="53"/>
      <c r="H74" s="54">
        <v>46119</v>
      </c>
      <c r="J74" s="1"/>
    </row>
    <row r="75" spans="1:10" ht="14.25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G75" s="53"/>
      <c r="H75" s="54">
        <v>46119</v>
      </c>
      <c r="J75" s="1"/>
    </row>
    <row r="76" spans="1:10" ht="14.25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G76" s="53"/>
      <c r="H76" s="54">
        <v>46119</v>
      </c>
      <c r="J76" s="1"/>
    </row>
    <row r="77" spans="1:10" ht="14.25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  <c r="J77" s="1"/>
    </row>
    <row r="78" spans="1:10" ht="14.25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  <c r="J78" s="1"/>
    </row>
    <row r="79" spans="1:10" ht="14.25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G79" s="53"/>
      <c r="H79" s="54">
        <v>46119</v>
      </c>
      <c r="J79" s="1"/>
    </row>
    <row r="80" spans="1:10" ht="14.25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  <c r="J80" s="1"/>
    </row>
    <row r="81" spans="1:10" ht="14.25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G81" s="53"/>
      <c r="H81" s="54">
        <v>46119</v>
      </c>
      <c r="J81" s="1"/>
    </row>
    <row r="82" spans="1:10" ht="14.25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G82" s="53"/>
      <c r="H82" s="54">
        <v>46119</v>
      </c>
      <c r="J82" s="1"/>
    </row>
    <row r="83" spans="1:10" ht="14.25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G83" s="53"/>
      <c r="H83" s="54">
        <v>46119</v>
      </c>
      <c r="J83" s="1"/>
    </row>
    <row r="84" spans="1:10" ht="14.25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  <c r="J84" s="1"/>
    </row>
    <row r="85" spans="1:10" ht="14.25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  <c r="J85" s="1"/>
    </row>
    <row r="86" spans="1:10" ht="14.25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  <c r="J86" s="1"/>
    </row>
    <row r="87" spans="1:10" ht="14.25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  <c r="J87" s="1"/>
    </row>
    <row r="88" spans="1:10" ht="14.25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  <c r="J88" s="1"/>
    </row>
    <row r="89" spans="1:10" ht="14.25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  <c r="J89" s="1"/>
    </row>
    <row r="90" spans="1:10" ht="14.25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  <c r="J90" s="1"/>
    </row>
    <row r="91" spans="1:10" ht="14.25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  <c r="J91" s="1"/>
    </row>
    <row r="92" spans="1:10" ht="14.25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G92" s="53"/>
      <c r="H92" s="54">
        <v>46119</v>
      </c>
      <c r="J92" s="1"/>
    </row>
    <row r="93" spans="1:10" ht="14.25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  <c r="J93" s="1"/>
    </row>
    <row r="94" spans="1:10" ht="14.25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  <c r="J94" s="1"/>
    </row>
    <row r="95" spans="1:10" ht="14.25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  <c r="J95" s="1"/>
    </row>
    <row r="96" spans="1:10" ht="14.25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G96" s="53"/>
      <c r="H96" s="54">
        <v>46119</v>
      </c>
      <c r="J96" s="1"/>
    </row>
    <row r="97" spans="1:10" ht="14.25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G97" s="53"/>
      <c r="H97" s="54">
        <v>46119</v>
      </c>
      <c r="J97" s="1"/>
    </row>
    <row r="98" spans="1:10" ht="14.25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  <c r="J98" s="1"/>
    </row>
    <row r="99" spans="1:10" ht="14.25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G99" s="53"/>
      <c r="H99" s="54">
        <v>46119</v>
      </c>
      <c r="J99" s="1"/>
    </row>
    <row r="100" spans="1:10" ht="14.25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  <c r="J100" s="1"/>
    </row>
    <row r="101" spans="1:10" ht="14.25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G101" s="53"/>
      <c r="H101" s="54">
        <v>46119</v>
      </c>
      <c r="J101" s="1"/>
    </row>
    <row r="102" spans="1:10" ht="14.25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  <c r="J102" s="1"/>
    </row>
    <row r="103" spans="1:10" ht="14.25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  <c r="J103" s="1"/>
    </row>
    <row r="104" spans="1:10" ht="14.25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G104" s="53"/>
      <c r="H104" s="54">
        <v>46119</v>
      </c>
      <c r="J104" s="1"/>
    </row>
    <row r="105" spans="1:10" ht="14.25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  <c r="J105" s="1"/>
    </row>
    <row r="106" spans="1:10" ht="14.25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  <c r="J106" s="1"/>
    </row>
    <row r="107" spans="1:10" ht="14.25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  <c r="J107" s="1"/>
    </row>
    <row r="108" spans="1:10" ht="14.25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  <c r="J108" s="1"/>
    </row>
    <row r="109" spans="1:10" ht="14.25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  <c r="J109" s="1"/>
    </row>
    <row r="110" spans="1:10" ht="14.25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G110" s="53"/>
      <c r="H110" s="54">
        <v>46119</v>
      </c>
      <c r="J110" s="1"/>
    </row>
    <row r="111" spans="1:10" ht="14.25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  <c r="J111" s="1"/>
    </row>
    <row r="112" spans="1:10" ht="14.25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G112" s="53"/>
      <c r="H112" s="54">
        <v>46119</v>
      </c>
      <c r="J112" s="1"/>
    </row>
    <row r="113" spans="1:10" ht="14.25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  <c r="J113" s="1"/>
    </row>
    <row r="114" spans="1:10" ht="14.25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  <c r="J114" s="1"/>
    </row>
    <row r="115" spans="1:10" ht="14.25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G115" s="53"/>
      <c r="H115" s="54">
        <v>46119</v>
      </c>
      <c r="J115" s="1"/>
    </row>
    <row r="116" spans="1:10" ht="14.25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G116" s="53"/>
      <c r="H116" s="54">
        <v>46119</v>
      </c>
      <c r="J116" s="1"/>
    </row>
    <row r="117" spans="1:10" ht="14.25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  <c r="J117" s="1"/>
    </row>
    <row r="118" spans="1:10" ht="14.25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  <c r="J118" s="1"/>
    </row>
    <row r="119" spans="1:10" ht="14.25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  <c r="J119" s="1"/>
    </row>
    <row r="120" spans="1:10" ht="14.25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  <c r="J120" s="1"/>
    </row>
    <row r="121" spans="1:10" ht="14.25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  <c r="J121" s="1"/>
    </row>
    <row r="122" spans="1:10" ht="14.25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  <c r="J122" s="1"/>
    </row>
    <row r="123" spans="1:10" ht="14.25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G123" s="53"/>
      <c r="H123" s="54">
        <v>46119</v>
      </c>
      <c r="J123" s="1"/>
    </row>
    <row r="124" spans="1:10" ht="14.25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G124" s="53"/>
      <c r="H124" s="54">
        <v>46119</v>
      </c>
      <c r="J124" s="1"/>
    </row>
    <row r="125" spans="1:10" ht="14.25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G125" s="53"/>
      <c r="H125" s="54">
        <v>46119</v>
      </c>
      <c r="J125" s="1"/>
    </row>
    <row r="126" spans="1:10" ht="14.25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  <c r="J126" s="1"/>
    </row>
    <row r="127" spans="1:10" ht="14.25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  <c r="J127" s="1"/>
    </row>
    <row r="128" spans="1:10" ht="14.25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  <c r="J128" s="1"/>
    </row>
    <row r="129" spans="1:10" ht="14.25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  <c r="J129" s="1"/>
    </row>
    <row r="130" spans="1:10" ht="14.25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G130" s="53"/>
      <c r="H130" s="54">
        <v>46119</v>
      </c>
      <c r="J130" s="1"/>
    </row>
    <row r="131" spans="1:10" ht="14.25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G131" s="53"/>
      <c r="H131" s="54">
        <v>46119</v>
      </c>
      <c r="J131" s="1"/>
    </row>
    <row r="132" spans="1:10" ht="14.25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G132" s="53"/>
      <c r="H132" s="54">
        <v>46119</v>
      </c>
      <c r="J132" s="1"/>
    </row>
    <row r="133" spans="1:10" ht="14.25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G133" s="53"/>
      <c r="H133" s="54">
        <v>46119</v>
      </c>
      <c r="J133" s="1"/>
    </row>
    <row r="134" spans="1:10" ht="14.25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  <c r="J134" s="1"/>
    </row>
    <row r="135" spans="1:10" ht="14.25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  <c r="J135" s="1"/>
    </row>
    <row r="136" spans="1:10" ht="14.25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  <c r="J136" s="1"/>
    </row>
    <row r="137" spans="1:10" ht="14.25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  <c r="J137" s="1"/>
    </row>
    <row r="138" spans="1:10" ht="14.25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  <c r="J138" s="1"/>
    </row>
    <row r="139" spans="1:10" ht="14.25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  <c r="J139" s="1"/>
    </row>
    <row r="140" spans="1:10" ht="14.25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  <c r="J140" s="1"/>
    </row>
    <row r="141" spans="1:10" ht="14.25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G141" s="53"/>
      <c r="H141" s="54">
        <v>46119</v>
      </c>
      <c r="J141" s="1"/>
    </row>
    <row r="142" spans="1:10" ht="14.25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  <c r="J142" s="1"/>
    </row>
    <row r="143" spans="1:10" ht="14.25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  <c r="J143" s="1"/>
    </row>
    <row r="144" spans="1:10" ht="14.25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  <c r="J144" s="1"/>
    </row>
    <row r="145" spans="1:10" ht="14.25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  <c r="J145" s="1"/>
    </row>
    <row r="146" spans="1:10" ht="14.25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  <c r="J146" s="1"/>
    </row>
    <row r="147" spans="1:10" ht="14.25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G147" s="53"/>
      <c r="H147" s="54">
        <v>46119</v>
      </c>
      <c r="J147" s="1"/>
    </row>
    <row r="148" spans="1:10" ht="14.25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G148" s="53"/>
      <c r="H148" s="54">
        <v>46119</v>
      </c>
      <c r="J148" s="1"/>
    </row>
    <row r="149" spans="1:10" ht="14.25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G149" s="53"/>
      <c r="H149" s="54">
        <v>46119</v>
      </c>
      <c r="J149" s="1"/>
    </row>
    <row r="150" spans="1:10" ht="14.25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  <c r="J150" s="1"/>
    </row>
    <row r="151" spans="1:10" ht="14.25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  <c r="J151" s="1"/>
    </row>
    <row r="152" spans="1:10" ht="14.25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G152" s="53"/>
      <c r="H152" s="54">
        <v>46119</v>
      </c>
      <c r="J152" s="1"/>
    </row>
    <row r="153" spans="1:10" ht="14.25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G153" s="53"/>
      <c r="H153" s="54">
        <v>46119</v>
      </c>
      <c r="J153" s="1"/>
    </row>
    <row r="154" spans="1:10" ht="14.25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  <c r="J154" s="1"/>
    </row>
    <row r="155" spans="1:10" ht="14.25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  <c r="J155" s="1"/>
    </row>
    <row r="156" spans="1:10" ht="14.25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  <c r="J156" s="1"/>
    </row>
    <row r="157" spans="1:10" ht="14.25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  <c r="J157" s="1"/>
    </row>
    <row r="158" spans="1:10" ht="14.25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G158" s="53"/>
      <c r="H158" s="54">
        <v>46119</v>
      </c>
      <c r="J158" s="1"/>
    </row>
    <row r="159" spans="1:10" ht="14.25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G159" s="53"/>
      <c r="H159" s="54">
        <v>46119</v>
      </c>
      <c r="J159" s="1"/>
    </row>
    <row r="160" spans="1:10" ht="14.25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  <c r="J160" s="1"/>
    </row>
    <row r="161" spans="1:10" ht="14.25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  <c r="J161" s="1"/>
    </row>
    <row r="162" spans="1:10" ht="14.25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  <c r="J162" s="1"/>
    </row>
    <row r="163" spans="1:10" ht="14.25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  <c r="J163" s="1"/>
    </row>
    <row r="164" spans="1:10" ht="14.25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G164" s="53"/>
      <c r="H164" s="54">
        <v>46119</v>
      </c>
      <c r="J164" s="1"/>
    </row>
    <row r="165" spans="1:10" ht="14.25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  <c r="J165" s="1"/>
    </row>
    <row r="166" spans="1:10" ht="14.25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G166" s="53"/>
      <c r="H166" s="54">
        <v>46119</v>
      </c>
      <c r="J166" s="1"/>
    </row>
    <row r="167" spans="1:10" ht="14.25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  <c r="J167" s="1"/>
    </row>
    <row r="168" spans="1:10" ht="14.25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G168" s="53"/>
      <c r="H168" s="54">
        <v>46119</v>
      </c>
      <c r="J168" s="1"/>
    </row>
    <row r="169" spans="1:10" ht="14.25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  <c r="J169" s="1"/>
    </row>
    <row r="170" spans="1:10" ht="14.25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  <c r="J170" s="1"/>
    </row>
    <row r="171" spans="1:10" ht="14.25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  <c r="J171" s="1"/>
    </row>
    <row r="172" spans="1:10" ht="14.25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  <c r="J172" s="1"/>
    </row>
    <row r="173" spans="1:10" ht="14.25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  <c r="J173" s="1"/>
    </row>
    <row r="174" spans="1:10" ht="14.25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  <c r="J174" s="1"/>
    </row>
    <row r="175" spans="1:10" ht="14.25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  <c r="J175" s="1"/>
    </row>
    <row r="176" spans="1:10" ht="14.25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  <c r="J176" s="1"/>
    </row>
    <row r="177" spans="1:10" ht="14.25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  <c r="J177" s="1"/>
    </row>
    <row r="178" spans="1:10" ht="14.25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G178" s="53"/>
      <c r="H178" s="54">
        <v>46119</v>
      </c>
      <c r="J178" s="1"/>
    </row>
    <row r="179" spans="1:10" ht="14.25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G179" s="53"/>
      <c r="H179" s="54">
        <v>46119</v>
      </c>
      <c r="J179" s="1"/>
    </row>
    <row r="180" spans="1:10" ht="14.25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  <c r="J180" s="1"/>
    </row>
    <row r="181" spans="1:10" ht="14.25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  <c r="J181" s="1"/>
    </row>
    <row r="182" spans="1:10" ht="14.25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G182" s="53"/>
      <c r="H182" s="54">
        <v>46119</v>
      </c>
      <c r="J182" s="1"/>
    </row>
    <row r="183" spans="1:10" ht="14.25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G183" s="53"/>
      <c r="H183" s="54">
        <v>46119</v>
      </c>
      <c r="J183" s="1"/>
    </row>
    <row r="184" spans="1:10" ht="14.25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  <c r="J184" s="1"/>
    </row>
    <row r="185" spans="1:10" ht="14.25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  <c r="J185" s="1"/>
    </row>
    <row r="186" spans="1:10" ht="14.25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  <c r="J186" s="1"/>
    </row>
    <row r="187" spans="1:10" ht="14.25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  <c r="J187" s="1"/>
    </row>
    <row r="188" spans="1:10" ht="14.25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G188" s="53"/>
      <c r="H188" s="54">
        <v>46119</v>
      </c>
      <c r="J188" s="1"/>
    </row>
    <row r="189" spans="1:10" ht="14.25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G189" s="53"/>
      <c r="H189" s="54">
        <v>46119</v>
      </c>
      <c r="J189" s="1"/>
    </row>
    <row r="190" spans="1:10" ht="14.25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  <c r="J190" s="1"/>
    </row>
    <row r="191" spans="1:10" ht="14.25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  <c r="J191" s="1"/>
    </row>
    <row r="192" spans="1:10" ht="14.25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G192" s="53"/>
      <c r="H192" s="54">
        <v>46119</v>
      </c>
      <c r="J192" s="1"/>
    </row>
    <row r="193" spans="1:10" ht="14.25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G193" s="53"/>
      <c r="H193" s="54">
        <v>46119</v>
      </c>
      <c r="J193" s="1"/>
    </row>
    <row r="194" spans="1:10" ht="14.25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  <c r="J194" s="1"/>
    </row>
    <row r="195" spans="1:10" ht="14.25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  <c r="J195" s="1"/>
    </row>
    <row r="196" spans="1:10" ht="14.25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  <c r="J196" s="1"/>
    </row>
    <row r="197" spans="1:10" ht="14.25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G197" s="53"/>
      <c r="H197" s="54">
        <v>46119</v>
      </c>
      <c r="J197" s="1"/>
    </row>
    <row r="198" spans="1:10" ht="14.25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  <c r="J198" s="1"/>
    </row>
    <row r="199" spans="1:10" ht="14.25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G199" s="53"/>
      <c r="H199" s="54">
        <v>46119</v>
      </c>
      <c r="J199" s="1"/>
    </row>
    <row r="200" spans="1:10" ht="14.25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  <c r="J200" s="1"/>
    </row>
    <row r="201" spans="1:10" ht="14.25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  <c r="J201" s="1"/>
    </row>
    <row r="202" spans="1:10" ht="14.25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  <c r="J202" s="1"/>
    </row>
    <row r="203" spans="1:10" ht="14.25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G203" s="53"/>
      <c r="H203" s="54">
        <v>46119</v>
      </c>
      <c r="J203" s="1"/>
    </row>
    <row r="204" spans="1:10" ht="14.25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G204" s="53"/>
      <c r="H204" s="54">
        <v>46119</v>
      </c>
      <c r="J204" s="1"/>
    </row>
    <row r="205" spans="1:10" ht="14.25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G205" s="53"/>
      <c r="H205" s="54">
        <v>46119</v>
      </c>
      <c r="J205" s="1"/>
    </row>
    <row r="206" spans="1:10" ht="14.25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G206" s="53"/>
      <c r="H206" s="54">
        <v>46119</v>
      </c>
      <c r="J206" s="1"/>
    </row>
    <row r="207" spans="1:10" ht="14.25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  <c r="J207" s="1"/>
    </row>
    <row r="208" spans="1:10" ht="14.25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  <c r="J208" s="1"/>
    </row>
    <row r="209" spans="1:10" ht="14.25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G209" s="53"/>
      <c r="H209" s="54">
        <v>46119</v>
      </c>
      <c r="J209" s="1"/>
    </row>
    <row r="210" spans="1:10" ht="14.25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  <c r="J210" s="1"/>
    </row>
    <row r="211" spans="1:10" ht="14.25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  <c r="J211" s="1"/>
    </row>
    <row r="212" spans="1:10" ht="14.25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  <c r="J212" s="1"/>
    </row>
    <row r="213" spans="1:10" ht="14.25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  <c r="J213" s="1"/>
    </row>
    <row r="214" spans="1:10" x14ac:dyDescent="0.35">
      <c r="H214" s="1"/>
      <c r="J214" s="1"/>
    </row>
    <row r="215" spans="1:10" x14ac:dyDescent="0.35">
      <c r="H215" s="1"/>
      <c r="J215" s="1"/>
    </row>
    <row r="216" spans="1:10" x14ac:dyDescent="0.35">
      <c r="H216" s="1"/>
      <c r="J216" s="1"/>
    </row>
    <row r="217" spans="1:10" x14ac:dyDescent="0.35">
      <c r="H217" s="1"/>
      <c r="J217" s="1"/>
    </row>
    <row r="218" spans="1:10" x14ac:dyDescent="0.35">
      <c r="H218" s="1"/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workbookViewId="0">
      <selection activeCell="H213" sqref="A2:H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145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1260</v>
      </c>
      <c r="B120" t="str">
        <f>IF(A120="","",CONCATENATE(VLOOKUP(A120,Competitors!$A$2:$I$650,3,FALSE)," ",VLOOKUP(A120,Competitors!$A$2:$I$650,2,FALSE)))</f>
        <v>Alison Lucas</v>
      </c>
    </row>
    <row r="121" spans="1:2" x14ac:dyDescent="0.35">
      <c r="A121">
        <f>IF(ISNUMBER(Competitors!A121),Competitors!A121,"")</f>
        <v>1361</v>
      </c>
      <c r="B121" t="str">
        <f>IF(A121="","",CONCATENATE(VLOOKUP(A121,Competitors!$A$2:$I$650,3,FALSE)," ",VLOOKUP(A121,Competitors!$A$2:$I$650,2,FALSE)))</f>
        <v>Bruce Main</v>
      </c>
    </row>
    <row r="122" spans="1:2" x14ac:dyDescent="0.35">
      <c r="A122">
        <f>IF(ISNUMBER(Competitors!A122),Competitors!A122,"")</f>
        <v>1100</v>
      </c>
      <c r="B122" t="str">
        <f>IF(A122="","",CONCATENATE(VLOOKUP(A122,Competitors!$A$2:$I$650,3,FALSE)," ",VLOOKUP(A122,Competitors!$A$2:$I$650,2,FALSE)))</f>
        <v>Ian Mansfield</v>
      </c>
    </row>
    <row r="123" spans="1:2" x14ac:dyDescent="0.35">
      <c r="A123">
        <f>IF(ISNUMBER(Competitors!A123),Competitors!A123,"")</f>
        <v>1385</v>
      </c>
      <c r="B123" t="str">
        <f>IF(A123="","",CONCATENATE(VLOOKUP(A123,Competitors!$A$2:$I$650,3,FALSE)," ",VLOOKUP(A123,Competitors!$A$2:$I$650,2,FALSE)))</f>
        <v>Miles Marr</v>
      </c>
    </row>
    <row r="124" spans="1:2" x14ac:dyDescent="0.35">
      <c r="A124">
        <f>IF(ISNUMBER(Competitors!A124),Competitors!A124,"")</f>
        <v>1394</v>
      </c>
      <c r="B124" t="str">
        <f>IF(A124="","",CONCATENATE(VLOOKUP(A124,Competitors!$A$2:$I$650,3,FALSE)," ",VLOOKUP(A124,Competitors!$A$2:$I$650,2,FALSE)))</f>
        <v>Noah Marr</v>
      </c>
    </row>
    <row r="125" spans="1:2" x14ac:dyDescent="0.35">
      <c r="A125">
        <f>IF(ISNUMBER(Competitors!A125),Competitors!A125,"")</f>
        <v>1419</v>
      </c>
      <c r="B125" t="str">
        <f>IF(A125="","",CONCATENATE(VLOOKUP(A125,Competitors!$A$2:$I$650,3,FALSE)," ",VLOOKUP(A125,Competitors!$A$2:$I$650,2,FALSE)))</f>
        <v>Ethan Marsh</v>
      </c>
    </row>
    <row r="126" spans="1:2" x14ac:dyDescent="0.35">
      <c r="A126">
        <f>IF(ISNUMBER(Competitors!A126),Competitors!A126,"")</f>
        <v>967</v>
      </c>
      <c r="B126" t="str">
        <f>IF(A126="","",CONCATENATE(VLOOKUP(A126,Competitors!$A$2:$I$650,3,FALSE)," ",VLOOKUP(A126,Competitors!$A$2:$I$650,2,FALSE)))</f>
        <v>Daniel McDonnell</v>
      </c>
    </row>
    <row r="127" spans="1:2" x14ac:dyDescent="0.35">
      <c r="A127">
        <f>IF(ISNUMBER(Competitors!A127),Competitors!A127,"")</f>
        <v>1373</v>
      </c>
      <c r="B127" t="str">
        <f>IF(A127="","",CONCATENATE(VLOOKUP(A127,Competitors!$A$2:$I$650,3,FALSE)," ",VLOOKUP(A127,Competitors!$A$2:$I$650,2,FALSE)))</f>
        <v>David McGraw</v>
      </c>
    </row>
    <row r="128" spans="1:2" x14ac:dyDescent="0.35">
      <c r="A128">
        <f>IF(ISNUMBER(Competitors!A128),Competitors!A128,"")</f>
        <v>1045</v>
      </c>
      <c r="B128" t="str">
        <f>IF(A128="","",CONCATENATE(VLOOKUP(A128,Competitors!$A$2:$I$650,3,FALSE)," ",VLOOKUP(A128,Competitors!$A$2:$I$650,2,FALSE)))</f>
        <v>Amanda McPherson</v>
      </c>
    </row>
    <row r="129" spans="1:2" x14ac:dyDescent="0.35">
      <c r="A129">
        <f>IF(ISNUMBER(Competitors!A129),Competitors!A129,"")</f>
        <v>1046</v>
      </c>
      <c r="B129" t="str">
        <f>IF(A129="","",CONCATENATE(VLOOKUP(A129,Competitors!$A$2:$I$650,3,FALSE)," ",VLOOKUP(A129,Competitors!$A$2:$I$650,2,FALSE)))</f>
        <v>Jim McPherson</v>
      </c>
    </row>
    <row r="130" spans="1:2" x14ac:dyDescent="0.35">
      <c r="A130">
        <f>IF(ISNUMBER(Competitors!A130),Competitors!A130,"")</f>
        <v>1396</v>
      </c>
      <c r="B130" t="str">
        <f>IF(A130="","",CONCATENATE(VLOOKUP(A130,Competitors!$A$2:$I$650,3,FALSE)," ",VLOOKUP(A130,Competitors!$A$2:$I$650,2,FALSE)))</f>
        <v>Peter Melville</v>
      </c>
    </row>
    <row r="131" spans="1:2" x14ac:dyDescent="0.35">
      <c r="A131">
        <f>IF(ISNUMBER(Competitors!A131),Competitors!A131,"")</f>
        <v>1397</v>
      </c>
      <c r="B131" t="str">
        <f>IF(A131="","",CONCATENATE(VLOOKUP(A131,Competitors!$A$2:$I$650,3,FALSE)," ",VLOOKUP(A131,Competitors!$A$2:$I$650,2,FALSE)))</f>
        <v>Rebecca Melville</v>
      </c>
    </row>
    <row r="132" spans="1:2" x14ac:dyDescent="0.35">
      <c r="A132">
        <f>IF(ISNUMBER(Competitors!A132),Competitors!A132,"")</f>
        <v>1398</v>
      </c>
      <c r="B132" t="str">
        <f>IF(A132="","",CONCATENATE(VLOOKUP(A132,Competitors!$A$2:$I$650,3,FALSE)," ",VLOOKUP(A132,Competitors!$A$2:$I$650,2,FALSE)))</f>
        <v>George Melville</v>
      </c>
    </row>
    <row r="133" spans="1:2" x14ac:dyDescent="0.35">
      <c r="A133">
        <f>IF(ISNUMBER(Competitors!A133),Competitors!A133,"")</f>
        <v>1399</v>
      </c>
      <c r="B133" t="str">
        <f>IF(A133="","",CONCATENATE(VLOOKUP(A133,Competitors!$A$2:$I$650,3,FALSE)," ",VLOOKUP(A133,Competitors!$A$2:$I$650,2,FALSE)))</f>
        <v>Harriet Melville</v>
      </c>
    </row>
    <row r="134" spans="1:2" x14ac:dyDescent="0.35">
      <c r="A134">
        <f>IF(ISNUMBER(Competitors!A134),Competitors!A134,"")</f>
        <v>771</v>
      </c>
      <c r="B134" t="str">
        <f>IF(A134="","",CONCATENATE(VLOOKUP(A134,Competitors!$A$2:$I$650,3,FALSE)," ",VLOOKUP(A134,Competitors!$A$2:$I$650,2,FALSE)))</f>
        <v>Julian Middleton</v>
      </c>
    </row>
    <row r="135" spans="1:2" x14ac:dyDescent="0.35">
      <c r="A135">
        <f>IF(ISNUMBER(Competitors!A135),Competitors!A135,"")</f>
        <v>1265</v>
      </c>
      <c r="B135" t="str">
        <f>IF(A135="","",CONCATENATE(VLOOKUP(A135,Competitors!$A$2:$I$650,3,FALSE)," ",VLOOKUP(A135,Competitors!$A$2:$I$650,2,FALSE)))</f>
        <v>Kevin Millard</v>
      </c>
    </row>
    <row r="136" spans="1:2" x14ac:dyDescent="0.35">
      <c r="A136">
        <f>IF(ISNUMBER(Competitors!A136),Competitors!A136,"")</f>
        <v>532</v>
      </c>
      <c r="B136" t="str">
        <f>IF(A136="","",CONCATENATE(VLOOKUP(A136,Competitors!$A$2:$I$650,3,FALSE)," ",VLOOKUP(A136,Competitors!$A$2:$I$650,2,FALSE)))</f>
        <v>Kevin Mills</v>
      </c>
    </row>
    <row r="137" spans="1:2" x14ac:dyDescent="0.35">
      <c r="A137">
        <f>IF(ISNUMBER(Competitors!A137),Competitors!A137,"")</f>
        <v>742</v>
      </c>
      <c r="B137" t="str">
        <f>IF(A137="","",CONCATENATE(VLOOKUP(A137,Competitors!$A$2:$I$650,3,FALSE)," ",VLOOKUP(A137,Competitors!$A$2:$I$650,2,FALSE)))</f>
        <v>Claire Moore</v>
      </c>
    </row>
    <row r="138" spans="1:2" x14ac:dyDescent="0.35">
      <c r="A138">
        <f>IF(ISNUMBER(Competitors!A138),Competitors!A138,"")</f>
        <v>741</v>
      </c>
      <c r="B138" t="str">
        <f>IF(A138="","",CONCATENATE(VLOOKUP(A138,Competitors!$A$2:$I$650,3,FALSE)," ",VLOOKUP(A138,Competitors!$A$2:$I$650,2,FALSE)))</f>
        <v>Rob Moore</v>
      </c>
    </row>
    <row r="139" spans="1:2" x14ac:dyDescent="0.35">
      <c r="A139">
        <f>IF(ISNUMBER(Competitors!A139),Competitors!A139,"")</f>
        <v>1298</v>
      </c>
      <c r="B139" t="str">
        <f>IF(A139="","",CONCATENATE(VLOOKUP(A139,Competitors!$A$2:$I$650,3,FALSE)," ",VLOOKUP(A139,Competitors!$A$2:$I$650,2,FALSE)))</f>
        <v>Jane Moore</v>
      </c>
    </row>
    <row r="140" spans="1:2" x14ac:dyDescent="0.35">
      <c r="A140">
        <f>IF(ISNUMBER(Competitors!A140),Competitors!A140,"")</f>
        <v>747</v>
      </c>
      <c r="B140" t="str">
        <f>IF(A140="","",CONCATENATE(VLOOKUP(A140,Competitors!$A$2:$I$650,3,FALSE)," ",VLOOKUP(A140,Competitors!$A$2:$I$650,2,FALSE)))</f>
        <v>James Moore</v>
      </c>
    </row>
    <row r="141" spans="1:2" x14ac:dyDescent="0.35">
      <c r="A141">
        <f>IF(ISNUMBER(Competitors!A141),Competitors!A141,"")</f>
        <v>1386</v>
      </c>
      <c r="B141" t="str">
        <f>IF(A141="","",CONCATENATE(VLOOKUP(A141,Competitors!$A$2:$I$650,3,FALSE)," ",VLOOKUP(A141,Competitors!$A$2:$I$650,2,FALSE)))</f>
        <v>Mea Moore</v>
      </c>
    </row>
    <row r="142" spans="1:2" x14ac:dyDescent="0.35">
      <c r="A142">
        <f>IF(ISNUMBER(Competitors!A142),Competitors!A142,"")</f>
        <v>564</v>
      </c>
      <c r="B142" t="str">
        <f>IF(A142="","",CONCATENATE(VLOOKUP(A142,Competitors!$A$2:$I$650,3,FALSE)," ",VLOOKUP(A142,Competitors!$A$2:$I$650,2,FALSE)))</f>
        <v>Ian Murdey</v>
      </c>
    </row>
    <row r="143" spans="1:2" x14ac:dyDescent="0.35">
      <c r="A143">
        <f>IF(ISNUMBER(Competitors!A143),Competitors!A143,"")</f>
        <v>1165</v>
      </c>
      <c r="B143" t="str">
        <f>IF(A143="","",CONCATENATE(VLOOKUP(A143,Competitors!$A$2:$I$650,3,FALSE)," ",VLOOKUP(A143,Competitors!$A$2:$I$650,2,FALSE)))</f>
        <v>Duncan Murray</v>
      </c>
    </row>
    <row r="144" spans="1:2" x14ac:dyDescent="0.35">
      <c r="A144">
        <f>IF(ISNUMBER(Competitors!A144),Competitors!A144,"")</f>
        <v>405</v>
      </c>
      <c r="B144" t="str">
        <f>IF(A144="","",CONCATENATE(VLOOKUP(A144,Competitors!$A$2:$I$650,3,FALSE)," ",VLOOKUP(A144,Competitors!$A$2:$I$650,2,FALSE)))</f>
        <v>Kevin Nicholls</v>
      </c>
    </row>
    <row r="145" spans="1:2" x14ac:dyDescent="0.35">
      <c r="A145">
        <f>IF(ISNUMBER(Competitors!A145),Competitors!A145,"")</f>
        <v>1346</v>
      </c>
      <c r="B145" t="str">
        <f>IF(A145="","",CONCATENATE(VLOOKUP(A145,Competitors!$A$2:$I$650,3,FALSE)," ",VLOOKUP(A145,Competitors!$A$2:$I$650,2,FALSE)))</f>
        <v>Stephen Nixon</v>
      </c>
    </row>
    <row r="146" spans="1:2" x14ac:dyDescent="0.35">
      <c r="A146">
        <f>IF(ISNUMBER(Competitors!A146),Competitors!A146,"")</f>
        <v>1192</v>
      </c>
      <c r="B146" t="str">
        <f>IF(A146="","",CONCATENATE(VLOOKUP(A146,Competitors!$A$2:$I$650,3,FALSE)," ",VLOOKUP(A146,Competitors!$A$2:$I$650,2,FALSE)))</f>
        <v>Dale Norris</v>
      </c>
    </row>
    <row r="147" spans="1:2" x14ac:dyDescent="0.35">
      <c r="A147">
        <f>IF(ISNUMBER(Competitors!A147),Competitors!A147,"")</f>
        <v>1157</v>
      </c>
      <c r="B147" t="str">
        <f>IF(A147="","",CONCATENATE(VLOOKUP(A147,Competitors!$A$2:$I$650,3,FALSE)," ",VLOOKUP(A147,Competitors!$A$2:$I$650,2,FALSE)))</f>
        <v>Chris Orfeur</v>
      </c>
    </row>
    <row r="148" spans="1:2" x14ac:dyDescent="0.35">
      <c r="A148">
        <f>IF(ISNUMBER(Competitors!A148),Competitors!A148,"")</f>
        <v>1359</v>
      </c>
      <c r="B148" t="str">
        <f>IF(A148="","",CONCATENATE(VLOOKUP(A148,Competitors!$A$2:$I$650,3,FALSE)," ",VLOOKUP(A148,Competitors!$A$2:$I$650,2,FALSE)))</f>
        <v>George Parker</v>
      </c>
    </row>
    <row r="149" spans="1:2" x14ac:dyDescent="0.35">
      <c r="A149">
        <f>IF(ISNUMBER(Competitors!A149),Competitors!A149,"")</f>
        <v>1360</v>
      </c>
      <c r="B149" t="str">
        <f>IF(A149="","",CONCATENATE(VLOOKUP(A149,Competitors!$A$2:$I$650,3,FALSE)," ",VLOOKUP(A149,Competitors!$A$2:$I$650,2,FALSE)))</f>
        <v>Charlotte Parker</v>
      </c>
    </row>
    <row r="150" spans="1:2" x14ac:dyDescent="0.35">
      <c r="A150">
        <f>IF(ISNUMBER(Competitors!A150),Competitors!A150,"")</f>
        <v>1357</v>
      </c>
      <c r="B150" t="str">
        <f>IF(A150="","",CONCATENATE(VLOOKUP(A150,Competitors!$A$2:$I$650,3,FALSE)," ",VLOOKUP(A150,Competitors!$A$2:$I$650,2,FALSE)))</f>
        <v>Ian Parker</v>
      </c>
    </row>
    <row r="151" spans="1:2" x14ac:dyDescent="0.35">
      <c r="A151">
        <f>IF(ISNUMBER(Competitors!A151),Competitors!A151,"")</f>
        <v>1358</v>
      </c>
      <c r="B151" t="str">
        <f>IF(A151="","",CONCATENATE(VLOOKUP(A151,Competitors!$A$2:$I$650,3,FALSE)," ",VLOOKUP(A151,Competitors!$A$2:$I$650,2,FALSE)))</f>
        <v>Mandy Parker</v>
      </c>
    </row>
    <row r="152" spans="1:2" x14ac:dyDescent="0.35">
      <c r="A152">
        <f>IF(ISNUMBER(Competitors!A152),Competitors!A152,"")</f>
        <v>1390</v>
      </c>
      <c r="B152" t="str">
        <f>IF(A152="","",CONCATENATE(VLOOKUP(A152,Competitors!$A$2:$I$650,3,FALSE)," ",VLOOKUP(A152,Competitors!$A$2:$I$650,2,FALSE)))</f>
        <v>Diego Patteri</v>
      </c>
    </row>
    <row r="153" spans="1:2" x14ac:dyDescent="0.35">
      <c r="A153">
        <f>IF(ISNUMBER(Competitors!A153),Competitors!A153,"")</f>
        <v>1107</v>
      </c>
      <c r="B153" t="str">
        <f>IF(A153="","",CONCATENATE(VLOOKUP(A153,Competitors!$A$2:$I$650,3,FALSE)," ",VLOOKUP(A153,Competitors!$A$2:$I$650,2,FALSE)))</f>
        <v>Milly Pinnock</v>
      </c>
    </row>
    <row r="154" spans="1:2" x14ac:dyDescent="0.35">
      <c r="A154">
        <f>IF(ISNUMBER(Competitors!A154),Competitors!A154,"")</f>
        <v>35</v>
      </c>
      <c r="B154" t="str">
        <f>IF(A154="","",CONCATENATE(VLOOKUP(A154,Competitors!$A$2:$I$650,3,FALSE)," ",VLOOKUP(A154,Competitors!$A$2:$I$650,2,FALSE)))</f>
        <v>Matt Plews</v>
      </c>
    </row>
    <row r="155" spans="1:2" x14ac:dyDescent="0.35">
      <c r="A155">
        <f>IF(ISNUMBER(Competitors!A155),Competitors!A155,"")</f>
        <v>1094</v>
      </c>
      <c r="B155" t="str">
        <f>IF(A155="","",CONCATENATE(VLOOKUP(A155,Competitors!$A$2:$I$650,3,FALSE)," ",VLOOKUP(A155,Competitors!$A$2:$I$650,2,FALSE)))</f>
        <v>Andy Poulton</v>
      </c>
    </row>
    <row r="156" spans="1:2" x14ac:dyDescent="0.35">
      <c r="A156">
        <f>IF(ISNUMBER(Competitors!A156),Competitors!A156,"")</f>
        <v>1325</v>
      </c>
      <c r="B156" t="str">
        <f>IF(A156="","",CONCATENATE(VLOOKUP(A156,Competitors!$A$2:$I$650,3,FALSE)," ",VLOOKUP(A156,Competitors!$A$2:$I$650,2,FALSE)))</f>
        <v>Greg Prangnell</v>
      </c>
    </row>
    <row r="157" spans="1:2" x14ac:dyDescent="0.35">
      <c r="A157">
        <f>IF(ISNUMBER(Competitors!A157),Competitors!A157,"")</f>
        <v>1143</v>
      </c>
      <c r="B157" t="str">
        <f>IF(A157="","",CONCATENATE(VLOOKUP(A157,Competitors!$A$2:$I$650,3,FALSE)," ",VLOOKUP(A157,Competitors!$A$2:$I$650,2,FALSE)))</f>
        <v>Rob Pullen</v>
      </c>
    </row>
    <row r="158" spans="1:2" x14ac:dyDescent="0.35">
      <c r="A158">
        <f>IF(ISNUMBER(Competitors!A158),Competitors!A158,"")</f>
        <v>1401</v>
      </c>
      <c r="B158" t="str">
        <f>IF(A158="","",CONCATENATE(VLOOKUP(A158,Competitors!$A$2:$I$650,3,FALSE)," ",VLOOKUP(A158,Competitors!$A$2:$I$650,2,FALSE)))</f>
        <v>Catriona Purdon</v>
      </c>
    </row>
    <row r="159" spans="1:2" x14ac:dyDescent="0.35">
      <c r="A159">
        <f>IF(ISNUMBER(Competitors!A159),Competitors!A159,"")</f>
        <v>1285</v>
      </c>
      <c r="B159" t="str">
        <f>IF(A159="","",CONCATENATE(VLOOKUP(A159,Competitors!$A$2:$I$650,3,FALSE)," ",VLOOKUP(A159,Competitors!$A$2:$I$650,2,FALSE)))</f>
        <v>Chris Ramsdale</v>
      </c>
    </row>
    <row r="160" spans="1:2" x14ac:dyDescent="0.35">
      <c r="A160">
        <f>IF(ISNUMBER(Competitors!A160),Competitors!A160,"")</f>
        <v>38</v>
      </c>
      <c r="B160" t="str">
        <f>IF(A160="","",CONCATENATE(VLOOKUP(A160,Competitors!$A$2:$I$650,3,FALSE)," ",VLOOKUP(A160,Competitors!$A$2:$I$650,2,FALSE)))</f>
        <v>Phil Rayner</v>
      </c>
    </row>
    <row r="161" spans="1:2" x14ac:dyDescent="0.35">
      <c r="A161">
        <f>IF(ISNUMBER(Competitors!A161),Competitors!A161,"")</f>
        <v>245</v>
      </c>
      <c r="B161" t="str">
        <f>IF(A161="","",CONCATENATE(VLOOKUP(A161,Competitors!$A$2:$I$650,3,FALSE)," ",VLOOKUP(A161,Competitors!$A$2:$I$650,2,FALSE)))</f>
        <v>David Reay</v>
      </c>
    </row>
    <row r="162" spans="1:2" x14ac:dyDescent="0.35">
      <c r="A162">
        <f>IF(ISNUMBER(Competitors!A162),Competitors!A162,"")</f>
        <v>39</v>
      </c>
      <c r="B162" t="str">
        <f>IF(A162="","",CONCATENATE(VLOOKUP(A162,Competitors!$A$2:$I$650,3,FALSE)," ",VLOOKUP(A162,Competitors!$A$2:$I$650,2,FALSE)))</f>
        <v>Michael Reay</v>
      </c>
    </row>
    <row r="163" spans="1:2" x14ac:dyDescent="0.35">
      <c r="A163">
        <f>IF(ISNUMBER(Competitors!A163),Competitors!A163,"")</f>
        <v>508</v>
      </c>
      <c r="B163" t="str">
        <f>IF(A163="","",CONCATENATE(VLOOKUP(A163,Competitors!$A$2:$I$650,3,FALSE)," ",VLOOKUP(A163,Competitors!$A$2:$I$650,2,FALSE)))</f>
        <v>Peter Riley</v>
      </c>
    </row>
    <row r="164" spans="1:2" x14ac:dyDescent="0.35">
      <c r="A164">
        <f>IF(ISNUMBER(Competitors!A164),Competitors!A164,"")</f>
        <v>1392</v>
      </c>
      <c r="B164" t="str">
        <f>IF(A164="","",CONCATENATE(VLOOKUP(A164,Competitors!$A$2:$I$650,3,FALSE)," ",VLOOKUP(A164,Competitors!$A$2:$I$650,2,FALSE)))</f>
        <v>Sarah Robinson</v>
      </c>
    </row>
    <row r="165" spans="1:2" x14ac:dyDescent="0.35">
      <c r="A165">
        <f>IF(ISNUMBER(Competitors!A165),Competitors!A165,"")</f>
        <v>1141</v>
      </c>
      <c r="B165" t="str">
        <f>IF(A165="","",CONCATENATE(VLOOKUP(A165,Competitors!$A$2:$I$650,3,FALSE)," ",VLOOKUP(A165,Competitors!$A$2:$I$650,2,FALSE)))</f>
        <v>Judith Rout</v>
      </c>
    </row>
    <row r="166" spans="1:2" x14ac:dyDescent="0.35">
      <c r="A166">
        <f>IF(ISNUMBER(Competitors!A166),Competitors!A166,"")</f>
        <v>891</v>
      </c>
      <c r="B166" t="str">
        <f>IF(A166="","",CONCATENATE(VLOOKUP(A166,Competitors!$A$2:$I$650,3,FALSE)," ",VLOOKUP(A166,Competitors!$A$2:$I$650,2,FALSE)))</f>
        <v>Dawn Russell</v>
      </c>
    </row>
    <row r="167" spans="1:2" x14ac:dyDescent="0.35">
      <c r="A167">
        <f>IF(ISNUMBER(Competitors!A167),Competitors!A167,"")</f>
        <v>1352</v>
      </c>
      <c r="B167" t="str">
        <f>IF(A167="","",CONCATENATE(VLOOKUP(A167,Competitors!$A$2:$I$650,3,FALSE)," ",VLOOKUP(A167,Competitors!$A$2:$I$650,2,FALSE)))</f>
        <v>Ian Scoley</v>
      </c>
    </row>
    <row r="168" spans="1:2" x14ac:dyDescent="0.35">
      <c r="A168">
        <f>IF(ISNUMBER(Competitors!A168),Competitors!A168,"")</f>
        <v>1339</v>
      </c>
      <c r="B168" t="str">
        <f>IF(A168="","",CONCATENATE(VLOOKUP(A168,Competitors!$A$2:$I$650,3,FALSE)," ",VLOOKUP(A168,Competitors!$A$2:$I$650,2,FALSE)))</f>
        <v>Jack Shewring</v>
      </c>
    </row>
    <row r="169" spans="1:2" x14ac:dyDescent="0.35">
      <c r="A169">
        <f>IF(ISNUMBER(Competitors!A169),Competitors!A169,"")</f>
        <v>914</v>
      </c>
      <c r="B169" t="str">
        <f>IF(A169="","",CONCATENATE(VLOOKUP(A169,Competitors!$A$2:$I$650,3,FALSE)," ",VLOOKUP(A169,Competitors!$A$2:$I$650,2,FALSE)))</f>
        <v>Charlie Simpson</v>
      </c>
    </row>
    <row r="170" spans="1:2" x14ac:dyDescent="0.35">
      <c r="A170">
        <f>IF(ISNUMBER(Competitors!A170),Competitors!A170,"")</f>
        <v>597</v>
      </c>
      <c r="B170" t="str">
        <f>IF(A170="","",CONCATENATE(VLOOKUP(A170,Competitors!$A$2:$I$650,3,FALSE)," ",VLOOKUP(A170,Competitors!$A$2:$I$650,2,FALSE)))</f>
        <v>Trevor Shelley</v>
      </c>
    </row>
    <row r="171" spans="1:2" x14ac:dyDescent="0.35">
      <c r="A171">
        <f>IF(ISNUMBER(Competitors!A171),Competitors!A171,"")</f>
        <v>1038</v>
      </c>
      <c r="B171" t="str">
        <f>IF(A171="","",CONCATENATE(VLOOKUP(A171,Competitors!$A$2:$I$650,3,FALSE)," ",VLOOKUP(A171,Competitors!$A$2:$I$650,2,FALSE)))</f>
        <v>Paul Simpson</v>
      </c>
    </row>
    <row r="172" spans="1:2" x14ac:dyDescent="0.35">
      <c r="A172">
        <f>IF(ISNUMBER(Competitors!A172),Competitors!A172,"")</f>
        <v>1242</v>
      </c>
      <c r="B172" t="str">
        <f>IF(A172="","",CONCATENATE(VLOOKUP(A172,Competitors!$A$2:$I$650,3,FALSE)," ",VLOOKUP(A172,Competitors!$A$2:$I$650,2,FALSE)))</f>
        <v>Mike Sirett</v>
      </c>
    </row>
    <row r="173" spans="1:2" x14ac:dyDescent="0.35">
      <c r="A173">
        <f>IF(ISNUMBER(Competitors!A173),Competitors!A173,"")</f>
        <v>1048</v>
      </c>
      <c r="B173" t="str">
        <f>IF(A173="","",CONCATENATE(VLOOKUP(A173,Competitors!$A$2:$I$650,3,FALSE)," ",VLOOKUP(A173,Competitors!$A$2:$I$650,2,FALSE)))</f>
        <v>Andy Smith</v>
      </c>
    </row>
    <row r="174" spans="1:2" x14ac:dyDescent="0.35">
      <c r="A174">
        <f>IF(ISNUMBER(Competitors!A174),Competitors!A174,"")</f>
        <v>1055</v>
      </c>
      <c r="B174" t="str">
        <f>IF(A174="","",CONCATENATE(VLOOKUP(A174,Competitors!$A$2:$I$650,3,FALSE)," ",VLOOKUP(A174,Competitors!$A$2:$I$650,2,FALSE)))</f>
        <v>Austin Smith</v>
      </c>
    </row>
    <row r="175" spans="1:2" x14ac:dyDescent="0.35">
      <c r="A175">
        <f>IF(ISNUMBER(Competitors!A175),Competitors!A175,"")</f>
        <v>820</v>
      </c>
      <c r="B175" t="str">
        <f>IF(A175="","",CONCATENATE(VLOOKUP(A175,Competitors!$A$2:$I$650,3,FALSE)," ",VLOOKUP(A175,Competitors!$A$2:$I$650,2,FALSE)))</f>
        <v>Lucy Smith</v>
      </c>
    </row>
    <row r="176" spans="1:2" x14ac:dyDescent="0.35">
      <c r="A176">
        <f>IF(ISNUMBER(Competitors!A176),Competitors!A176,"")</f>
        <v>687</v>
      </c>
      <c r="B176" t="str">
        <f>IF(A176="","",CONCATENATE(VLOOKUP(A176,Competitors!$A$2:$I$650,3,FALSE)," ",VLOOKUP(A176,Competitors!$A$2:$I$650,2,FALSE)))</f>
        <v>Timothy Smith</v>
      </c>
    </row>
    <row r="177" spans="1:2" x14ac:dyDescent="0.35">
      <c r="A177">
        <f>IF(ISNUMBER(Competitors!A177),Competitors!A177,"")</f>
        <v>1420</v>
      </c>
      <c r="B177" t="str">
        <f>IF(A177="","",CONCATENATE(VLOOKUP(A177,Competitors!$A$2:$I$650,3,FALSE)," ",VLOOKUP(A177,Competitors!$A$2:$I$650,2,FALSE)))</f>
        <v>Paula Stephenson</v>
      </c>
    </row>
    <row r="178" spans="1:2" x14ac:dyDescent="0.35">
      <c r="A178">
        <f>IF(ISNUMBER(Competitors!A178),Competitors!A178,"")</f>
        <v>1410</v>
      </c>
      <c r="B178" t="str">
        <f>IF(A178="","",CONCATENATE(VLOOKUP(A178,Competitors!$A$2:$I$650,3,FALSE)," ",VLOOKUP(A178,Competitors!$A$2:$I$650,2,FALSE)))</f>
        <v>Ryan Stuart</v>
      </c>
    </row>
    <row r="179" spans="1:2" x14ac:dyDescent="0.35">
      <c r="A179">
        <f>IF(ISNUMBER(Competitors!A179),Competitors!A179,"")</f>
        <v>1161</v>
      </c>
      <c r="B179" t="str">
        <f>IF(A179="","",CONCATENATE(VLOOKUP(A179,Competitors!$A$2:$I$650,3,FALSE)," ",VLOOKUP(A179,Competitors!$A$2:$I$650,2,FALSE)))</f>
        <v>Maciej Suchocki</v>
      </c>
    </row>
    <row r="180" spans="1:2" x14ac:dyDescent="0.35">
      <c r="A180">
        <f>IF(ISNUMBER(Competitors!A180),Competitors!A180,"")</f>
        <v>890</v>
      </c>
      <c r="B180" t="str">
        <f>IF(A180="","",CONCATENATE(VLOOKUP(A180,Competitors!$A$2:$I$650,3,FALSE)," ",VLOOKUP(A180,Competitors!$A$2:$I$650,2,FALSE)))</f>
        <v>Rowland Summerlin</v>
      </c>
    </row>
    <row r="181" spans="1:2" x14ac:dyDescent="0.35">
      <c r="A181">
        <f>IF(ISNUMBER(Competitors!A181),Competitors!A181,"")</f>
        <v>45</v>
      </c>
      <c r="B181" t="str">
        <f>IF(A181="","",CONCATENATE(VLOOKUP(A181,Competitors!$A$2:$I$650,3,FALSE)," ",VLOOKUP(A181,Competitors!$A$2:$I$650,2,FALSE)))</f>
        <v>Ray Taylor</v>
      </c>
    </row>
    <row r="182" spans="1:2" x14ac:dyDescent="0.35">
      <c r="A182">
        <f>IF(ISNUMBER(Competitors!A182),Competitors!A182,"")</f>
        <v>1160</v>
      </c>
      <c r="B182" t="str">
        <f>IF(A182="","",CONCATENATE(VLOOKUP(A182,Competitors!$A$2:$I$650,3,FALSE)," ",VLOOKUP(A182,Competitors!$A$2:$I$650,2,FALSE)))</f>
        <v>Rhys Thomas</v>
      </c>
    </row>
    <row r="183" spans="1:2" x14ac:dyDescent="0.35">
      <c r="A183">
        <f>IF(ISNUMBER(Competitors!A183),Competitors!A183,"")</f>
        <v>945</v>
      </c>
      <c r="B183" t="str">
        <f>IF(A183="","",CONCATENATE(VLOOKUP(A183,Competitors!$A$2:$I$650,3,FALSE)," ",VLOOKUP(A183,Competitors!$A$2:$I$650,2,FALSE)))</f>
        <v>George Timmins</v>
      </c>
    </row>
    <row r="184" spans="1:2" x14ac:dyDescent="0.35">
      <c r="A184">
        <f>IF(ISNUMBER(Competitors!A184),Competitors!A184,"")</f>
        <v>813</v>
      </c>
      <c r="B184" t="str">
        <f>IF(A184="","",CONCATENATE(VLOOKUP(A184,Competitors!$A$2:$I$650,3,FALSE)," ",VLOOKUP(A184,Competitors!$A$2:$I$650,2,FALSE)))</f>
        <v>Dawn Timmins</v>
      </c>
    </row>
    <row r="185" spans="1:2" x14ac:dyDescent="0.35">
      <c r="A185">
        <f>IF(ISNUMBER(Competitors!A185),Competitors!A185,"")</f>
        <v>812</v>
      </c>
      <c r="B185" t="str">
        <f>IF(A185="","",CONCATENATE(VLOOKUP(A185,Competitors!$A$2:$I$650,3,FALSE)," ",VLOOKUP(A185,Competitors!$A$2:$I$650,2,FALSE)))</f>
        <v>Gavin Timmins</v>
      </c>
    </row>
    <row r="186" spans="1:2" x14ac:dyDescent="0.35">
      <c r="A186">
        <f>IF(ISNUMBER(Competitors!A186),Competitors!A186,"")</f>
        <v>1129</v>
      </c>
      <c r="B186" t="str">
        <f>IF(A186="","",CONCATENATE(VLOOKUP(A186,Competitors!$A$2:$I$650,3,FALSE)," ",VLOOKUP(A186,Competitors!$A$2:$I$650,2,FALSE)))</f>
        <v>Doug Tincello</v>
      </c>
    </row>
    <row r="187" spans="1:2" x14ac:dyDescent="0.35">
      <c r="A187">
        <f>IF(ISNUMBER(Competitors!A187),Competitors!A187,"")</f>
        <v>915</v>
      </c>
      <c r="B187" t="str">
        <f>IF(A187="","",CONCATENATE(VLOOKUP(A187,Competitors!$A$2:$I$650,3,FALSE)," ",VLOOKUP(A187,Competitors!$A$2:$I$650,2,FALSE)))</f>
        <v>Julian Twynham</v>
      </c>
    </row>
    <row r="188" spans="1:2" x14ac:dyDescent="0.35">
      <c r="A188">
        <f>IF(ISNUMBER(Competitors!A188),Competitors!A188,"")</f>
        <v>860</v>
      </c>
      <c r="B188" t="str">
        <f>IF(A188="","",CONCATENATE(VLOOKUP(A188,Competitors!$A$2:$I$650,3,FALSE)," ",VLOOKUP(A188,Competitors!$A$2:$I$650,2,FALSE)))</f>
        <v>Millie van Nierop</v>
      </c>
    </row>
    <row r="189" spans="1:2" x14ac:dyDescent="0.35">
      <c r="A189">
        <f>IF(ISNUMBER(Competitors!A189),Competitors!A189,"")</f>
        <v>756</v>
      </c>
      <c r="B189" t="str">
        <f>IF(A189="","",CONCATENATE(VLOOKUP(A189,Competitors!$A$2:$I$650,3,FALSE)," ",VLOOKUP(A189,Competitors!$A$2:$I$650,2,FALSE)))</f>
        <v>Josh van Nierop</v>
      </c>
    </row>
    <row r="190" spans="1:2" x14ac:dyDescent="0.35">
      <c r="A190">
        <f>IF(ISNUMBER(Competitors!A190),Competitors!A190,"")</f>
        <v>407</v>
      </c>
      <c r="B190" t="str">
        <f>IF(A190="","",CONCATENATE(VLOOKUP(A190,Competitors!$A$2:$I$650,3,FALSE)," ",VLOOKUP(A190,Competitors!$A$2:$I$650,2,FALSE)))</f>
        <v>Hans van Nierop</v>
      </c>
    </row>
    <row r="191" spans="1:2" x14ac:dyDescent="0.35">
      <c r="A191">
        <f>IF(ISNUMBER(Competitors!A191),Competitors!A191,"")</f>
        <v>1312</v>
      </c>
      <c r="B191" t="str">
        <f>IF(A191="","",CONCATENATE(VLOOKUP(A191,Competitors!$A$2:$I$650,3,FALSE)," ",VLOOKUP(A191,Competitors!$A$2:$I$650,2,FALSE)))</f>
        <v>Judith Waddington</v>
      </c>
    </row>
    <row r="192" spans="1:2" x14ac:dyDescent="0.35">
      <c r="A192">
        <f>IF(ISNUMBER(Competitors!A192),Competitors!A192,"")</f>
        <v>935</v>
      </c>
      <c r="B192" t="str">
        <f>IF(A192="","",CONCATENATE(VLOOKUP(A192,Competitors!$A$2:$I$650,3,FALSE)," ",VLOOKUP(A192,Competitors!$A$2:$I$650,2,FALSE)))</f>
        <v>Sophie Ward</v>
      </c>
    </row>
    <row r="193" spans="1:2" x14ac:dyDescent="0.35">
      <c r="A193">
        <f>IF(ISNUMBER(Competitors!A193),Competitors!A193,"")</f>
        <v>999</v>
      </c>
      <c r="B193" t="str">
        <f>IF(A193="","",CONCATENATE(VLOOKUP(A193,Competitors!$A$2:$I$650,3,FALSE)," ",VLOOKUP(A193,Competitors!$A$2:$I$650,2,FALSE)))</f>
        <v>Abigail Ward</v>
      </c>
    </row>
    <row r="194" spans="1:2" x14ac:dyDescent="0.35">
      <c r="A194">
        <f>IF(ISNUMBER(Competitors!A194),Competitors!A194,"")</f>
        <v>998</v>
      </c>
      <c r="B194" t="str">
        <f>IF(A194="","",CONCATENATE(VLOOKUP(A194,Competitors!$A$2:$I$650,3,FALSE)," ",VLOOKUP(A194,Competitors!$A$2:$I$650,2,FALSE)))</f>
        <v>Debbie Ward</v>
      </c>
    </row>
    <row r="195" spans="1:2" x14ac:dyDescent="0.35">
      <c r="A195">
        <f>IF(ISNUMBER(Competitors!A195),Competitors!A195,"")</f>
        <v>616</v>
      </c>
      <c r="B195" t="str">
        <f>IF(A195="","",CONCATENATE(VLOOKUP(A195,Competitors!$A$2:$I$650,3,FALSE)," ",VLOOKUP(A195,Competitors!$A$2:$I$650,2,FALSE)))</f>
        <v>Simon Ward</v>
      </c>
    </row>
    <row r="196" spans="1:2" x14ac:dyDescent="0.35">
      <c r="A196">
        <f>IF(ISNUMBER(Competitors!A196),Competitors!A196,"")</f>
        <v>558</v>
      </c>
      <c r="B196" t="str">
        <f>IF(A196="","",CONCATENATE(VLOOKUP(A196,Competitors!$A$2:$I$650,3,FALSE)," ",VLOOKUP(A196,Competitors!$A$2:$I$650,2,FALSE)))</f>
        <v>Andrew Weatherby</v>
      </c>
    </row>
    <row r="197" spans="1:2" x14ac:dyDescent="0.35">
      <c r="A197">
        <f>IF(ISNUMBER(Competitors!A197),Competitors!A197,"")</f>
        <v>991</v>
      </c>
      <c r="B197" t="str">
        <f>IF(A197="","",CONCATENATE(VLOOKUP(A197,Competitors!$A$2:$I$650,3,FALSE)," ",VLOOKUP(A197,Competitors!$A$2:$I$650,2,FALSE)))</f>
        <v>Eleanor Webber</v>
      </c>
    </row>
    <row r="198" spans="1:2" x14ac:dyDescent="0.35">
      <c r="A198">
        <f>IF(ISNUMBER(Competitors!A198),Competitors!A198,"")</f>
        <v>359</v>
      </c>
      <c r="B198" t="str">
        <f>IF(A198="","",CONCATENATE(VLOOKUP(A198,Competitors!$A$2:$I$650,3,FALSE)," ",VLOOKUP(A198,Competitors!$A$2:$I$650,2,FALSE)))</f>
        <v>John Welsford</v>
      </c>
    </row>
    <row r="199" spans="1:2" x14ac:dyDescent="0.35">
      <c r="A199">
        <f>IF(ISNUMBER(Competitors!A199),Competitors!A199,"")</f>
        <v>1310</v>
      </c>
      <c r="B199" t="str">
        <f>IF(A199="","",CONCATENATE(VLOOKUP(A199,Competitors!$A$2:$I$650,3,FALSE)," ",VLOOKUP(A199,Competitors!$A$2:$I$650,2,FALSE)))</f>
        <v>Thomas Weston</v>
      </c>
    </row>
    <row r="200" spans="1:2" x14ac:dyDescent="0.35">
      <c r="A200">
        <f>IF(ISNUMBER(Competitors!A200),Competitors!A200,"")</f>
        <v>1254</v>
      </c>
      <c r="B200" t="str">
        <f>IF(A200="","",CONCATENATE(VLOOKUP(A200,Competitors!$A$2:$I$650,3,FALSE)," ",VLOOKUP(A200,Competitors!$A$2:$I$650,2,FALSE)))</f>
        <v>Paul White</v>
      </c>
    </row>
    <row r="201" spans="1:2" x14ac:dyDescent="0.35">
      <c r="A201">
        <f>IF(ISNUMBER(Competitors!A201),Competitors!A201,"")</f>
        <v>1200</v>
      </c>
      <c r="B201" t="str">
        <f>IF(A201="","",CONCATENATE(VLOOKUP(A201,Competitors!$A$2:$I$650,3,FALSE)," ",VLOOKUP(A201,Competitors!$A$2:$I$650,2,FALSE)))</f>
        <v>Jules Wilks</v>
      </c>
    </row>
    <row r="202" spans="1:2" x14ac:dyDescent="0.35">
      <c r="A202">
        <f>IF(ISNUMBER(Competitors!A202),Competitors!A202,"")</f>
        <v>1411</v>
      </c>
      <c r="B202" t="str">
        <f>IF(A202="","",CONCATENATE(VLOOKUP(A202,Competitors!$A$2:$I$650,3,FALSE)," ",VLOOKUP(A202,Competitors!$A$2:$I$650,2,FALSE)))</f>
        <v>Anne Wilks</v>
      </c>
    </row>
    <row r="203" spans="1:2" x14ac:dyDescent="0.35">
      <c r="A203">
        <f>IF(ISNUMBER(Competitors!A203),Competitors!A203,"")</f>
        <v>1412</v>
      </c>
      <c r="B203" t="str">
        <f>IF(A203="","",CONCATENATE(VLOOKUP(A203,Competitors!$A$2:$I$650,3,FALSE)," ",VLOOKUP(A203,Competitors!$A$2:$I$650,2,FALSE)))</f>
        <v>Fie Wilks</v>
      </c>
    </row>
    <row r="204" spans="1:2" x14ac:dyDescent="0.35">
      <c r="A204">
        <f>IF(ISNUMBER(Competitors!A204),Competitors!A204,"")</f>
        <v>1413</v>
      </c>
      <c r="B204" t="str">
        <f>IF(A204="","",CONCATENATE(VLOOKUP(A204,Competitors!$A$2:$I$650,3,FALSE)," ",VLOOKUP(A204,Competitors!$A$2:$I$650,2,FALSE)))</f>
        <v>Toby Wilks</v>
      </c>
    </row>
    <row r="205" spans="1:2" x14ac:dyDescent="0.35">
      <c r="A205">
        <f>IF(ISNUMBER(Competitors!A205),Competitors!A205,"")</f>
        <v>1376</v>
      </c>
      <c r="B205" t="str">
        <f>IF(A205="","",CONCATENATE(VLOOKUP(A205,Competitors!$A$2:$I$650,3,FALSE)," ",VLOOKUP(A205,Competitors!$A$2:$I$650,2,FALSE)))</f>
        <v>Sally Will</v>
      </c>
    </row>
    <row r="206" spans="1:2" x14ac:dyDescent="0.35">
      <c r="A206">
        <f>IF(ISNUMBER(Competitors!A206),Competitors!A206,"")</f>
        <v>1140</v>
      </c>
      <c r="B206" t="str">
        <f>IF(A206="","",CONCATENATE(VLOOKUP(A206,Competitors!$A$2:$I$650,3,FALSE)," ",VLOOKUP(A206,Competitors!$A$2:$I$650,2,FALSE)))</f>
        <v>Kevin Willett</v>
      </c>
    </row>
    <row r="207" spans="1:2" x14ac:dyDescent="0.35">
      <c r="A207">
        <f>IF(ISNUMBER(Competitors!A207),Competitors!A207,"")</f>
        <v>989</v>
      </c>
      <c r="B207" t="str">
        <f>IF(A207="","",CONCATENATE(VLOOKUP(A207,Competitors!$A$2:$I$650,3,FALSE)," ",VLOOKUP(A207,Competitors!$A$2:$I$650,2,FALSE)))</f>
        <v>Jason Williams</v>
      </c>
    </row>
    <row r="208" spans="1:2" x14ac:dyDescent="0.35">
      <c r="A208">
        <f>IF(ISNUMBER(Competitors!A208),Competitors!A208,"")</f>
        <v>1417</v>
      </c>
      <c r="B208" t="str">
        <f>IF(A208="","",CONCATENATE(VLOOKUP(A208,Competitors!$A$2:$I$650,3,FALSE)," ",VLOOKUP(A208,Competitors!$A$2:$I$650,2,FALSE)))</f>
        <v>Michelle Wilson</v>
      </c>
    </row>
    <row r="209" spans="1:2" x14ac:dyDescent="0.35">
      <c r="A209">
        <f>IF(ISNUMBER(Competitors!A209),Competitors!A209,"")</f>
        <v>52</v>
      </c>
      <c r="B209" t="str">
        <f>IF(A209="","",CONCATENATE(VLOOKUP(A209,Competitors!$A$2:$I$650,3,FALSE)," ",VLOOKUP(A209,Competitors!$A$2:$I$650,2,FALSE)))</f>
        <v>Will Wise</v>
      </c>
    </row>
    <row r="210" spans="1:2" x14ac:dyDescent="0.35">
      <c r="A210">
        <f>IF(ISNUMBER(Competitors!A210),Competitors!A210,"")</f>
        <v>62</v>
      </c>
      <c r="B210" t="str">
        <f>IF(A210="","",CONCATENATE(VLOOKUP(A210,Competitors!$A$2:$I$650,3,FALSE)," ",VLOOKUP(A210,Competitors!$A$2:$I$650,2,FALSE)))</f>
        <v>David Wilson</v>
      </c>
    </row>
    <row r="211" spans="1:2" x14ac:dyDescent="0.35">
      <c r="A211">
        <f>IF(ISNUMBER(Competitors!A211),Competitors!A211,"")</f>
        <v>930</v>
      </c>
      <c r="B211" t="str">
        <f>IF(A211="","",CONCATENATE(VLOOKUP(A211,Competitors!$A$2:$I$650,3,FALSE)," ",VLOOKUP(A211,Competitors!$A$2:$I$650,2,FALSE)))</f>
        <v>Catherine Wintersgill</v>
      </c>
    </row>
    <row r="212" spans="1:2" x14ac:dyDescent="0.35">
      <c r="A212">
        <f>IF(ISNUMBER(Competitors!A212),Competitors!A212,"")</f>
        <v>744</v>
      </c>
      <c r="B212" t="str">
        <f>IF(A212="","",CONCATENATE(VLOOKUP(A212,Competitors!$A$2:$I$650,3,FALSE)," ",VLOOKUP(A212,Competitors!$A$2:$I$650,2,FALSE)))</f>
        <v>Robert Woodford</v>
      </c>
    </row>
    <row r="213" spans="1:2" x14ac:dyDescent="0.35">
      <c r="A213">
        <f>IF(ISNUMBER(Competitors!A213),Competitors!A213,"")</f>
        <v>337</v>
      </c>
      <c r="B213" t="str">
        <f>IF(A213="","",CONCATENATE(VLOOKUP(A213,Competitors!$A$2:$I$650,3,FALSE)," ",VLOOKUP(A213,Competitors!$A$2:$I$650,2,FALSE)))</f>
        <v>Linda Yarnold</v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tabSelected="1" zoomScaleNormal="100" workbookViewId="0">
      <selection activeCell="G12" sqref="G1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 t="str">
        <f t="shared" ref="B32" si="2">IF(A32="","",_xlfn.XLOOKUP(A32,ClubNames,ClubNumbers,_xlfn.XLOOKUP(A32,RoundRobinRiderNames,RoundRobinRiderDecoratedNames,A32)))</f>
        <v>Ed Tarelli (Race Hub)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 (Race Hub)</v>
      </c>
      <c r="I32" s="20">
        <f t="shared" si="0"/>
        <v>1.8333333333333333E-2</v>
      </c>
      <c r="J32" t="str">
        <f t="shared" si="1"/>
        <v>X</v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13</vt:i4>
      </vt:variant>
    </vt:vector>
  </HeadingPairs>
  <TitlesOfParts>
    <vt:vector size="51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2026-04-07T20:06:38Z</dcterms:modified>
</cp:coreProperties>
</file>