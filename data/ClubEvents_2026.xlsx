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heets/sheet1.xml" ContentType="application/vnd.openxmlformats-officedocument.spreadsheetml.chart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7FB248D5-3B0A-4491-9B45-601D433A1446}" xr6:coauthVersionLast="47" xr6:coauthVersionMax="47" xr10:uidLastSave="{00000000-0000-0000-0000-000000000000}"/>
  <bookViews>
    <workbookView xWindow="-98" yWindow="-98" windowWidth="28996" windowHeight="17475" firstSheet="15" activeTab="18"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Chart1" sheetId="48"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6" i="16" l="1"/>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s="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C104" i="35" s="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J44" i="25" s="1"/>
  <c r="I43" i="25"/>
  <c r="B43" i="25"/>
  <c r="J43" i="25" s="1"/>
  <c r="I42" i="25"/>
  <c r="B42" i="25"/>
  <c r="I41" i="25"/>
  <c r="B41" i="25"/>
  <c r="I40" i="25"/>
  <c r="B40" i="25"/>
  <c r="H40" i="25" s="1"/>
  <c r="I39" i="25"/>
  <c r="B39" i="25"/>
  <c r="I38" i="25"/>
  <c r="B38" i="25"/>
  <c r="J38" i="25" s="1"/>
  <c r="I37" i="25"/>
  <c r="B37" i="25"/>
  <c r="I36" i="25"/>
  <c r="B36" i="25"/>
  <c r="J36" i="25" s="1"/>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s="1"/>
  <c r="A238" i="15"/>
  <c r="B238" i="15" s="1"/>
  <c r="A237" i="15"/>
  <c r="B237" i="15" s="1"/>
  <c r="A236" i="15"/>
  <c r="B236" i="15" s="1"/>
  <c r="A235" i="15"/>
  <c r="B235" i="15" s="1"/>
  <c r="A234" i="15"/>
  <c r="B234" i="15" s="1"/>
  <c r="A233" i="15"/>
  <c r="B233" i="15" s="1"/>
  <c r="A232" i="15"/>
  <c r="B232" i="15" s="1"/>
  <c r="A231" i="15"/>
  <c r="B231" i="15" s="1"/>
  <c r="A230" i="15"/>
  <c r="B230" i="15" s="1"/>
  <c r="A229" i="15"/>
  <c r="B229" i="15" s="1"/>
  <c r="A228" i="15"/>
  <c r="B228" i="15" s="1"/>
  <c r="A227" i="15"/>
  <c r="B227" i="15" s="1"/>
  <c r="A226" i="15"/>
  <c r="B226" i="15" s="1"/>
  <c r="A225" i="15"/>
  <c r="B225" i="15" s="1"/>
  <c r="A224" i="15"/>
  <c r="B224" i="15" s="1"/>
  <c r="A223" i="15"/>
  <c r="B223" i="15" s="1"/>
  <c r="A222" i="15"/>
  <c r="B222" i="15" s="1"/>
  <c r="A221" i="15"/>
  <c r="B221" i="15" s="1"/>
  <c r="A220" i="15"/>
  <c r="B220" i="15" s="1"/>
  <c r="A219" i="15"/>
  <c r="B219" i="15" s="1"/>
  <c r="A218" i="15"/>
  <c r="B218" i="15" s="1"/>
  <c r="A217" i="15"/>
  <c r="B217" i="15" s="1"/>
  <c r="A216" i="15"/>
  <c r="B216" i="15" s="1"/>
  <c r="A215" i="15"/>
  <c r="B215" i="15" s="1"/>
  <c r="A214" i="15"/>
  <c r="B214" i="15" s="1"/>
  <c r="A213" i="15"/>
  <c r="B213" i="15" s="1"/>
  <c r="A212" i="15"/>
  <c r="B212" i="15" s="1"/>
  <c r="A211" i="15"/>
  <c r="B211" i="15" s="1"/>
  <c r="A210" i="15"/>
  <c r="B210" i="15" s="1"/>
  <c r="A209" i="15"/>
  <c r="B209" i="15" s="1"/>
  <c r="A208" i="15"/>
  <c r="B208" i="15" s="1"/>
  <c r="A207" i="15"/>
  <c r="B207" i="15" s="1"/>
  <c r="A206" i="15"/>
  <c r="B206" i="15" s="1"/>
  <c r="A205" i="15"/>
  <c r="B205" i="15" s="1"/>
  <c r="A204" i="15"/>
  <c r="B204" i="15" s="1"/>
  <c r="A203" i="15"/>
  <c r="B203" i="15" s="1"/>
  <c r="A202" i="15"/>
  <c r="B202" i="15" s="1"/>
  <c r="A201" i="15"/>
  <c r="B201" i="15" s="1"/>
  <c r="A200" i="15"/>
  <c r="B200" i="15" s="1"/>
  <c r="A199" i="15"/>
  <c r="B199" i="15" s="1"/>
  <c r="A198" i="15"/>
  <c r="B198" i="15" s="1"/>
  <c r="A197" i="15"/>
  <c r="B197" i="15" s="1"/>
  <c r="A196" i="15"/>
  <c r="B196" i="15" s="1"/>
  <c r="A195" i="15"/>
  <c r="B195" i="15" s="1"/>
  <c r="A194" i="15"/>
  <c r="B194" i="15" s="1"/>
  <c r="A193" i="15"/>
  <c r="B193" i="15" s="1"/>
  <c r="A192" i="15"/>
  <c r="B192" i="15" s="1"/>
  <c r="A191" i="15"/>
  <c r="B191" i="15" s="1"/>
  <c r="A190" i="15"/>
  <c r="B190" i="15" s="1"/>
  <c r="A189" i="15"/>
  <c r="B189" i="15" s="1"/>
  <c r="A188" i="15"/>
  <c r="B188" i="15" s="1"/>
  <c r="A187" i="15"/>
  <c r="B187" i="15" s="1"/>
  <c r="A186" i="15"/>
  <c r="B186" i="15" s="1"/>
  <c r="A185" i="15"/>
  <c r="B185" i="15" s="1"/>
  <c r="A184" i="15"/>
  <c r="B184" i="15" s="1"/>
  <c r="A183" i="15"/>
  <c r="B183" i="15" s="1"/>
  <c r="A182" i="15"/>
  <c r="B182" i="15" s="1"/>
  <c r="A181" i="15"/>
  <c r="B181" i="15" s="1"/>
  <c r="A180" i="15"/>
  <c r="B180" i="15" s="1"/>
  <c r="A179" i="15"/>
  <c r="B179" i="15" s="1"/>
  <c r="A178" i="15"/>
  <c r="B178" i="15" s="1"/>
  <c r="A177" i="15"/>
  <c r="B177" i="15" s="1"/>
  <c r="A176" i="15"/>
  <c r="B176" i="15" s="1"/>
  <c r="A175" i="15"/>
  <c r="B175" i="15" s="1"/>
  <c r="A174" i="15"/>
  <c r="B174" i="15" s="1"/>
  <c r="A173" i="15"/>
  <c r="B173" i="15" s="1"/>
  <c r="A172" i="15"/>
  <c r="B172" i="15" s="1"/>
  <c r="A171" i="15"/>
  <c r="B171" i="15" s="1"/>
  <c r="A170" i="15"/>
  <c r="B170" i="15" s="1"/>
  <c r="A169" i="15"/>
  <c r="B169" i="15" s="1"/>
  <c r="A168" i="15"/>
  <c r="B168" i="15" s="1"/>
  <c r="A167" i="15"/>
  <c r="B167" i="15" s="1"/>
  <c r="A166" i="15"/>
  <c r="B166" i="15" s="1"/>
  <c r="A165" i="15"/>
  <c r="B165" i="15" s="1"/>
  <c r="A164" i="15"/>
  <c r="B164" i="15" s="1"/>
  <c r="A163" i="15"/>
  <c r="B163" i="15" s="1"/>
  <c r="A162" i="15"/>
  <c r="B162" i="15" s="1"/>
  <c r="A161" i="15"/>
  <c r="B161" i="15" s="1"/>
  <c r="A160" i="15"/>
  <c r="B160" i="15" s="1"/>
  <c r="A159" i="15"/>
  <c r="B159" i="15" s="1"/>
  <c r="A158" i="15"/>
  <c r="B158" i="15" s="1"/>
  <c r="A157" i="15"/>
  <c r="B157" i="15" s="1"/>
  <c r="A156" i="15"/>
  <c r="B156" i="15" s="1"/>
  <c r="A155" i="15"/>
  <c r="B155" i="15" s="1"/>
  <c r="A154" i="15"/>
  <c r="B154" i="15" s="1"/>
  <c r="A153" i="15"/>
  <c r="B153" i="15" s="1"/>
  <c r="A152" i="15"/>
  <c r="B152" i="15" s="1"/>
  <c r="A151" i="15"/>
  <c r="B151" i="15" s="1"/>
  <c r="A150" i="15"/>
  <c r="B150" i="15" s="1"/>
  <c r="A149" i="15"/>
  <c r="B149" i="15" s="1"/>
  <c r="A148" i="15"/>
  <c r="B148" i="15" s="1"/>
  <c r="A147" i="15"/>
  <c r="B147" i="15" s="1"/>
  <c r="A146" i="15"/>
  <c r="B146" i="15" s="1"/>
  <c r="A145" i="15"/>
  <c r="B145" i="15" s="1"/>
  <c r="A144" i="15"/>
  <c r="B144" i="15" s="1"/>
  <c r="A143" i="15"/>
  <c r="B143" i="15" s="1"/>
  <c r="A142" i="15"/>
  <c r="B142" i="15" s="1"/>
  <c r="A141" i="15"/>
  <c r="B141" i="15" s="1"/>
  <c r="A140" i="15"/>
  <c r="B140" i="15" s="1"/>
  <c r="A139" i="15"/>
  <c r="B139" i="15" s="1"/>
  <c r="A138" i="15"/>
  <c r="B138" i="15" s="1"/>
  <c r="A137" i="15"/>
  <c r="B137" i="15" s="1"/>
  <c r="A136" i="15"/>
  <c r="B136" i="15" s="1"/>
  <c r="A135" i="15"/>
  <c r="B135" i="15" s="1"/>
  <c r="A134" i="15"/>
  <c r="B134" i="15" s="1"/>
  <c r="A133" i="15"/>
  <c r="B133" i="15" s="1"/>
  <c r="A132" i="15"/>
  <c r="B132" i="15" s="1"/>
  <c r="A131" i="15"/>
  <c r="B131" i="15" s="1"/>
  <c r="A130" i="15"/>
  <c r="B130" i="15" s="1"/>
  <c r="A129" i="15"/>
  <c r="B129" i="15" s="1"/>
  <c r="A128" i="15"/>
  <c r="B128" i="15" s="1"/>
  <c r="A127" i="15"/>
  <c r="B127" i="15" s="1"/>
  <c r="A126" i="15"/>
  <c r="B126" i="15" s="1"/>
  <c r="A125" i="15"/>
  <c r="B125" i="15" s="1"/>
  <c r="A124" i="15"/>
  <c r="B124" i="15" s="1"/>
  <c r="A123" i="15"/>
  <c r="B123" i="15" s="1"/>
  <c r="A122" i="15"/>
  <c r="B122" i="15" s="1"/>
  <c r="A121" i="15"/>
  <c r="B121" i="15" s="1"/>
  <c r="A120" i="15"/>
  <c r="B120" i="15" s="1"/>
  <c r="A119" i="15"/>
  <c r="B119" i="15" s="1"/>
  <c r="A118" i="15"/>
  <c r="B118" i="15" s="1"/>
  <c r="A117" i="15"/>
  <c r="B117" i="15" s="1"/>
  <c r="A116" i="15"/>
  <c r="B116" i="15" s="1"/>
  <c r="A115" i="15"/>
  <c r="B115" i="15" s="1"/>
  <c r="A114" i="15"/>
  <c r="B114" i="15" s="1"/>
  <c r="A113" i="15"/>
  <c r="B113" i="15" s="1"/>
  <c r="A112" i="15"/>
  <c r="B112" i="15" s="1"/>
  <c r="A111" i="15"/>
  <c r="B111" i="15" s="1"/>
  <c r="A110" i="15"/>
  <c r="B110" i="15" s="1"/>
  <c r="A109" i="15"/>
  <c r="B109" i="15" s="1"/>
  <c r="A108" i="15"/>
  <c r="B108" i="15" s="1"/>
  <c r="A107" i="15"/>
  <c r="B107" i="15" s="1"/>
  <c r="A106" i="15"/>
  <c r="B106" i="15" s="1"/>
  <c r="A105" i="15"/>
  <c r="B105" i="15" s="1"/>
  <c r="A104" i="15"/>
  <c r="B104" i="15" s="1"/>
  <c r="A103" i="15"/>
  <c r="B103" i="15" s="1"/>
  <c r="A102" i="15"/>
  <c r="B102" i="15" s="1"/>
  <c r="A101" i="15"/>
  <c r="B101" i="15" s="1"/>
  <c r="A100" i="15"/>
  <c r="B100" i="15" s="1"/>
  <c r="A99" i="15"/>
  <c r="B99" i="15" s="1"/>
  <c r="A98" i="15"/>
  <c r="B98" i="15" s="1"/>
  <c r="A97" i="15"/>
  <c r="B97" i="15" s="1"/>
  <c r="A96" i="15"/>
  <c r="B96" i="15" s="1"/>
  <c r="A95" i="15"/>
  <c r="B95" i="15" s="1"/>
  <c r="A94" i="15"/>
  <c r="B94" i="15" s="1"/>
  <c r="A93" i="15"/>
  <c r="B93" i="15" s="1"/>
  <c r="A92" i="15"/>
  <c r="B92" i="15" s="1"/>
  <c r="A91" i="15"/>
  <c r="B91" i="15" s="1"/>
  <c r="A90" i="15"/>
  <c r="B90" i="15" s="1"/>
  <c r="A89" i="15"/>
  <c r="B89" i="15" s="1"/>
  <c r="A88" i="15"/>
  <c r="B88" i="15" s="1"/>
  <c r="A87" i="15"/>
  <c r="B87" i="15" s="1"/>
  <c r="A86" i="15"/>
  <c r="B86" i="15" s="1"/>
  <c r="A85" i="15"/>
  <c r="B85" i="15" s="1"/>
  <c r="A84" i="15"/>
  <c r="B84" i="15" s="1"/>
  <c r="A83" i="15"/>
  <c r="B83" i="15" s="1"/>
  <c r="A82" i="15"/>
  <c r="B82" i="15" s="1"/>
  <c r="A81" i="15"/>
  <c r="B81" i="15" s="1"/>
  <c r="A80" i="15"/>
  <c r="B80" i="15" s="1"/>
  <c r="A79" i="15"/>
  <c r="B79" i="15" s="1"/>
  <c r="A78" i="15"/>
  <c r="B78" i="15" s="1"/>
  <c r="A77" i="15"/>
  <c r="B77" i="15" s="1"/>
  <c r="A76" i="15"/>
  <c r="B76" i="15" s="1"/>
  <c r="A75" i="15"/>
  <c r="B75" i="15" s="1"/>
  <c r="A74" i="15"/>
  <c r="B74" i="15" s="1"/>
  <c r="A73" i="15"/>
  <c r="B73" i="15" s="1"/>
  <c r="A72" i="15"/>
  <c r="B72" i="15" s="1"/>
  <c r="A71" i="15"/>
  <c r="B71" i="15" s="1"/>
  <c r="A70" i="15"/>
  <c r="B70" i="15" s="1"/>
  <c r="A69" i="15"/>
  <c r="B69" i="15" s="1"/>
  <c r="A68" i="15"/>
  <c r="B68" i="15" s="1"/>
  <c r="A67" i="15"/>
  <c r="B67" i="15" s="1"/>
  <c r="A66" i="15"/>
  <c r="B66" i="15" s="1"/>
  <c r="A65" i="15"/>
  <c r="B65" i="15" s="1"/>
  <c r="A64" i="15"/>
  <c r="B64" i="15" s="1"/>
  <c r="A63" i="15"/>
  <c r="B63" i="15" s="1"/>
  <c r="A62" i="15"/>
  <c r="B62" i="15" s="1"/>
  <c r="A61" i="15"/>
  <c r="B61" i="15" s="1"/>
  <c r="A60" i="15"/>
  <c r="B60" i="15" s="1"/>
  <c r="A59" i="15"/>
  <c r="B59" i="15" s="1"/>
  <c r="A58" i="15"/>
  <c r="B58" i="15" s="1"/>
  <c r="A57" i="15"/>
  <c r="B57" i="15" s="1"/>
  <c r="A56" i="15"/>
  <c r="B56" i="15" s="1"/>
  <c r="A55" i="15"/>
  <c r="B55" i="15" s="1"/>
  <c r="A54" i="15"/>
  <c r="B54" i="15" s="1"/>
  <c r="A53" i="15"/>
  <c r="B53" i="15" s="1"/>
  <c r="A52" i="15"/>
  <c r="B52" i="15" s="1"/>
  <c r="A51" i="15"/>
  <c r="B51" i="15" s="1"/>
  <c r="A50" i="15"/>
  <c r="B50" i="15" s="1"/>
  <c r="A49" i="15"/>
  <c r="B49" i="15" s="1"/>
  <c r="A48" i="15"/>
  <c r="B48" i="15" s="1"/>
  <c r="A47" i="15"/>
  <c r="B47" i="15" s="1"/>
  <c r="A46" i="15"/>
  <c r="B46" i="15" s="1"/>
  <c r="A45" i="15"/>
  <c r="B45" i="15" s="1"/>
  <c r="A44" i="15"/>
  <c r="B44" i="15" s="1"/>
  <c r="A43" i="15"/>
  <c r="B43" i="15" s="1"/>
  <c r="A42" i="15"/>
  <c r="B42" i="15" s="1"/>
  <c r="A41" i="15"/>
  <c r="B41" i="15" s="1"/>
  <c r="A40" i="15"/>
  <c r="B40" i="15" s="1"/>
  <c r="A39" i="15"/>
  <c r="B39" i="15" s="1"/>
  <c r="A38" i="15"/>
  <c r="B38" i="15" s="1"/>
  <c r="A37" i="15"/>
  <c r="B37" i="15" s="1"/>
  <c r="A36" i="15"/>
  <c r="B36" i="15" s="1"/>
  <c r="A35" i="15"/>
  <c r="B35" i="15" s="1"/>
  <c r="A34" i="15"/>
  <c r="B34" i="15" s="1"/>
  <c r="A33" i="15"/>
  <c r="B33" i="15" s="1"/>
  <c r="A32" i="15"/>
  <c r="B32" i="15" s="1"/>
  <c r="A31" i="15"/>
  <c r="B31" i="15" s="1"/>
  <c r="A30" i="15"/>
  <c r="B30" i="15" s="1"/>
  <c r="A29" i="15"/>
  <c r="B29" i="15" s="1"/>
  <c r="A28" i="15"/>
  <c r="B28" i="15" s="1"/>
  <c r="A27" i="15"/>
  <c r="B27" i="15" s="1"/>
  <c r="A26" i="15"/>
  <c r="B26" i="15" s="1"/>
  <c r="A25" i="15"/>
  <c r="B25" i="15" s="1"/>
  <c r="A24" i="15"/>
  <c r="B24" i="15" s="1"/>
  <c r="A23" i="15"/>
  <c r="B23" i="15" s="1"/>
  <c r="A22" i="15"/>
  <c r="B22" i="15" s="1"/>
  <c r="A21" i="15"/>
  <c r="B21" i="15" s="1"/>
  <c r="A20" i="15"/>
  <c r="B20" i="15" s="1"/>
  <c r="A19" i="15"/>
  <c r="B19" i="15" s="1"/>
  <c r="A18" i="15"/>
  <c r="B18" i="15" s="1"/>
  <c r="A17" i="15"/>
  <c r="B17" i="15" s="1"/>
  <c r="A16" i="15"/>
  <c r="B16" i="15" s="1"/>
  <c r="A15" i="15"/>
  <c r="B15" i="15" s="1"/>
  <c r="A14" i="15"/>
  <c r="B14" i="15" s="1"/>
  <c r="A13" i="15"/>
  <c r="B13" i="15" s="1"/>
  <c r="A12" i="15"/>
  <c r="B12" i="15" s="1"/>
  <c r="A11" i="15"/>
  <c r="B11" i="15" s="1"/>
  <c r="A10" i="15"/>
  <c r="B10" i="15" s="1"/>
  <c r="A9" i="15"/>
  <c r="B9" i="15" s="1"/>
  <c r="A8" i="15"/>
  <c r="B8" i="15" s="1"/>
  <c r="A7" i="15"/>
  <c r="B7" i="15" s="1"/>
  <c r="A6" i="15"/>
  <c r="B6" i="15" s="1"/>
  <c r="A5" i="15"/>
  <c r="B5" i="15" s="1"/>
  <c r="A4" i="15"/>
  <c r="B4" i="15" s="1"/>
  <c r="A3" i="15"/>
  <c r="B3" i="15" s="1"/>
  <c r="A2" i="15"/>
  <c r="B2" i="15" s="1"/>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44" i="25"/>
  <c r="J40" i="25"/>
  <c r="J39" i="25"/>
  <c r="H39" i="25"/>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H43" i="25"/>
  <c r="H38" i="25"/>
  <c r="H36" i="25"/>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H98" i="43" l="1"/>
  <c r="J98" i="43"/>
  <c r="J101" i="26"/>
  <c r="H101" i="26"/>
  <c r="H99" i="26"/>
  <c r="J99" i="26"/>
  <c r="J98" i="26"/>
  <c r="H98" i="26"/>
  <c r="H96" i="26"/>
  <c r="J96" i="26"/>
  <c r="H95" i="26"/>
  <c r="J95" i="26"/>
  <c r="J94" i="26"/>
  <c r="H94" i="26"/>
  <c r="H91" i="26"/>
  <c r="J91" i="26"/>
  <c r="J18" i="43"/>
  <c r="H18" i="43"/>
  <c r="J17" i="43"/>
  <c r="H17" i="43"/>
  <c r="J16" i="43"/>
  <c r="H16" i="43"/>
  <c r="J15" i="43"/>
  <c r="H15" i="43"/>
  <c r="J14" i="43"/>
  <c r="H14" i="43"/>
  <c r="J13" i="43"/>
  <c r="H13" i="43"/>
  <c r="J12" i="43"/>
  <c r="H12" i="43"/>
  <c r="J11" i="43"/>
  <c r="H11" i="43"/>
  <c r="J10" i="43"/>
  <c r="H10" i="43"/>
  <c r="J9" i="43"/>
  <c r="H9" i="43"/>
  <c r="H29" i="41"/>
  <c r="J29" i="41"/>
  <c r="J27" i="41"/>
  <c r="H27" i="41"/>
  <c r="H26" i="41"/>
  <c r="J26" i="41"/>
  <c r="J24" i="41"/>
  <c r="H24" i="41"/>
  <c r="J23" i="41"/>
  <c r="H23" i="41"/>
  <c r="J21" i="41"/>
  <c r="H21" i="41"/>
  <c r="J18" i="41"/>
  <c r="H18" i="41"/>
  <c r="J17" i="41"/>
  <c r="H17" i="41"/>
  <c r="H100" i="26"/>
  <c r="J100" i="26"/>
  <c r="H97" i="26"/>
  <c r="J97" i="26"/>
  <c r="H93" i="26"/>
  <c r="J93" i="26"/>
  <c r="H92" i="26"/>
  <c r="J92" i="26"/>
  <c r="H90" i="26"/>
  <c r="J90" i="26"/>
  <c r="H89" i="26"/>
  <c r="J89" i="26"/>
  <c r="H87" i="26"/>
  <c r="J87" i="26"/>
  <c r="J86" i="26"/>
  <c r="H86" i="26"/>
  <c r="H85" i="26"/>
  <c r="J85" i="26"/>
  <c r="H84" i="26"/>
  <c r="J84" i="26"/>
  <c r="H82" i="26"/>
  <c r="J82" i="26"/>
  <c r="J81" i="26"/>
  <c r="H81" i="26"/>
  <c r="J79" i="26"/>
  <c r="H79" i="26"/>
  <c r="J78" i="26"/>
  <c r="H78" i="26"/>
  <c r="J77" i="26"/>
  <c r="H77" i="26"/>
  <c r="J76" i="26"/>
  <c r="H76" i="26"/>
  <c r="J75" i="26"/>
  <c r="H75" i="26"/>
  <c r="H74" i="26"/>
  <c r="J74" i="26"/>
  <c r="H73" i="26"/>
  <c r="J73" i="26"/>
  <c r="H72" i="26"/>
  <c r="J72" i="26"/>
  <c r="J70" i="26"/>
  <c r="H70" i="26"/>
  <c r="H69" i="26"/>
  <c r="J69" i="26"/>
  <c r="J68" i="26"/>
  <c r="H68" i="26"/>
  <c r="J67" i="26"/>
  <c r="H67" i="26"/>
  <c r="H66" i="26"/>
  <c r="J66" i="26"/>
  <c r="H65" i="26"/>
  <c r="J65" i="26"/>
  <c r="H64" i="26"/>
  <c r="J64" i="26"/>
  <c r="H63" i="26"/>
  <c r="J63" i="26"/>
  <c r="J62" i="26"/>
  <c r="H62" i="26"/>
  <c r="J61" i="26"/>
  <c r="H61" i="26"/>
  <c r="J60" i="26"/>
  <c r="H60" i="26"/>
  <c r="H58" i="26"/>
  <c r="J58" i="26"/>
  <c r="J57" i="26"/>
  <c r="H57" i="26"/>
  <c r="J56" i="26"/>
  <c r="H56" i="26"/>
  <c r="H54" i="26"/>
  <c r="J54" i="26"/>
  <c r="H53" i="26"/>
  <c r="J53" i="26"/>
  <c r="H52" i="26"/>
  <c r="J52" i="26"/>
  <c r="H51" i="26"/>
  <c r="J51" i="26"/>
  <c r="H50" i="26"/>
  <c r="J50" i="26"/>
  <c r="J49" i="26"/>
  <c r="H49" i="26"/>
  <c r="H48" i="26"/>
  <c r="J48" i="26"/>
  <c r="J46" i="26"/>
  <c r="H46" i="26"/>
  <c r="J45" i="26"/>
  <c r="H45" i="26"/>
  <c r="H44" i="26"/>
  <c r="J44" i="26"/>
  <c r="J43" i="26"/>
  <c r="H43" i="26"/>
  <c r="J42" i="26"/>
  <c r="H42" i="26"/>
  <c r="J41" i="26"/>
  <c r="H41" i="26"/>
  <c r="H39" i="26"/>
  <c r="J39" i="26"/>
  <c r="J38" i="26"/>
  <c r="H38" i="26"/>
  <c r="J37" i="26"/>
  <c r="H37" i="26"/>
  <c r="H35" i="26"/>
  <c r="J35" i="26"/>
  <c r="H34" i="26"/>
  <c r="J34" i="26"/>
  <c r="H32" i="26"/>
  <c r="J32" i="26"/>
  <c r="J48" i="25"/>
  <c r="H48" i="25"/>
  <c r="H83" i="26"/>
  <c r="J83" i="26"/>
  <c r="J98" i="37"/>
  <c r="H98" i="37"/>
  <c r="H11" i="37"/>
  <c r="J11" i="37"/>
  <c r="J10" i="37"/>
  <c r="H10" i="37"/>
  <c r="J9" i="37"/>
  <c r="H9" i="37"/>
  <c r="J8" i="37"/>
  <c r="H8" i="37"/>
  <c r="J7" i="37"/>
  <c r="H7" i="37"/>
  <c r="J6" i="37"/>
  <c r="H6" i="37"/>
  <c r="H5" i="37"/>
  <c r="J5" i="37"/>
  <c r="J4" i="37"/>
  <c r="H4" i="37"/>
  <c r="J3" i="37"/>
  <c r="H3" i="37"/>
  <c r="J2" i="37"/>
  <c r="H2" i="37"/>
  <c r="H41" i="25"/>
  <c r="J41" i="25"/>
  <c r="H76" i="21"/>
  <c r="J76" i="21"/>
  <c r="J75" i="21"/>
  <c r="H75" i="21"/>
  <c r="J74" i="21"/>
  <c r="H74" i="21"/>
  <c r="H73" i="21"/>
  <c r="J73" i="21"/>
  <c r="H72" i="21"/>
  <c r="J72" i="21"/>
  <c r="J26" i="36"/>
  <c r="H26" i="36"/>
  <c r="H25" i="36"/>
  <c r="J25" i="36"/>
  <c r="J67" i="27"/>
  <c r="H67" i="27"/>
  <c r="H66" i="27"/>
  <c r="J66" i="27"/>
  <c r="H65" i="27"/>
  <c r="J65" i="27"/>
  <c r="J64" i="27"/>
  <c r="H64" i="27"/>
  <c r="J63" i="27"/>
  <c r="H63" i="27"/>
  <c r="J62" i="27"/>
  <c r="H62" i="27"/>
  <c r="J61" i="27"/>
  <c r="H61" i="27"/>
  <c r="H60" i="27"/>
  <c r="J60" i="27"/>
  <c r="J59" i="27"/>
  <c r="H59" i="27"/>
  <c r="H58" i="27"/>
  <c r="J58" i="27"/>
  <c r="H57" i="27"/>
  <c r="J57" i="27"/>
  <c r="H56" i="27"/>
  <c r="J56" i="27"/>
  <c r="J55" i="27"/>
  <c r="H55" i="27"/>
  <c r="J54" i="27"/>
  <c r="H54" i="27"/>
  <c r="H53" i="27"/>
  <c r="J53" i="27"/>
  <c r="H52" i="27"/>
  <c r="J52" i="27"/>
  <c r="H51" i="27"/>
  <c r="J51" i="27"/>
  <c r="H50" i="27"/>
  <c r="J50" i="27"/>
  <c r="H49" i="27"/>
  <c r="J49" i="27"/>
  <c r="H48" i="27"/>
  <c r="J48" i="27"/>
  <c r="H47" i="27"/>
  <c r="J47" i="27"/>
  <c r="H46" i="27"/>
  <c r="J46" i="27"/>
  <c r="H45" i="27"/>
  <c r="J45" i="27"/>
  <c r="H44" i="27"/>
  <c r="J44" i="27"/>
  <c r="H97" i="43"/>
  <c r="J97" i="43"/>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H65" i="43"/>
  <c r="J65" i="43"/>
  <c r="J64" i="43"/>
  <c r="H64" i="43"/>
  <c r="J63" i="43"/>
  <c r="H63" i="43"/>
  <c r="J62" i="43"/>
  <c r="H62" i="43"/>
  <c r="J61" i="43"/>
  <c r="H61" i="43"/>
  <c r="J60" i="43"/>
  <c r="H60" i="43"/>
  <c r="J59" i="43"/>
  <c r="H59" i="43"/>
  <c r="J58" i="43"/>
  <c r="H58" i="43"/>
  <c r="J57" i="43"/>
  <c r="H57" i="43"/>
  <c r="J56" i="43"/>
  <c r="H56" i="43"/>
  <c r="J55" i="43"/>
  <c r="H55" i="43"/>
  <c r="H54" i="43"/>
  <c r="J54" i="43"/>
  <c r="J53" i="43"/>
  <c r="H53" i="43"/>
  <c r="J52" i="43"/>
  <c r="H52" i="43"/>
  <c r="J51" i="43"/>
  <c r="H51" i="43"/>
  <c r="J50" i="43"/>
  <c r="H50" i="43"/>
  <c r="J49" i="43"/>
  <c r="H49" i="43"/>
  <c r="H48" i="43"/>
  <c r="J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H33" i="43"/>
  <c r="J33" i="43"/>
  <c r="J32" i="43"/>
  <c r="H32" i="43"/>
  <c r="J31" i="43"/>
  <c r="H31" i="43"/>
  <c r="J30" i="43"/>
  <c r="H30" i="43"/>
  <c r="J29" i="43"/>
  <c r="H29" i="43"/>
  <c r="J28" i="43"/>
  <c r="H28" i="43"/>
  <c r="J27" i="43"/>
  <c r="H27" i="43"/>
  <c r="J26" i="43"/>
  <c r="H26" i="43"/>
  <c r="J25" i="43"/>
  <c r="H25" i="43"/>
  <c r="H24" i="43"/>
  <c r="J24" i="43"/>
  <c r="J23" i="43"/>
  <c r="H23" i="43"/>
  <c r="J22" i="43"/>
  <c r="H22" i="43"/>
  <c r="J21" i="43"/>
  <c r="H21" i="43"/>
  <c r="J20" i="43"/>
  <c r="H20" i="43"/>
  <c r="J19" i="43"/>
  <c r="H19" i="43"/>
  <c r="H8" i="43"/>
  <c r="J8" i="43"/>
  <c r="J7" i="43"/>
  <c r="H7" i="43"/>
  <c r="J6" i="43"/>
  <c r="H6" i="43"/>
  <c r="J5" i="43"/>
  <c r="H5" i="43"/>
  <c r="J4" i="43"/>
  <c r="H4" i="43"/>
  <c r="H3" i="43"/>
  <c r="J3" i="43"/>
  <c r="H2" i="43"/>
  <c r="J2" i="43"/>
  <c r="J101" i="42"/>
  <c r="H101" i="42"/>
  <c r="H100" i="42"/>
  <c r="J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H79" i="42"/>
  <c r="J79" i="42"/>
  <c r="J78" i="42"/>
  <c r="H78" i="42"/>
  <c r="J77" i="42"/>
  <c r="H77" i="42"/>
  <c r="H76" i="42"/>
  <c r="J76" i="42"/>
  <c r="J75" i="42"/>
  <c r="H75" i="42"/>
  <c r="H74" i="42"/>
  <c r="J74" i="42"/>
  <c r="H73" i="42"/>
  <c r="J73" i="42"/>
  <c r="H72" i="42"/>
  <c r="J72" i="42"/>
  <c r="J40" i="42"/>
  <c r="H40" i="42"/>
  <c r="J39" i="42"/>
  <c r="H39" i="42"/>
  <c r="J38" i="42"/>
  <c r="H38" i="42"/>
  <c r="J37" i="42"/>
  <c r="H37" i="42"/>
  <c r="J75" i="41"/>
  <c r="H75" i="41"/>
  <c r="H74" i="41"/>
  <c r="J74" i="41"/>
  <c r="J73" i="41"/>
  <c r="H73" i="41"/>
  <c r="J72" i="41"/>
  <c r="H72" i="41"/>
  <c r="H15" i="41"/>
  <c r="J15" i="41"/>
  <c r="J14" i="41"/>
  <c r="H14" i="41"/>
  <c r="H12" i="41"/>
  <c r="J12" i="41"/>
  <c r="J11" i="41"/>
  <c r="H11" i="41"/>
  <c r="J10" i="41"/>
  <c r="H10" i="41"/>
  <c r="J8" i="41"/>
  <c r="H8" i="41"/>
  <c r="J6" i="41"/>
  <c r="H6" i="41"/>
  <c r="H4" i="41"/>
  <c r="J4" i="41"/>
  <c r="J3" i="41"/>
  <c r="H3" i="41"/>
  <c r="J101" i="40"/>
  <c r="H101" i="40"/>
  <c r="J100" i="40"/>
  <c r="H100" i="40"/>
  <c r="H99" i="40"/>
  <c r="J99" i="40"/>
  <c r="H98" i="40"/>
  <c r="J98" i="40"/>
  <c r="H97" i="40"/>
  <c r="J97" i="40"/>
  <c r="H96" i="40"/>
  <c r="J96" i="40"/>
  <c r="H95" i="40"/>
  <c r="J95" i="40"/>
  <c r="H94" i="40"/>
  <c r="J94" i="40"/>
  <c r="J92" i="40"/>
  <c r="H92" i="40"/>
  <c r="J90" i="40"/>
  <c r="H90" i="40"/>
  <c r="J100" i="23"/>
  <c r="H100" i="23"/>
  <c r="J99" i="23"/>
  <c r="H99" i="23"/>
  <c r="J34" i="36"/>
  <c r="H34" i="36"/>
  <c r="H33" i="36"/>
  <c r="J33" i="36"/>
  <c r="H32" i="36"/>
  <c r="J32" i="36"/>
  <c r="H31" i="36"/>
  <c r="J31" i="36"/>
  <c r="J29" i="36"/>
  <c r="H29" i="36"/>
  <c r="J28" i="36"/>
  <c r="H28" i="36"/>
  <c r="H27" i="36"/>
  <c r="J27" i="36"/>
  <c r="J101" i="28"/>
  <c r="H101" i="28"/>
  <c r="J100" i="28"/>
  <c r="H100" i="28"/>
  <c r="J99" i="28"/>
  <c r="H99" i="28"/>
  <c r="J98" i="28"/>
  <c r="H98" i="28"/>
  <c r="J97" i="28"/>
  <c r="H97" i="28"/>
  <c r="J96" i="28"/>
  <c r="H96" i="28"/>
  <c r="J95" i="28"/>
  <c r="H95" i="28"/>
  <c r="H94" i="28"/>
  <c r="J94" i="28"/>
  <c r="J93" i="28"/>
  <c r="H93" i="28"/>
  <c r="J92" i="28"/>
  <c r="H92" i="28"/>
  <c r="H91" i="28"/>
  <c r="J91" i="28"/>
  <c r="H90" i="28"/>
  <c r="J90" i="28"/>
  <c r="H89" i="28"/>
  <c r="J89" i="28"/>
  <c r="H88" i="28"/>
  <c r="J88" i="28"/>
  <c r="H87" i="28"/>
  <c r="J87" i="28"/>
  <c r="J86" i="28"/>
  <c r="H86" i="28"/>
  <c r="H85" i="28"/>
  <c r="J85" i="28"/>
  <c r="J84" i="28"/>
  <c r="H84" i="28"/>
  <c r="J83" i="28"/>
  <c r="H83" i="28"/>
  <c r="J82" i="28"/>
  <c r="H82" i="28"/>
  <c r="J81" i="28"/>
  <c r="H81" i="28"/>
  <c r="J80" i="28"/>
  <c r="H80" i="28"/>
  <c r="J79" i="28"/>
  <c r="H79" i="28"/>
  <c r="H78" i="28"/>
  <c r="J78" i="28"/>
  <c r="J77" i="28"/>
  <c r="H77" i="28"/>
  <c r="H76" i="28"/>
  <c r="J76" i="28"/>
  <c r="H75" i="28"/>
  <c r="J75" i="28"/>
  <c r="J74" i="28"/>
  <c r="H74" i="28"/>
  <c r="J73" i="28"/>
  <c r="H73" i="28"/>
  <c r="H72" i="28"/>
  <c r="J72" i="28"/>
  <c r="H71" i="28"/>
  <c r="J71" i="28"/>
  <c r="H70" i="28"/>
  <c r="J70" i="28"/>
  <c r="J69" i="28"/>
  <c r="H69" i="28"/>
  <c r="H68" i="28"/>
  <c r="J68" i="28"/>
  <c r="J67" i="28"/>
  <c r="H67" i="28"/>
  <c r="H66" i="28"/>
  <c r="J66" i="28"/>
  <c r="J65" i="28"/>
  <c r="H65" i="28"/>
  <c r="H43" i="27"/>
  <c r="J43" i="27"/>
  <c r="J42" i="27"/>
  <c r="H42" i="27"/>
  <c r="H41" i="27"/>
  <c r="J41" i="27"/>
  <c r="J40" i="27"/>
  <c r="H40" i="27"/>
  <c r="H39" i="27"/>
  <c r="J39" i="27"/>
  <c r="H38" i="27"/>
  <c r="J38" i="27"/>
  <c r="H37" i="27"/>
  <c r="J37" i="27"/>
  <c r="H36" i="27"/>
  <c r="J36" i="27"/>
  <c r="J35" i="27"/>
  <c r="H35" i="27"/>
  <c r="H34" i="27"/>
  <c r="J34" i="27"/>
  <c r="H33" i="27"/>
  <c r="J33" i="27"/>
  <c r="J79" i="23"/>
  <c r="H79" i="23"/>
  <c r="J78" i="23"/>
  <c r="H78" i="23"/>
  <c r="J77" i="23"/>
  <c r="H77" i="23"/>
  <c r="J76" i="23"/>
  <c r="H76" i="23"/>
  <c r="J75" i="23"/>
  <c r="H75" i="23"/>
  <c r="J74" i="23"/>
  <c r="H74" i="23"/>
  <c r="H72" i="23"/>
  <c r="J72" i="23"/>
  <c r="H71" i="23"/>
  <c r="J71" i="23"/>
  <c r="H70" i="23"/>
  <c r="J70" i="23"/>
  <c r="H68" i="23"/>
  <c r="J68" i="23"/>
  <c r="H67" i="23"/>
  <c r="J67" i="23"/>
  <c r="J66" i="23"/>
  <c r="H66" i="23"/>
  <c r="J65" i="23"/>
  <c r="H65" i="23"/>
  <c r="H63" i="23"/>
  <c r="J63" i="23"/>
  <c r="H61" i="23"/>
  <c r="J61" i="23"/>
  <c r="H59" i="23"/>
  <c r="J59" i="23"/>
  <c r="H56" i="23"/>
  <c r="J56" i="23"/>
  <c r="J54" i="23"/>
  <c r="H54" i="23"/>
  <c r="J47" i="23"/>
  <c r="H47" i="23"/>
  <c r="H45" i="23"/>
  <c r="J45" i="23"/>
  <c r="H40" i="23"/>
  <c r="J40" i="23"/>
  <c r="H38" i="23"/>
  <c r="J38" i="23"/>
  <c r="J37" i="23"/>
  <c r="H37" i="23"/>
  <c r="J33" i="23"/>
  <c r="H33" i="23"/>
  <c r="J100" i="29"/>
  <c r="H100" i="29"/>
  <c r="J99" i="29"/>
  <c r="H99" i="29"/>
  <c r="J98" i="29"/>
  <c r="H98" i="29"/>
  <c r="J97" i="29"/>
  <c r="H97" i="29"/>
  <c r="J96" i="29"/>
  <c r="H96" i="29"/>
  <c r="J95" i="29"/>
  <c r="H95" i="29"/>
  <c r="H94" i="29"/>
  <c r="J94" i="29"/>
  <c r="J93" i="29"/>
  <c r="H93" i="29"/>
  <c r="H92" i="29"/>
  <c r="J92" i="29"/>
  <c r="H91" i="29"/>
  <c r="J91" i="29"/>
  <c r="J90" i="29"/>
  <c r="H90" i="29"/>
  <c r="J89" i="29"/>
  <c r="H89" i="29"/>
  <c r="J88" i="29"/>
  <c r="H88" i="29"/>
  <c r="J87" i="29"/>
  <c r="H87" i="29"/>
  <c r="H85" i="29"/>
  <c r="J85" i="29"/>
  <c r="H84" i="29"/>
  <c r="J84" i="29"/>
  <c r="H83" i="29"/>
  <c r="J83" i="29"/>
  <c r="H82" i="29"/>
  <c r="J82" i="29"/>
  <c r="J81" i="29"/>
  <c r="H81" i="29"/>
  <c r="H80" i="29"/>
  <c r="J80" i="29"/>
  <c r="J79" i="29"/>
  <c r="H79" i="29"/>
  <c r="J78" i="29"/>
  <c r="H78" i="29"/>
  <c r="J77" i="29"/>
  <c r="H77" i="29"/>
  <c r="H76" i="29"/>
  <c r="J76" i="29"/>
  <c r="J75" i="29"/>
  <c r="H75" i="29"/>
  <c r="J74" i="29"/>
  <c r="H74" i="29"/>
  <c r="H73" i="29"/>
  <c r="J73" i="29"/>
  <c r="J72" i="29"/>
  <c r="H72" i="29"/>
  <c r="H71" i="29"/>
  <c r="J71" i="29"/>
  <c r="H70" i="29"/>
  <c r="J70" i="29"/>
  <c r="J69" i="29"/>
  <c r="H69" i="29"/>
  <c r="J68" i="29"/>
  <c r="H68" i="29"/>
  <c r="H67" i="29"/>
  <c r="J67" i="29"/>
  <c r="J66" i="29"/>
  <c r="H66" i="29"/>
  <c r="J65" i="29"/>
  <c r="H65" i="29"/>
  <c r="H64" i="29"/>
  <c r="J64" i="29"/>
  <c r="J63" i="29"/>
  <c r="H63" i="29"/>
  <c r="J62" i="29"/>
  <c r="H62" i="29"/>
  <c r="J61" i="29"/>
  <c r="H61" i="29"/>
  <c r="H60" i="29"/>
  <c r="J60" i="29"/>
  <c r="J64" i="28"/>
  <c r="H64" i="28"/>
  <c r="H63" i="28"/>
  <c r="J63" i="28"/>
  <c r="J62" i="28"/>
  <c r="H62" i="28"/>
  <c r="H61" i="28"/>
  <c r="J61" i="28"/>
  <c r="J60" i="28"/>
  <c r="H60" i="28"/>
  <c r="H59" i="28"/>
  <c r="J59" i="28"/>
  <c r="J58" i="28"/>
  <c r="H58" i="28"/>
  <c r="H57" i="28"/>
  <c r="J57" i="28"/>
  <c r="J56" i="28"/>
  <c r="H56" i="28"/>
  <c r="J55" i="28"/>
  <c r="H55" i="28"/>
  <c r="J54" i="28"/>
  <c r="H54" i="28"/>
  <c r="H53" i="28"/>
  <c r="J53" i="28"/>
  <c r="J52" i="28"/>
  <c r="H52" i="28"/>
  <c r="H51" i="28"/>
  <c r="J51" i="28"/>
  <c r="H50" i="28"/>
  <c r="J50" i="28"/>
  <c r="H49" i="28"/>
  <c r="J49" i="28"/>
  <c r="J48" i="28"/>
  <c r="H48" i="28"/>
  <c r="H47" i="28"/>
  <c r="J47" i="28"/>
  <c r="J101" i="27"/>
  <c r="H101" i="27"/>
  <c r="J100" i="27"/>
  <c r="H100" i="27"/>
  <c r="H99" i="27"/>
  <c r="J99" i="27"/>
  <c r="H98" i="27"/>
  <c r="J98" i="27"/>
  <c r="H97" i="27"/>
  <c r="J97" i="27"/>
  <c r="H96" i="27"/>
  <c r="J96" i="27"/>
  <c r="J95" i="27"/>
  <c r="H95" i="27"/>
  <c r="H94" i="27"/>
  <c r="J94" i="27"/>
  <c r="J93" i="27"/>
  <c r="H93" i="27"/>
  <c r="J92" i="27"/>
  <c r="H92" i="27"/>
  <c r="J91" i="27"/>
  <c r="H91" i="27"/>
  <c r="J90" i="27"/>
  <c r="H90" i="27"/>
  <c r="J89" i="27"/>
  <c r="H89" i="27"/>
  <c r="H88" i="27"/>
  <c r="J88" i="27"/>
  <c r="J87" i="27"/>
  <c r="H87" i="27"/>
  <c r="J86" i="27"/>
  <c r="H86" i="27"/>
  <c r="H85" i="27"/>
  <c r="J85" i="27"/>
  <c r="J84" i="27"/>
  <c r="H84" i="27"/>
  <c r="H83" i="27"/>
  <c r="J83" i="27"/>
  <c r="H82" i="27"/>
  <c r="J82" i="27"/>
  <c r="H81" i="27"/>
  <c r="J81" i="27"/>
  <c r="J80" i="27"/>
  <c r="H80" i="27"/>
  <c r="H79" i="27"/>
  <c r="J79" i="27"/>
  <c r="J78" i="27"/>
  <c r="H78" i="27"/>
  <c r="H77" i="27"/>
  <c r="J77" i="27"/>
  <c r="J76" i="27"/>
  <c r="H76" i="27"/>
  <c r="J75" i="27"/>
  <c r="H75" i="27"/>
  <c r="J74" i="27"/>
  <c r="H74" i="27"/>
  <c r="J73" i="27"/>
  <c r="H73" i="27"/>
  <c r="J72" i="27"/>
  <c r="H72" i="27"/>
  <c r="J71" i="27"/>
  <c r="H71" i="27"/>
  <c r="J70" i="27"/>
  <c r="H70" i="27"/>
  <c r="J69" i="27"/>
  <c r="H69" i="27"/>
  <c r="H68" i="27"/>
  <c r="J68" i="27"/>
  <c r="J55" i="42"/>
  <c r="H55" i="42"/>
  <c r="J54" i="42"/>
  <c r="H54" i="42"/>
  <c r="J53" i="42"/>
  <c r="H53" i="42"/>
  <c r="J52" i="42"/>
  <c r="H52" i="42"/>
  <c r="H51" i="42"/>
  <c r="J51" i="42"/>
  <c r="H50" i="42"/>
  <c r="J50" i="42"/>
  <c r="H49" i="42"/>
  <c r="J49" i="42"/>
  <c r="H48" i="42"/>
  <c r="J48" i="42"/>
  <c r="H47" i="42"/>
  <c r="J47" i="42"/>
  <c r="H46" i="42"/>
  <c r="J46" i="42"/>
  <c r="J45" i="42"/>
  <c r="H45" i="42"/>
  <c r="H44" i="42"/>
  <c r="J44" i="42"/>
  <c r="J43" i="42"/>
  <c r="H43" i="42"/>
  <c r="J42" i="42"/>
  <c r="H42" i="42"/>
  <c r="H41" i="42"/>
  <c r="J41" i="42"/>
  <c r="H55" i="41"/>
  <c r="J55" i="41"/>
  <c r="J54" i="41"/>
  <c r="H54" i="41"/>
  <c r="H53" i="41"/>
  <c r="J53" i="41"/>
  <c r="J52" i="41"/>
  <c r="H52" i="41"/>
  <c r="J51" i="41"/>
  <c r="H51" i="41"/>
  <c r="H50" i="41"/>
  <c r="J50" i="41"/>
  <c r="H49" i="41"/>
  <c r="J49" i="41"/>
  <c r="J48" i="41"/>
  <c r="H48" i="41"/>
  <c r="J47" i="41"/>
  <c r="H47" i="41"/>
  <c r="J46" i="41"/>
  <c r="H46" i="41"/>
  <c r="J45" i="41"/>
  <c r="H45" i="41"/>
  <c r="J44" i="41"/>
  <c r="H44" i="41"/>
  <c r="J43" i="41"/>
  <c r="H43" i="41"/>
  <c r="J42" i="41"/>
  <c r="H42" i="41"/>
  <c r="H41" i="41"/>
  <c r="J41" i="41"/>
  <c r="J40" i="41"/>
  <c r="H40" i="41"/>
  <c r="J39" i="41"/>
  <c r="H39" i="41"/>
  <c r="H38" i="41"/>
  <c r="J38" i="41"/>
  <c r="J37" i="41"/>
  <c r="H37" i="41"/>
  <c r="H36" i="41"/>
  <c r="J36" i="41"/>
  <c r="H35" i="41"/>
  <c r="J35" i="41"/>
  <c r="H34" i="41"/>
  <c r="J34" i="41"/>
  <c r="J33" i="41"/>
  <c r="H33" i="41"/>
  <c r="J32" i="41"/>
  <c r="H32" i="41"/>
  <c r="H31" i="41"/>
  <c r="J31" i="41"/>
  <c r="J30" i="41"/>
  <c r="H30" i="41"/>
  <c r="J28" i="41"/>
  <c r="H28" i="41"/>
  <c r="J25" i="41"/>
  <c r="H25" i="41"/>
  <c r="H22" i="41"/>
  <c r="J22" i="41"/>
  <c r="J20" i="41"/>
  <c r="H20" i="41"/>
  <c r="H19" i="41"/>
  <c r="J19" i="41"/>
  <c r="J16" i="41"/>
  <c r="H16" i="41"/>
  <c r="J13" i="41"/>
  <c r="H13" i="41"/>
  <c r="J9" i="41"/>
  <c r="H9" i="41"/>
  <c r="H7" i="41"/>
  <c r="J7" i="41"/>
  <c r="J5" i="41"/>
  <c r="H5" i="41"/>
  <c r="J2" i="41"/>
  <c r="H2" i="41"/>
  <c r="H93" i="40"/>
  <c r="J93" i="40"/>
  <c r="J91" i="40"/>
  <c r="H91" i="40"/>
  <c r="H68" i="38"/>
  <c r="J68" i="38"/>
  <c r="H67" i="38"/>
  <c r="J67" i="38"/>
  <c r="J79" i="37"/>
  <c r="H79" i="37"/>
  <c r="J78" i="37"/>
  <c r="H78" i="37"/>
  <c r="H77" i="37"/>
  <c r="J77" i="37"/>
  <c r="H76" i="37"/>
  <c r="J76" i="37"/>
  <c r="H75" i="37"/>
  <c r="J75" i="37"/>
  <c r="J74" i="37"/>
  <c r="H74" i="37"/>
  <c r="H73" i="37"/>
  <c r="J73" i="37"/>
  <c r="H72" i="37"/>
  <c r="J72" i="37"/>
  <c r="H71" i="37"/>
  <c r="J71" i="37"/>
  <c r="H70" i="37"/>
  <c r="J70" i="37"/>
  <c r="H69" i="37"/>
  <c r="J69" i="37"/>
  <c r="J68" i="37"/>
  <c r="H68" i="37"/>
  <c r="H67" i="37"/>
  <c r="J67" i="37"/>
  <c r="J66" i="37"/>
  <c r="H66" i="37"/>
  <c r="J65" i="37"/>
  <c r="H65" i="37"/>
  <c r="H64" i="37"/>
  <c r="J64" i="37"/>
  <c r="H63" i="37"/>
  <c r="J63" i="37"/>
  <c r="H62" i="37"/>
  <c r="J62" i="37"/>
  <c r="H61" i="37"/>
  <c r="J61" i="37"/>
  <c r="H60" i="37"/>
  <c r="J60" i="37"/>
  <c r="H59" i="37"/>
  <c r="J59" i="37"/>
  <c r="J58" i="37"/>
  <c r="H58" i="37"/>
  <c r="J57" i="37"/>
  <c r="H57" i="37"/>
  <c r="J56" i="37"/>
  <c r="H56" i="37"/>
  <c r="J55" i="37"/>
  <c r="H55" i="37"/>
  <c r="H54" i="37"/>
  <c r="J54" i="37"/>
  <c r="H53" i="37"/>
  <c r="J53" i="37"/>
  <c r="H52" i="37"/>
  <c r="J52" i="37"/>
  <c r="H51" i="37"/>
  <c r="J51" i="37"/>
  <c r="J50" i="37"/>
  <c r="H50" i="37"/>
  <c r="J49" i="37"/>
  <c r="H49" i="37"/>
  <c r="J48" i="37"/>
  <c r="H48" i="37"/>
  <c r="H47" i="37"/>
  <c r="J47" i="37"/>
  <c r="J46" i="37"/>
  <c r="H46" i="37"/>
  <c r="J45" i="37"/>
  <c r="H45" i="37"/>
  <c r="H44" i="37"/>
  <c r="J44" i="37"/>
  <c r="J43" i="37"/>
  <c r="H43" i="37"/>
  <c r="H42" i="37"/>
  <c r="J42" i="37"/>
  <c r="J41" i="37"/>
  <c r="H41" i="37"/>
  <c r="J40" i="37"/>
  <c r="H40" i="37"/>
  <c r="H39" i="37"/>
  <c r="J39" i="37"/>
  <c r="J38" i="37"/>
  <c r="H38" i="37"/>
  <c r="J37" i="37"/>
  <c r="H37" i="37"/>
  <c r="J36" i="37"/>
  <c r="H36" i="37"/>
  <c r="H35" i="37"/>
  <c r="J35" i="37"/>
  <c r="J34" i="37"/>
  <c r="H34" i="37"/>
  <c r="J33" i="37"/>
  <c r="H33" i="37"/>
  <c r="J32" i="37"/>
  <c r="H32" i="37"/>
  <c r="J31" i="37"/>
  <c r="H31" i="37"/>
  <c r="H30" i="37"/>
  <c r="J30" i="37"/>
  <c r="H29" i="37"/>
  <c r="J29" i="37"/>
  <c r="J28" i="37"/>
  <c r="H28" i="37"/>
  <c r="H27" i="37"/>
  <c r="J27" i="37"/>
  <c r="J26" i="37"/>
  <c r="H26" i="37"/>
  <c r="H25" i="37"/>
  <c r="J25" i="37"/>
  <c r="H24" i="37"/>
  <c r="J24" i="37"/>
  <c r="J23" i="37"/>
  <c r="H23" i="37"/>
  <c r="J22" i="37"/>
  <c r="H22" i="37"/>
  <c r="J21" i="37"/>
  <c r="H21" i="37"/>
  <c r="J20" i="37"/>
  <c r="H20" i="37"/>
  <c r="J19" i="37"/>
  <c r="H19" i="37"/>
  <c r="J18" i="37"/>
  <c r="H18" i="37"/>
  <c r="J17" i="37"/>
  <c r="H17" i="37"/>
  <c r="H16" i="37"/>
  <c r="J16" i="37"/>
  <c r="H15" i="37"/>
  <c r="J15" i="37"/>
  <c r="H14" i="37"/>
  <c r="J14" i="37"/>
  <c r="J13" i="37"/>
  <c r="H13" i="37"/>
  <c r="H12" i="37"/>
  <c r="J12" i="37"/>
  <c r="J101" i="36"/>
  <c r="H101" i="36"/>
  <c r="J100" i="36"/>
  <c r="H100" i="36"/>
  <c r="J99" i="36"/>
  <c r="H99" i="36"/>
  <c r="J98" i="36"/>
  <c r="H98" i="36"/>
  <c r="J97" i="36"/>
  <c r="H97" i="36"/>
  <c r="J96" i="36"/>
  <c r="H96" i="36"/>
  <c r="J95" i="36"/>
  <c r="H95" i="36"/>
  <c r="J94" i="36"/>
  <c r="H94" i="36"/>
  <c r="H93" i="36"/>
  <c r="J93" i="36"/>
  <c r="J92" i="36"/>
  <c r="H92" i="36"/>
  <c r="H48" i="36"/>
  <c r="J48" i="36"/>
  <c r="J42" i="36"/>
  <c r="H42" i="36"/>
  <c r="H41" i="36"/>
  <c r="J41" i="36"/>
  <c r="J40" i="36"/>
  <c r="H40" i="36"/>
  <c r="H39" i="36"/>
  <c r="J39" i="36"/>
  <c r="J38" i="36"/>
  <c r="H38" i="36"/>
  <c r="H36" i="36"/>
  <c r="J36" i="36"/>
  <c r="J35" i="36"/>
  <c r="H35" i="36"/>
  <c r="J89" i="34"/>
  <c r="H89" i="34"/>
  <c r="H88" i="34"/>
  <c r="J88" i="34"/>
  <c r="H87" i="34"/>
  <c r="J87" i="34"/>
  <c r="J86" i="34"/>
  <c r="H86" i="34"/>
  <c r="H85" i="34"/>
  <c r="J85" i="34"/>
  <c r="H84" i="34"/>
  <c r="J84" i="34"/>
  <c r="H83" i="34"/>
  <c r="J83" i="34"/>
  <c r="J82" i="34"/>
  <c r="H82" i="34"/>
  <c r="H81" i="34"/>
  <c r="J81" i="34"/>
  <c r="J80" i="34"/>
  <c r="H80" i="34"/>
  <c r="H79" i="34"/>
  <c r="J79" i="34"/>
  <c r="H78" i="34"/>
  <c r="J78" i="34"/>
  <c r="J77" i="34"/>
  <c r="H77" i="34"/>
  <c r="J76" i="34"/>
  <c r="H76" i="34"/>
  <c r="J75" i="34"/>
  <c r="H75" i="34"/>
  <c r="J73" i="34"/>
  <c r="H73" i="34"/>
  <c r="J94" i="31"/>
  <c r="H94" i="31"/>
  <c r="H71" i="31"/>
  <c r="J71" i="31"/>
  <c r="H70" i="31"/>
  <c r="J70" i="31"/>
  <c r="H69" i="31"/>
  <c r="J69" i="31"/>
  <c r="H59" i="29"/>
  <c r="J59" i="29"/>
  <c r="J58" i="29"/>
  <c r="H58" i="29"/>
  <c r="J57" i="29"/>
  <c r="H57" i="29"/>
  <c r="J56" i="29"/>
  <c r="H56" i="29"/>
  <c r="J55" i="29"/>
  <c r="H55" i="29"/>
  <c r="J54" i="29"/>
  <c r="H54" i="29"/>
  <c r="J53" i="29"/>
  <c r="H53" i="29"/>
  <c r="H88" i="26"/>
  <c r="J88" i="26"/>
  <c r="J80" i="26"/>
  <c r="H80" i="26"/>
  <c r="H71" i="26"/>
  <c r="J71" i="26"/>
  <c r="H59" i="26"/>
  <c r="J59" i="26"/>
  <c r="J55" i="26"/>
  <c r="H55" i="26"/>
  <c r="J47" i="26"/>
  <c r="H47" i="26"/>
  <c r="H40" i="26"/>
  <c r="J40" i="26"/>
  <c r="H36" i="26"/>
  <c r="J36" i="26"/>
  <c r="J33" i="26"/>
  <c r="H33" i="26"/>
  <c r="J101" i="25"/>
  <c r="H101" i="25"/>
  <c r="J100" i="25"/>
  <c r="H100" i="25"/>
  <c r="H99" i="25"/>
  <c r="J99" i="25"/>
  <c r="J98" i="25"/>
  <c r="H98" i="25"/>
  <c r="H97" i="25"/>
  <c r="J97" i="25"/>
  <c r="H96" i="25"/>
  <c r="J96" i="25"/>
  <c r="H53" i="25"/>
  <c r="J53" i="25"/>
  <c r="H52" i="25"/>
  <c r="J52" i="25"/>
  <c r="H51" i="25"/>
  <c r="J51" i="25"/>
  <c r="J50" i="25"/>
  <c r="H50" i="25"/>
  <c r="J49" i="25"/>
  <c r="H49" i="25"/>
  <c r="H47" i="25"/>
  <c r="J47" i="25"/>
  <c r="H46" i="25"/>
  <c r="J46" i="25"/>
  <c r="H45" i="25"/>
  <c r="J45" i="25"/>
  <c r="H42" i="25"/>
  <c r="J42" i="25"/>
  <c r="H37" i="25"/>
  <c r="J37" i="25"/>
  <c r="J101" i="23"/>
  <c r="H101" i="23"/>
  <c r="J98" i="23"/>
  <c r="H98" i="23"/>
  <c r="H96" i="23"/>
  <c r="J96" i="23"/>
  <c r="J95" i="23"/>
  <c r="H95" i="23"/>
  <c r="J93" i="23"/>
  <c r="H93" i="23"/>
  <c r="H92" i="23"/>
  <c r="J92" i="23"/>
  <c r="J91" i="23"/>
  <c r="H91" i="23"/>
  <c r="H90" i="23"/>
  <c r="J90" i="23"/>
  <c r="H89" i="23"/>
  <c r="J89" i="23"/>
  <c r="H88" i="23"/>
  <c r="J88" i="23"/>
  <c r="H87" i="23"/>
  <c r="J87" i="23"/>
  <c r="H86" i="23"/>
  <c r="J86" i="23"/>
  <c r="J85" i="23"/>
  <c r="H85" i="23"/>
  <c r="H84" i="23"/>
  <c r="J84" i="23"/>
  <c r="J83" i="23"/>
  <c r="H83" i="23"/>
  <c r="J82" i="23"/>
  <c r="H82" i="23"/>
  <c r="J81" i="23"/>
  <c r="H81" i="23"/>
  <c r="H80" i="23"/>
  <c r="J80" i="23"/>
  <c r="H73" i="23"/>
  <c r="J73" i="23"/>
  <c r="J69" i="23"/>
  <c r="H69" i="23"/>
  <c r="J64" i="23"/>
  <c r="H64" i="23"/>
  <c r="J62" i="23"/>
  <c r="H62" i="23"/>
  <c r="J60" i="23"/>
  <c r="H60" i="23"/>
  <c r="H58" i="23"/>
  <c r="J58" i="23"/>
  <c r="J57" i="23"/>
  <c r="H57" i="23"/>
  <c r="H55" i="23"/>
  <c r="J55" i="23"/>
  <c r="H53" i="23"/>
  <c r="J53" i="23"/>
  <c r="J52" i="23"/>
  <c r="H52" i="23"/>
  <c r="J51" i="23"/>
  <c r="H51" i="23"/>
  <c r="H50" i="23"/>
  <c r="J50" i="23"/>
  <c r="H49" i="23"/>
  <c r="J49" i="23"/>
  <c r="J48" i="23"/>
  <c r="H48" i="23"/>
  <c r="J46" i="23"/>
  <c r="H46" i="23"/>
  <c r="H44" i="23"/>
  <c r="J44" i="23"/>
  <c r="J43" i="23"/>
  <c r="H43" i="23"/>
  <c r="J42" i="23"/>
  <c r="H42" i="23"/>
  <c r="J41" i="23"/>
  <c r="H41" i="23"/>
  <c r="J39" i="23"/>
  <c r="H39" i="23"/>
  <c r="H36" i="23"/>
  <c r="J36" i="23"/>
  <c r="H35" i="23"/>
  <c r="J35" i="23"/>
  <c r="J34" i="23"/>
  <c r="H34" i="23"/>
  <c r="J32" i="23"/>
  <c r="H32" i="23"/>
  <c r="J101" i="22"/>
  <c r="H101" i="22"/>
  <c r="J100" i="22"/>
  <c r="H100" i="22"/>
  <c r="J99" i="22"/>
  <c r="H99" i="22"/>
  <c r="J63" i="22"/>
  <c r="H63" i="22"/>
  <c r="J62" i="22"/>
  <c r="H62" i="22"/>
  <c r="H61" i="22"/>
  <c r="J61" i="22"/>
  <c r="H60" i="22"/>
  <c r="J60" i="22"/>
  <c r="H59" i="22"/>
  <c r="J59" i="22"/>
  <c r="J58" i="22"/>
  <c r="H58" i="22"/>
  <c r="J57" i="22"/>
  <c r="H57" i="22"/>
  <c r="H56" i="22"/>
  <c r="J56" i="22"/>
  <c r="H55" i="22"/>
  <c r="J55" i="22"/>
  <c r="H54" i="22"/>
  <c r="J54" i="22"/>
  <c r="H53" i="22"/>
  <c r="J53" i="22"/>
  <c r="J52" i="22"/>
  <c r="H52" i="22"/>
  <c r="H51" i="22"/>
  <c r="J51" i="22"/>
  <c r="H50" i="22"/>
  <c r="J50" i="22"/>
  <c r="H49" i="22"/>
  <c r="J49" i="22"/>
  <c r="J48" i="22"/>
  <c r="H48" i="22"/>
  <c r="J47" i="22"/>
  <c r="H47" i="22"/>
  <c r="J46" i="22"/>
  <c r="H46" i="22"/>
  <c r="J45" i="22"/>
  <c r="H45" i="22"/>
  <c r="H44" i="22"/>
  <c r="J44" i="22"/>
  <c r="H43" i="22"/>
  <c r="J43" i="22"/>
  <c r="J42" i="22"/>
  <c r="H42" i="22"/>
  <c r="J41" i="22"/>
  <c r="H41" i="22"/>
  <c r="H40" i="22"/>
  <c r="J40" i="22"/>
  <c r="H39" i="22"/>
  <c r="J39" i="22"/>
  <c r="H101" i="21"/>
  <c r="J101" i="21"/>
  <c r="H100" i="21"/>
  <c r="J100" i="21"/>
  <c r="J99" i="21"/>
  <c r="H99" i="21"/>
  <c r="H98" i="21"/>
  <c r="J98" i="21"/>
  <c r="H97" i="21"/>
  <c r="J97" i="21"/>
  <c r="J96" i="21"/>
  <c r="H96" i="21"/>
  <c r="J95" i="21"/>
  <c r="H95" i="21"/>
  <c r="H94" i="21"/>
  <c r="J94" i="21"/>
  <c r="H93" i="21"/>
  <c r="J93" i="21"/>
  <c r="H92" i="21"/>
  <c r="J92" i="21"/>
  <c r="J91" i="21"/>
  <c r="H91" i="21"/>
  <c r="J90" i="21"/>
  <c r="H90" i="21"/>
  <c r="H89" i="21"/>
  <c r="J89" i="21"/>
  <c r="H88" i="21"/>
  <c r="J88" i="21"/>
  <c r="H87" i="21"/>
  <c r="J87" i="21"/>
  <c r="H86" i="21"/>
  <c r="J86" i="21"/>
  <c r="H85" i="21"/>
  <c r="J85" i="21"/>
  <c r="H84" i="21"/>
  <c r="J84" i="21"/>
  <c r="J83" i="21"/>
  <c r="H83" i="21"/>
  <c r="H82" i="21"/>
  <c r="J82" i="21"/>
  <c r="J81" i="21"/>
  <c r="H81" i="21"/>
  <c r="J80" i="21"/>
  <c r="H80" i="21"/>
  <c r="H79" i="21"/>
  <c r="J79" i="21"/>
  <c r="J78" i="21"/>
  <c r="H78" i="21"/>
  <c r="J77" i="21"/>
  <c r="H77" i="21"/>
  <c r="H36" i="19"/>
  <c r="J36" i="19"/>
  <c r="J35" i="19"/>
  <c r="H35" i="19"/>
  <c r="J34" i="19"/>
  <c r="H34" i="19"/>
  <c r="J33" i="19"/>
  <c r="H33" i="19"/>
  <c r="J32" i="19"/>
  <c r="H32" i="19"/>
  <c r="H31" i="19"/>
  <c r="J31" i="19"/>
  <c r="J30" i="19"/>
  <c r="H30" i="19"/>
  <c r="H29" i="19"/>
  <c r="J29" i="19"/>
  <c r="H28" i="19"/>
  <c r="J28" i="19"/>
  <c r="J27" i="19"/>
  <c r="H27" i="19"/>
  <c r="H26" i="19"/>
  <c r="J26" i="19"/>
  <c r="H25" i="19"/>
  <c r="J25" i="19"/>
  <c r="H24" i="19"/>
  <c r="J24" i="19"/>
  <c r="H23" i="19"/>
  <c r="J23" i="19"/>
  <c r="J22" i="19"/>
  <c r="H22" i="19"/>
  <c r="J68" i="31"/>
  <c r="H68" i="31"/>
  <c r="H67" i="31"/>
  <c r="J67" i="31"/>
  <c r="J66" i="31"/>
  <c r="H66" i="31"/>
  <c r="H65" i="31"/>
  <c r="J65" i="31"/>
  <c r="J64" i="31"/>
  <c r="H64" i="31"/>
  <c r="H63" i="31"/>
  <c r="J63" i="31"/>
  <c r="J62" i="31"/>
  <c r="H62" i="31"/>
  <c r="J61" i="31"/>
  <c r="H61" i="31"/>
  <c r="J60" i="31"/>
  <c r="H60" i="31"/>
  <c r="H59" i="31"/>
  <c r="J59" i="31"/>
  <c r="H58" i="31"/>
  <c r="J58" i="31"/>
  <c r="H57" i="31"/>
  <c r="J57" i="31"/>
  <c r="H56" i="31"/>
  <c r="J56" i="31"/>
  <c r="H55" i="31"/>
  <c r="J55" i="31"/>
  <c r="J54" i="31"/>
  <c r="H54" i="31"/>
  <c r="J53" i="31"/>
  <c r="H53" i="31"/>
  <c r="H52" i="31"/>
  <c r="J52" i="31"/>
  <c r="J51" i="31"/>
  <c r="H51" i="31"/>
  <c r="J50" i="31"/>
  <c r="H50" i="31"/>
  <c r="H49" i="31"/>
  <c r="J49" i="31"/>
  <c r="H48" i="31"/>
  <c r="J48" i="31"/>
  <c r="J47" i="31"/>
  <c r="H47" i="31"/>
  <c r="J46" i="31"/>
  <c r="H46" i="31"/>
  <c r="J45" i="31"/>
  <c r="H45" i="31"/>
  <c r="H44" i="31"/>
  <c r="J44" i="31"/>
  <c r="J43" i="31"/>
  <c r="H43" i="31"/>
  <c r="J42" i="31"/>
  <c r="H42" i="31"/>
  <c r="J41" i="31"/>
  <c r="H41" i="31"/>
  <c r="J40" i="31"/>
  <c r="H40" i="31"/>
  <c r="J39" i="31"/>
  <c r="H39" i="31"/>
  <c r="J38" i="31"/>
  <c r="H38" i="31"/>
  <c r="J37" i="31"/>
  <c r="H37" i="31"/>
  <c r="J36" i="31"/>
  <c r="H36" i="31"/>
  <c r="H35" i="31"/>
  <c r="J35" i="31"/>
  <c r="J34" i="31"/>
  <c r="H34" i="31"/>
  <c r="H33" i="31"/>
  <c r="J33" i="31"/>
  <c r="H32" i="31"/>
  <c r="J32" i="31"/>
  <c r="H31" i="31"/>
  <c r="J31" i="31"/>
  <c r="H30" i="31"/>
  <c r="J30" i="31"/>
  <c r="H29" i="31"/>
  <c r="J29" i="31"/>
  <c r="H28" i="31"/>
  <c r="J28" i="31"/>
  <c r="J27" i="31"/>
  <c r="H27" i="31"/>
  <c r="H26" i="31"/>
  <c r="J26" i="31"/>
  <c r="J101" i="29"/>
  <c r="H101" i="29"/>
  <c r="J86" i="29"/>
  <c r="H86" i="29"/>
  <c r="H95" i="25"/>
  <c r="J95" i="25"/>
  <c r="J94" i="25"/>
  <c r="H94" i="25"/>
  <c r="J93" i="25"/>
  <c r="H93" i="25"/>
  <c r="J92" i="25"/>
  <c r="H92" i="25"/>
  <c r="H91" i="25"/>
  <c r="J91" i="25"/>
  <c r="J90" i="25"/>
  <c r="H90" i="25"/>
  <c r="J89" i="25"/>
  <c r="H89" i="25"/>
  <c r="J88" i="25"/>
  <c r="H88" i="25"/>
  <c r="H87" i="25"/>
  <c r="J87" i="25"/>
  <c r="H86" i="25"/>
  <c r="J86" i="25"/>
  <c r="H85" i="25"/>
  <c r="J85" i="25"/>
  <c r="H84" i="25"/>
  <c r="J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H69" i="25"/>
  <c r="J69" i="25"/>
  <c r="J68" i="25"/>
  <c r="H68" i="25"/>
  <c r="J67" i="25"/>
  <c r="H67" i="25"/>
  <c r="H66" i="25"/>
  <c r="J66" i="25"/>
  <c r="H65" i="25"/>
  <c r="J65" i="25"/>
  <c r="H64" i="25"/>
  <c r="J64" i="25"/>
  <c r="H63" i="25"/>
  <c r="J63" i="25"/>
  <c r="H62" i="25"/>
  <c r="J62" i="25"/>
  <c r="H61" i="25"/>
  <c r="J61" i="25"/>
  <c r="H60" i="25"/>
  <c r="J60" i="25"/>
  <c r="H59" i="25"/>
  <c r="J59" i="25"/>
  <c r="H58" i="25"/>
  <c r="J58" i="25"/>
  <c r="J57" i="25"/>
  <c r="H57" i="25"/>
  <c r="H56" i="25"/>
  <c r="J56" i="25"/>
  <c r="J55" i="25"/>
  <c r="H55" i="25"/>
  <c r="H54" i="25"/>
  <c r="J54" i="25"/>
  <c r="J101" i="24"/>
  <c r="H101" i="24"/>
  <c r="J100" i="24"/>
  <c r="H100" i="24"/>
  <c r="J99" i="24"/>
  <c r="H99" i="24"/>
  <c r="J98" i="24"/>
  <c r="H98" i="24"/>
  <c r="J97" i="24"/>
  <c r="H97" i="24"/>
  <c r="H96" i="24"/>
  <c r="J96" i="24"/>
  <c r="H95" i="24"/>
  <c r="J95" i="24"/>
  <c r="H94" i="24"/>
  <c r="J94" i="24"/>
  <c r="H36" i="24"/>
  <c r="J36" i="24"/>
  <c r="H35" i="24"/>
  <c r="J35" i="24"/>
  <c r="H34" i="24"/>
  <c r="J34" i="24"/>
  <c r="J33" i="24"/>
  <c r="H33" i="24"/>
  <c r="J32" i="24"/>
  <c r="H32" i="24"/>
  <c r="J31" i="24"/>
  <c r="H31" i="24"/>
  <c r="H30" i="24"/>
  <c r="J30" i="24"/>
  <c r="J29" i="24"/>
  <c r="H29" i="24"/>
  <c r="H28" i="24"/>
  <c r="J28" i="24"/>
  <c r="J27" i="24"/>
  <c r="H27" i="24"/>
  <c r="J97" i="23"/>
  <c r="H97" i="23"/>
  <c r="J94" i="23"/>
  <c r="H94" i="23"/>
  <c r="J89" i="40"/>
  <c r="H89" i="40"/>
  <c r="J87" i="40"/>
  <c r="H87" i="40"/>
  <c r="J63" i="40"/>
  <c r="H63" i="40"/>
  <c r="H62" i="40"/>
  <c r="J62" i="40"/>
  <c r="J61" i="40"/>
  <c r="H61" i="40"/>
  <c r="H60" i="40"/>
  <c r="J60" i="40"/>
  <c r="J59" i="40"/>
  <c r="H59" i="40"/>
  <c r="H58" i="40"/>
  <c r="J58" i="40"/>
  <c r="J57" i="40"/>
  <c r="H57" i="40"/>
  <c r="J56" i="40"/>
  <c r="H56" i="40"/>
  <c r="H55" i="40"/>
  <c r="J55" i="40"/>
  <c r="J54" i="40"/>
  <c r="H54" i="40"/>
  <c r="J53" i="40"/>
  <c r="H53" i="40"/>
  <c r="J52" i="40"/>
  <c r="H52" i="40"/>
  <c r="H51" i="40"/>
  <c r="J51" i="40"/>
  <c r="J50" i="40"/>
  <c r="H50" i="40"/>
  <c r="J49" i="40"/>
  <c r="H49" i="40"/>
  <c r="H48" i="40"/>
  <c r="J48" i="40"/>
  <c r="H47" i="40"/>
  <c r="J47" i="40"/>
  <c r="H46" i="40"/>
  <c r="J46" i="40"/>
  <c r="H45" i="40"/>
  <c r="J45" i="40"/>
  <c r="H44" i="40"/>
  <c r="J44" i="40"/>
  <c r="H43" i="40"/>
  <c r="J43" i="40"/>
  <c r="H42" i="40"/>
  <c r="J42" i="40"/>
  <c r="J41" i="40"/>
  <c r="H41" i="40"/>
  <c r="H40" i="40"/>
  <c r="J40" i="40"/>
  <c r="H39" i="40"/>
  <c r="J39" i="40"/>
  <c r="H38" i="40"/>
  <c r="J38" i="40"/>
  <c r="J37" i="40"/>
  <c r="H37" i="40"/>
  <c r="J36" i="40"/>
  <c r="H36" i="40"/>
  <c r="J35" i="40"/>
  <c r="H35" i="40"/>
  <c r="J34" i="40"/>
  <c r="H34" i="40"/>
  <c r="H33" i="40"/>
  <c r="J33" i="40"/>
  <c r="H32" i="40"/>
  <c r="J32" i="40"/>
  <c r="J31" i="40"/>
  <c r="H31" i="40"/>
  <c r="H30" i="40"/>
  <c r="J30" i="40"/>
  <c r="H29" i="40"/>
  <c r="J29" i="40"/>
  <c r="H28" i="40"/>
  <c r="J28" i="40"/>
  <c r="H27" i="40"/>
  <c r="J27" i="40"/>
  <c r="H26" i="40"/>
  <c r="J26" i="40"/>
  <c r="J25" i="40"/>
  <c r="H25" i="40"/>
  <c r="H24" i="40"/>
  <c r="J24" i="40"/>
  <c r="H23" i="40"/>
  <c r="J23" i="40"/>
  <c r="H22" i="40"/>
  <c r="J22" i="40"/>
  <c r="H21" i="40"/>
  <c r="J21" i="40"/>
  <c r="H20" i="40"/>
  <c r="J20" i="40"/>
  <c r="J19" i="40"/>
  <c r="H19" i="40"/>
  <c r="J18" i="40"/>
  <c r="H18" i="40"/>
  <c r="H17" i="40"/>
  <c r="J17" i="40"/>
  <c r="J16" i="40"/>
  <c r="H16" i="40"/>
  <c r="J15" i="40"/>
  <c r="H15" i="40"/>
  <c r="J14" i="40"/>
  <c r="H14" i="40"/>
  <c r="H13" i="40"/>
  <c r="J13" i="40"/>
  <c r="J12" i="40"/>
  <c r="H12" i="40"/>
  <c r="H11" i="40"/>
  <c r="J11" i="40"/>
  <c r="H10" i="40"/>
  <c r="J10" i="40"/>
  <c r="J9" i="40"/>
  <c r="H9" i="40"/>
  <c r="J8" i="40"/>
  <c r="H8" i="40"/>
  <c r="J7" i="40"/>
  <c r="H7" i="40"/>
  <c r="J6" i="40"/>
  <c r="H6" i="40"/>
  <c r="J5" i="40"/>
  <c r="H5" i="40"/>
  <c r="J4" i="40"/>
  <c r="H4" i="40"/>
  <c r="J3" i="40"/>
  <c r="H3" i="40"/>
  <c r="J2" i="40"/>
  <c r="H2" i="40"/>
  <c r="J101" i="39"/>
  <c r="H101" i="39"/>
  <c r="J99" i="39"/>
  <c r="H99" i="39"/>
  <c r="H97" i="39"/>
  <c r="J97" i="39"/>
  <c r="H96" i="39"/>
  <c r="J96" i="39"/>
  <c r="J95" i="39"/>
  <c r="H95" i="39"/>
  <c r="H93" i="39"/>
  <c r="J93" i="39"/>
  <c r="H92" i="39"/>
  <c r="J92" i="39"/>
  <c r="H91" i="39"/>
  <c r="J91" i="39"/>
  <c r="J87" i="39"/>
  <c r="H87" i="39"/>
  <c r="J86" i="39"/>
  <c r="H86" i="39"/>
  <c r="J85" i="39"/>
  <c r="H85" i="39"/>
  <c r="H83" i="39"/>
  <c r="J83" i="39"/>
  <c r="H82" i="39"/>
  <c r="J82" i="39"/>
  <c r="H81" i="39"/>
  <c r="J81" i="39"/>
  <c r="H80" i="39"/>
  <c r="J80" i="39"/>
  <c r="H79" i="39"/>
  <c r="J79" i="39"/>
  <c r="H78" i="39"/>
  <c r="J78" i="39"/>
  <c r="J77" i="39"/>
  <c r="H77" i="39"/>
  <c r="J76" i="39"/>
  <c r="H76" i="39"/>
  <c r="H75" i="39"/>
  <c r="J75" i="39"/>
  <c r="H74" i="39"/>
  <c r="J74" i="39"/>
  <c r="H73" i="39"/>
  <c r="J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H58" i="39"/>
  <c r="J58" i="39"/>
  <c r="H57" i="39"/>
  <c r="J57" i="39"/>
  <c r="J56" i="39"/>
  <c r="H56" i="39"/>
  <c r="J55" i="39"/>
  <c r="H55" i="39"/>
  <c r="J54" i="39"/>
  <c r="H54" i="39"/>
  <c r="J53" i="39"/>
  <c r="H53" i="39"/>
  <c r="J52" i="39"/>
  <c r="H52" i="39"/>
  <c r="J51" i="39"/>
  <c r="H51" i="39"/>
  <c r="H49" i="39"/>
  <c r="J49" i="39"/>
  <c r="H48" i="39"/>
  <c r="J48" i="39"/>
  <c r="H47" i="39"/>
  <c r="J47" i="39"/>
  <c r="J46" i="39"/>
  <c r="H46" i="39"/>
  <c r="H44" i="39"/>
  <c r="J44" i="39"/>
  <c r="H43" i="39"/>
  <c r="J43" i="39"/>
  <c r="J42" i="39"/>
  <c r="H42" i="39"/>
  <c r="J41" i="39"/>
  <c r="H41" i="39"/>
  <c r="H39" i="39"/>
  <c r="J39" i="39"/>
  <c r="J38" i="39"/>
  <c r="H38" i="39"/>
  <c r="J37" i="39"/>
  <c r="H37" i="39"/>
  <c r="J36" i="39"/>
  <c r="H36" i="39"/>
  <c r="H34" i="39"/>
  <c r="J34" i="39"/>
  <c r="J33" i="39"/>
  <c r="H33" i="39"/>
  <c r="H32" i="39"/>
  <c r="J32" i="39"/>
  <c r="J31" i="39"/>
  <c r="H31" i="39"/>
  <c r="J30" i="39"/>
  <c r="H30" i="39"/>
  <c r="J29" i="39"/>
  <c r="H29" i="39"/>
  <c r="J28" i="39"/>
  <c r="H28" i="39"/>
  <c r="H27" i="39"/>
  <c r="J27" i="39"/>
  <c r="J26" i="39"/>
  <c r="H26" i="39"/>
  <c r="J25" i="39"/>
  <c r="H25" i="39"/>
  <c r="J24" i="39"/>
  <c r="H24" i="39"/>
  <c r="H23" i="39"/>
  <c r="J23" i="39"/>
  <c r="J22" i="39"/>
  <c r="H22" i="39"/>
  <c r="H21" i="39"/>
  <c r="J21" i="39"/>
  <c r="H20" i="39"/>
  <c r="J20" i="39"/>
  <c r="H19" i="39"/>
  <c r="J19" i="39"/>
  <c r="J18" i="39"/>
  <c r="H18" i="39"/>
  <c r="H17" i="39"/>
  <c r="J17" i="39"/>
  <c r="H16" i="39"/>
  <c r="J16" i="39"/>
  <c r="H15" i="39"/>
  <c r="J15" i="39"/>
  <c r="J14" i="39"/>
  <c r="H14" i="39"/>
  <c r="J13" i="39"/>
  <c r="H13" i="39"/>
  <c r="H12" i="39"/>
  <c r="J12" i="39"/>
  <c r="H11" i="39"/>
  <c r="J11" i="39"/>
  <c r="H10" i="39"/>
  <c r="J10" i="39"/>
  <c r="J9" i="39"/>
  <c r="H9" i="39"/>
  <c r="H8" i="39"/>
  <c r="J8" i="39"/>
  <c r="J7" i="39"/>
  <c r="H7" i="39"/>
  <c r="J6" i="39"/>
  <c r="H6" i="39"/>
  <c r="J5" i="39"/>
  <c r="H5" i="39"/>
  <c r="H4" i="39"/>
  <c r="J4" i="39"/>
  <c r="J3" i="39"/>
  <c r="H3" i="39"/>
  <c r="H2" i="39"/>
  <c r="J2" i="39"/>
  <c r="H101" i="38"/>
  <c r="J101" i="38"/>
  <c r="J100" i="38"/>
  <c r="H100" i="38"/>
  <c r="H99" i="38"/>
  <c r="J99" i="38"/>
  <c r="J98" i="38"/>
  <c r="H98" i="38"/>
  <c r="H97" i="38"/>
  <c r="J97" i="38"/>
  <c r="J96" i="38"/>
  <c r="H96" i="38"/>
  <c r="J95" i="38"/>
  <c r="H95" i="38"/>
  <c r="J94" i="38"/>
  <c r="H94" i="38"/>
  <c r="H93" i="38"/>
  <c r="J93" i="38"/>
  <c r="H92" i="38"/>
  <c r="J92" i="38"/>
  <c r="H91" i="38"/>
  <c r="J91" i="38"/>
  <c r="H90" i="38"/>
  <c r="J90" i="38"/>
  <c r="H89" i="38"/>
  <c r="J89" i="38"/>
  <c r="J88" i="38"/>
  <c r="H88" i="38"/>
  <c r="J87" i="38"/>
  <c r="H87" i="38"/>
  <c r="J86" i="38"/>
  <c r="H86" i="38"/>
  <c r="H85" i="38"/>
  <c r="J85" i="38"/>
  <c r="H84" i="38"/>
  <c r="J84" i="38"/>
  <c r="H83" i="38"/>
  <c r="J83" i="38"/>
  <c r="J82" i="38"/>
  <c r="H82" i="38"/>
  <c r="J81" i="38"/>
  <c r="H81" i="38"/>
  <c r="H80" i="38"/>
  <c r="J80" i="38"/>
  <c r="J79" i="38"/>
  <c r="H79" i="38"/>
  <c r="J78" i="38"/>
  <c r="H78" i="38"/>
  <c r="H77" i="38"/>
  <c r="J77" i="38"/>
  <c r="J76" i="38"/>
  <c r="H76" i="38"/>
  <c r="J75" i="38"/>
  <c r="H75" i="38"/>
  <c r="J74" i="38"/>
  <c r="H74" i="38"/>
  <c r="H73" i="38"/>
  <c r="J73" i="38"/>
  <c r="H72" i="38"/>
  <c r="J72" i="38"/>
  <c r="H71" i="38"/>
  <c r="J71" i="38"/>
  <c r="H70" i="38"/>
  <c r="J70" i="38"/>
  <c r="J69" i="38"/>
  <c r="H69" i="38"/>
  <c r="J66" i="38"/>
  <c r="H66" i="38"/>
  <c r="J65" i="38"/>
  <c r="H65" i="38"/>
  <c r="H64" i="38"/>
  <c r="J64" i="38"/>
  <c r="H63" i="38"/>
  <c r="J63" i="38"/>
  <c r="H62" i="38"/>
  <c r="J62" i="38"/>
  <c r="J61" i="38"/>
  <c r="H61" i="38"/>
  <c r="H60" i="38"/>
  <c r="J60" i="38"/>
  <c r="H59" i="38"/>
  <c r="J59" i="38"/>
  <c r="H58" i="38"/>
  <c r="J58" i="38"/>
  <c r="J57" i="38"/>
  <c r="H57" i="38"/>
  <c r="J56" i="38"/>
  <c r="H56" i="38"/>
  <c r="H55" i="38"/>
  <c r="J55" i="38"/>
  <c r="H54" i="38"/>
  <c r="J54" i="38"/>
  <c r="H53" i="38"/>
  <c r="J53" i="38"/>
  <c r="H52" i="38"/>
  <c r="J52" i="38"/>
  <c r="J51" i="38"/>
  <c r="H51" i="38"/>
  <c r="J50" i="38"/>
  <c r="H50" i="38"/>
  <c r="H49" i="38"/>
  <c r="J49" i="38"/>
  <c r="H48" i="38"/>
  <c r="J48" i="38"/>
  <c r="H47" i="38"/>
  <c r="J47" i="38"/>
  <c r="J46" i="38"/>
  <c r="H46" i="38"/>
  <c r="J45" i="38"/>
  <c r="H45" i="38"/>
  <c r="H44" i="38"/>
  <c r="J44" i="38"/>
  <c r="H43" i="38"/>
  <c r="J43" i="38"/>
  <c r="J42" i="38"/>
  <c r="H42" i="38"/>
  <c r="H41" i="38"/>
  <c r="J41" i="38"/>
  <c r="H40" i="38"/>
  <c r="J40" i="38"/>
  <c r="J39" i="38"/>
  <c r="H39" i="38"/>
  <c r="H38" i="38"/>
  <c r="J38" i="38"/>
  <c r="J37" i="38"/>
  <c r="H37" i="38"/>
  <c r="H36" i="38"/>
  <c r="J36" i="38"/>
  <c r="J35" i="38"/>
  <c r="H35" i="38"/>
  <c r="J34" i="38"/>
  <c r="H34" i="38"/>
  <c r="H33" i="38"/>
  <c r="J33" i="38"/>
  <c r="J32" i="38"/>
  <c r="H32" i="38"/>
  <c r="J31" i="38"/>
  <c r="H31" i="38"/>
  <c r="J30" i="38"/>
  <c r="H30" i="38"/>
  <c r="J29" i="38"/>
  <c r="H29" i="38"/>
  <c r="H28" i="38"/>
  <c r="J28" i="38"/>
  <c r="J27" i="38"/>
  <c r="H27" i="38"/>
  <c r="J26" i="38"/>
  <c r="H26" i="38"/>
  <c r="J25" i="38"/>
  <c r="H25" i="38"/>
  <c r="H24" i="38"/>
  <c r="J24" i="38"/>
  <c r="H23" i="38"/>
  <c r="J23" i="38"/>
  <c r="H22" i="38"/>
  <c r="J22" i="38"/>
  <c r="J21" i="38"/>
  <c r="H21" i="38"/>
  <c r="H20" i="38"/>
  <c r="J20" i="38"/>
  <c r="J19" i="38"/>
  <c r="H19" i="38"/>
  <c r="H18" i="38"/>
  <c r="J18" i="38"/>
  <c r="J17" i="38"/>
  <c r="H17" i="38"/>
  <c r="H16" i="38"/>
  <c r="J16" i="38"/>
  <c r="J15" i="38"/>
  <c r="H15" i="38"/>
  <c r="J14" i="38"/>
  <c r="H14" i="38"/>
  <c r="H13" i="38"/>
  <c r="J13" i="38"/>
  <c r="J12" i="38"/>
  <c r="H12" i="38"/>
  <c r="J11" i="38"/>
  <c r="H11" i="38"/>
  <c r="H10" i="38"/>
  <c r="J10" i="38"/>
  <c r="J9" i="38"/>
  <c r="H9" i="38"/>
  <c r="H8" i="38"/>
  <c r="J8" i="38"/>
  <c r="J7" i="38"/>
  <c r="H7" i="38"/>
  <c r="H6" i="38"/>
  <c r="J6" i="38"/>
  <c r="J5" i="38"/>
  <c r="H5" i="38"/>
  <c r="J4" i="38"/>
  <c r="H4" i="38"/>
  <c r="H3" i="38"/>
  <c r="J3" i="38"/>
  <c r="H2" i="38"/>
  <c r="J2" i="38"/>
  <c r="J101" i="37"/>
  <c r="H101" i="37"/>
  <c r="J100" i="37"/>
  <c r="H100" i="37"/>
  <c r="J99" i="37"/>
  <c r="H99" i="37"/>
  <c r="J97" i="37"/>
  <c r="H97" i="37"/>
  <c r="J96" i="37"/>
  <c r="H96" i="37"/>
  <c r="H95" i="37"/>
  <c r="J95" i="37"/>
  <c r="H94" i="37"/>
  <c r="J94" i="37"/>
  <c r="J93" i="37"/>
  <c r="H93" i="37"/>
  <c r="J92" i="37"/>
  <c r="H92" i="37"/>
  <c r="H91" i="37"/>
  <c r="J91" i="37"/>
  <c r="H90" i="37"/>
  <c r="J90" i="37"/>
  <c r="H89" i="37"/>
  <c r="J89" i="37"/>
  <c r="J88" i="37"/>
  <c r="H88" i="37"/>
  <c r="J87" i="37"/>
  <c r="H87" i="37"/>
  <c r="J86" i="37"/>
  <c r="H86" i="37"/>
  <c r="H85" i="37"/>
  <c r="J85" i="37"/>
  <c r="H84" i="37"/>
  <c r="J84" i="37"/>
  <c r="H83" i="37"/>
  <c r="J83" i="37"/>
  <c r="J82" i="37"/>
  <c r="H82" i="37"/>
  <c r="H81" i="37"/>
  <c r="J81" i="37"/>
  <c r="H80" i="37"/>
  <c r="J80" i="37"/>
  <c r="H91" i="36"/>
  <c r="J91" i="36"/>
  <c r="J90" i="36"/>
  <c r="H90" i="36"/>
  <c r="H89" i="36"/>
  <c r="J89" i="36"/>
  <c r="J88" i="36"/>
  <c r="H88" i="36"/>
  <c r="J87" i="36"/>
  <c r="H87" i="36"/>
  <c r="H86" i="36"/>
  <c r="J86" i="36"/>
  <c r="J85" i="36"/>
  <c r="H85" i="36"/>
  <c r="H84" i="36"/>
  <c r="J84" i="36"/>
  <c r="J83" i="36"/>
  <c r="H83" i="36"/>
  <c r="J82" i="36"/>
  <c r="H82" i="36"/>
  <c r="H81" i="36"/>
  <c r="J81" i="36"/>
  <c r="H80" i="36"/>
  <c r="J80" i="36"/>
  <c r="H79" i="36"/>
  <c r="J79" i="36"/>
  <c r="J78" i="36"/>
  <c r="H78" i="36"/>
  <c r="J77" i="36"/>
  <c r="H77" i="36"/>
  <c r="J76" i="36"/>
  <c r="H76" i="36"/>
  <c r="J75" i="36"/>
  <c r="H75" i="36"/>
  <c r="H74" i="36"/>
  <c r="J74" i="36"/>
  <c r="J73" i="36"/>
  <c r="H73" i="36"/>
  <c r="J72" i="36"/>
  <c r="H72" i="36"/>
  <c r="H71" i="36"/>
  <c r="J71" i="36"/>
  <c r="J70" i="36"/>
  <c r="H70" i="36"/>
  <c r="H69" i="36"/>
  <c r="J69" i="36"/>
  <c r="H68" i="36"/>
  <c r="J68" i="36"/>
  <c r="J67" i="36"/>
  <c r="H67" i="36"/>
  <c r="H66" i="36"/>
  <c r="J66" i="36"/>
  <c r="J65" i="36"/>
  <c r="H65" i="36"/>
  <c r="H64" i="36"/>
  <c r="J64" i="36"/>
  <c r="J63" i="36"/>
  <c r="H63" i="36"/>
  <c r="J62" i="36"/>
  <c r="H62" i="36"/>
  <c r="J61" i="36"/>
  <c r="H61" i="36"/>
  <c r="H60" i="36"/>
  <c r="J60" i="36"/>
  <c r="J59" i="36"/>
  <c r="H59" i="36"/>
  <c r="J58" i="36"/>
  <c r="H58" i="36"/>
  <c r="H57" i="36"/>
  <c r="J57" i="36"/>
  <c r="J56" i="36"/>
  <c r="H56" i="36"/>
  <c r="H55" i="36"/>
  <c r="J55" i="36"/>
  <c r="J54" i="36"/>
  <c r="H54" i="36"/>
  <c r="J53" i="36"/>
  <c r="H53" i="36"/>
  <c r="J52" i="36"/>
  <c r="H52" i="36"/>
  <c r="H51" i="36"/>
  <c r="J51" i="36"/>
  <c r="H50" i="36"/>
  <c r="J50" i="36"/>
  <c r="J49" i="36"/>
  <c r="H49" i="36"/>
  <c r="H47" i="36"/>
  <c r="J47" i="36"/>
  <c r="J46" i="36"/>
  <c r="H46" i="36"/>
  <c r="J45" i="36"/>
  <c r="H45" i="36"/>
  <c r="J44" i="36"/>
  <c r="H44" i="36"/>
  <c r="J43" i="36"/>
  <c r="H43" i="36"/>
  <c r="H37" i="36"/>
  <c r="J37" i="36"/>
  <c r="H30" i="36"/>
  <c r="J30" i="36"/>
  <c r="H24" i="36"/>
  <c r="J24" i="36"/>
  <c r="H23" i="36"/>
  <c r="J23" i="36"/>
  <c r="H22" i="36"/>
  <c r="J22" i="36"/>
  <c r="H21" i="36"/>
  <c r="J21" i="36"/>
  <c r="H20" i="36"/>
  <c r="J20" i="36"/>
  <c r="H19" i="36"/>
  <c r="J19" i="36"/>
  <c r="H18" i="36"/>
  <c r="J18" i="36"/>
  <c r="J17" i="36"/>
  <c r="H17" i="36"/>
  <c r="J16" i="36"/>
  <c r="H16" i="36"/>
  <c r="J15" i="36"/>
  <c r="H15" i="36"/>
  <c r="H14" i="36"/>
  <c r="J14" i="36"/>
  <c r="J13" i="36"/>
  <c r="H13" i="36"/>
  <c r="H12" i="36"/>
  <c r="J12" i="36"/>
  <c r="J11" i="36"/>
  <c r="H11" i="36"/>
  <c r="J10" i="36"/>
  <c r="H10" i="36"/>
  <c r="H9" i="36"/>
  <c r="J9" i="36"/>
  <c r="J8" i="36"/>
  <c r="H8" i="36"/>
  <c r="H7" i="36"/>
  <c r="J7" i="36"/>
  <c r="J6" i="36"/>
  <c r="H6" i="36"/>
  <c r="J5" i="36"/>
  <c r="H5" i="36"/>
  <c r="H4" i="36"/>
  <c r="J4" i="36"/>
  <c r="J3" i="36"/>
  <c r="H3" i="36"/>
  <c r="J2" i="36"/>
  <c r="H2" i="36"/>
  <c r="H101" i="35"/>
  <c r="J101" i="35"/>
  <c r="J100" i="35"/>
  <c r="H100" i="35"/>
  <c r="J99" i="35"/>
  <c r="H99" i="35"/>
  <c r="H98" i="35"/>
  <c r="J98" i="35"/>
  <c r="H97" i="35"/>
  <c r="J97" i="35"/>
  <c r="J96" i="35"/>
  <c r="H96" i="35"/>
  <c r="H95" i="35"/>
  <c r="J95" i="35"/>
  <c r="J94" i="35"/>
  <c r="H94" i="35"/>
  <c r="J93" i="35"/>
  <c r="H93" i="35"/>
  <c r="J92" i="35"/>
  <c r="H92" i="35"/>
  <c r="J91" i="35"/>
  <c r="H91" i="35"/>
  <c r="J90" i="35"/>
  <c r="H90" i="35"/>
  <c r="H89" i="35"/>
  <c r="J89" i="35"/>
  <c r="J88" i="35"/>
  <c r="H88" i="35"/>
  <c r="J87" i="35"/>
  <c r="H87" i="35"/>
  <c r="J86" i="35"/>
  <c r="H86" i="35"/>
  <c r="H85" i="35"/>
  <c r="J85" i="35"/>
  <c r="H84" i="35"/>
  <c r="J84" i="35"/>
  <c r="J83" i="35"/>
  <c r="H83" i="35"/>
  <c r="J82" i="35"/>
  <c r="H82" i="35"/>
  <c r="J81" i="35"/>
  <c r="H81" i="35"/>
  <c r="J80" i="35"/>
  <c r="H80" i="35"/>
  <c r="J79" i="35"/>
  <c r="H79" i="35"/>
  <c r="J78" i="35"/>
  <c r="H78" i="35"/>
  <c r="H77" i="35"/>
  <c r="J77" i="35"/>
  <c r="J76" i="35"/>
  <c r="H76" i="35"/>
  <c r="H75" i="35"/>
  <c r="J75" i="35"/>
  <c r="H74" i="35"/>
  <c r="J74" i="35"/>
  <c r="H73" i="35"/>
  <c r="J73" i="35"/>
  <c r="J72" i="35"/>
  <c r="H72" i="35"/>
  <c r="J71" i="35"/>
  <c r="H71" i="35"/>
  <c r="H70" i="35"/>
  <c r="J70" i="35"/>
  <c r="J69" i="35"/>
  <c r="H69" i="35"/>
  <c r="J68" i="35"/>
  <c r="H68" i="35"/>
  <c r="J67" i="35"/>
  <c r="H67" i="35"/>
  <c r="H66" i="35"/>
  <c r="J66" i="35"/>
  <c r="H65" i="35"/>
  <c r="J65" i="35"/>
  <c r="J64" i="35"/>
  <c r="H64" i="35"/>
  <c r="H63" i="35"/>
  <c r="J63" i="35"/>
  <c r="H62" i="35"/>
  <c r="J62" i="35"/>
  <c r="J61" i="35"/>
  <c r="H61" i="35"/>
  <c r="H60" i="35"/>
  <c r="J60" i="35"/>
  <c r="J59" i="35"/>
  <c r="H59" i="35"/>
  <c r="H58" i="35"/>
  <c r="J58" i="35"/>
  <c r="J57" i="35"/>
  <c r="H57" i="35"/>
  <c r="H56" i="35"/>
  <c r="J56" i="35"/>
  <c r="H55" i="35"/>
  <c r="J55" i="35"/>
  <c r="H54" i="35"/>
  <c r="J54" i="35"/>
  <c r="J53" i="35"/>
  <c r="H53" i="35"/>
  <c r="H52" i="35"/>
  <c r="J52" i="35"/>
  <c r="H51" i="35"/>
  <c r="J51" i="35"/>
  <c r="J50" i="35"/>
  <c r="H50" i="35"/>
  <c r="J49" i="35"/>
  <c r="H49" i="35"/>
  <c r="H48" i="35"/>
  <c r="J48" i="35"/>
  <c r="H47" i="35"/>
  <c r="J47" i="35"/>
  <c r="H46" i="35"/>
  <c r="J46" i="35"/>
  <c r="J45" i="35"/>
  <c r="H45" i="35"/>
  <c r="H44" i="35"/>
  <c r="J44" i="35"/>
  <c r="H43" i="35"/>
  <c r="J43" i="35"/>
  <c r="H42" i="35"/>
  <c r="J42" i="35"/>
  <c r="J41" i="35"/>
  <c r="H41" i="35"/>
  <c r="H40" i="35"/>
  <c r="J40" i="35"/>
  <c r="J39" i="35"/>
  <c r="H39" i="35"/>
  <c r="J38" i="35"/>
  <c r="H38" i="35"/>
  <c r="H37" i="35"/>
  <c r="J37" i="35"/>
  <c r="H36" i="35"/>
  <c r="J36" i="35"/>
  <c r="H35" i="35"/>
  <c r="J35" i="35"/>
  <c r="J34" i="35"/>
  <c r="H34" i="35"/>
  <c r="H33" i="35"/>
  <c r="J33" i="35"/>
  <c r="J32" i="35"/>
  <c r="H32" i="35"/>
  <c r="J31" i="35"/>
  <c r="H31" i="35"/>
  <c r="J30" i="35"/>
  <c r="H30" i="35"/>
  <c r="J29" i="35"/>
  <c r="H29" i="35"/>
  <c r="J28" i="35"/>
  <c r="H28" i="35"/>
  <c r="H27" i="35"/>
  <c r="J27" i="35"/>
  <c r="J26" i="35"/>
  <c r="H26" i="35"/>
  <c r="J25" i="35"/>
  <c r="H25" i="35"/>
  <c r="H24" i="35"/>
  <c r="J24" i="35"/>
  <c r="H23" i="35"/>
  <c r="J23" i="35"/>
  <c r="J22" i="35"/>
  <c r="H22" i="35"/>
  <c r="H21" i="35"/>
  <c r="J21" i="35"/>
  <c r="H20" i="35"/>
  <c r="J20" i="35"/>
  <c r="H19" i="35"/>
  <c r="J19" i="35"/>
  <c r="H18" i="35"/>
  <c r="J18" i="35"/>
  <c r="J17" i="35"/>
  <c r="H17" i="35"/>
  <c r="J16" i="35"/>
  <c r="H16" i="35"/>
  <c r="H15" i="35"/>
  <c r="J15" i="35"/>
  <c r="J14" i="35"/>
  <c r="H14" i="35"/>
  <c r="J13" i="35"/>
  <c r="H13" i="35"/>
  <c r="J12" i="35"/>
  <c r="H12" i="35"/>
  <c r="J11" i="35"/>
  <c r="H11" i="35"/>
  <c r="J10" i="35"/>
  <c r="H10" i="35"/>
  <c r="H9" i="35"/>
  <c r="J9" i="35"/>
  <c r="H8" i="35"/>
  <c r="J8" i="35"/>
  <c r="J7" i="35"/>
  <c r="H7" i="35"/>
  <c r="H6" i="35"/>
  <c r="J6" i="35"/>
  <c r="J5" i="35"/>
  <c r="H5" i="35"/>
  <c r="J4" i="35"/>
  <c r="H4" i="35"/>
  <c r="H3" i="35"/>
  <c r="J3" i="35"/>
  <c r="H2" i="35"/>
  <c r="J2" i="35"/>
  <c r="H101" i="34"/>
  <c r="J101" i="34"/>
  <c r="J100" i="34"/>
  <c r="H100" i="34"/>
  <c r="J99" i="34"/>
  <c r="H99" i="34"/>
  <c r="J98" i="34"/>
  <c r="H98" i="34"/>
  <c r="H97" i="34"/>
  <c r="J97" i="34"/>
  <c r="J96" i="34"/>
  <c r="H96" i="34"/>
  <c r="H95" i="34"/>
  <c r="J95" i="34"/>
  <c r="H94" i="34"/>
  <c r="J94" i="34"/>
  <c r="H93" i="34"/>
  <c r="J93" i="34"/>
  <c r="H92" i="34"/>
  <c r="J92" i="34"/>
  <c r="H91" i="34"/>
  <c r="J91" i="34"/>
  <c r="H90" i="34"/>
  <c r="J90" i="34"/>
  <c r="J74" i="34"/>
  <c r="H74"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H88" i="33"/>
  <c r="J88" i="33"/>
  <c r="H87" i="33"/>
  <c r="J87" i="33"/>
  <c r="J86" i="33"/>
  <c r="H86" i="33"/>
  <c r="H85" i="33"/>
  <c r="J85" i="33"/>
  <c r="J84" i="33"/>
  <c r="H84" i="33"/>
  <c r="J83" i="33"/>
  <c r="H83" i="33"/>
  <c r="J82" i="33"/>
  <c r="H82" i="33"/>
  <c r="J81" i="33"/>
  <c r="H81" i="33"/>
  <c r="J80" i="33"/>
  <c r="H80" i="33"/>
  <c r="H79" i="33"/>
  <c r="J79" i="33"/>
  <c r="H78" i="33"/>
  <c r="J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H101" i="31"/>
  <c r="J101" i="31"/>
  <c r="H100" i="31"/>
  <c r="J100" i="31"/>
  <c r="H99" i="31"/>
  <c r="J99" i="31"/>
  <c r="J98" i="31"/>
  <c r="H98" i="31"/>
  <c r="H97" i="31"/>
  <c r="J97" i="31"/>
  <c r="J96" i="31"/>
  <c r="H96" i="31"/>
  <c r="J95" i="31"/>
  <c r="H95" i="31"/>
  <c r="J93" i="31"/>
  <c r="H93" i="31"/>
  <c r="H92" i="31"/>
  <c r="J92" i="31"/>
  <c r="J91" i="31"/>
  <c r="H91" i="31"/>
  <c r="H90" i="31"/>
  <c r="J90" i="31"/>
  <c r="J89" i="31"/>
  <c r="H89" i="31"/>
  <c r="J88" i="31"/>
  <c r="H88" i="31"/>
  <c r="J87" i="31"/>
  <c r="H87" i="31"/>
  <c r="J86" i="31"/>
  <c r="H86" i="31"/>
  <c r="J85" i="31"/>
  <c r="H85" i="31"/>
  <c r="J84" i="31"/>
  <c r="H84" i="31"/>
  <c r="H83" i="31"/>
  <c r="J83" i="31"/>
  <c r="J82" i="31"/>
  <c r="H82" i="31"/>
  <c r="H81" i="31"/>
  <c r="J81" i="31"/>
  <c r="J80" i="31"/>
  <c r="H80" i="31"/>
  <c r="H79" i="31"/>
  <c r="J79" i="31"/>
  <c r="H78" i="31"/>
  <c r="J78" i="31"/>
  <c r="H77" i="31"/>
  <c r="J77" i="31"/>
  <c r="J76" i="31"/>
  <c r="H76" i="31"/>
  <c r="H75" i="31"/>
  <c r="J75" i="31"/>
  <c r="J74" i="31"/>
  <c r="H74" i="31"/>
  <c r="J73" i="31"/>
  <c r="H73" i="31"/>
  <c r="H72" i="31"/>
  <c r="J72" i="31"/>
  <c r="J13" i="44"/>
  <c r="H13" i="44"/>
  <c r="H12" i="44"/>
  <c r="J12" i="44"/>
  <c r="J11" i="44"/>
  <c r="H11" i="44"/>
  <c r="H10" i="44"/>
  <c r="J10" i="44"/>
  <c r="H9" i="44"/>
  <c r="J9" i="44"/>
  <c r="J8" i="44"/>
  <c r="H8" i="44"/>
  <c r="H7" i="44"/>
  <c r="J7" i="44"/>
  <c r="H6" i="44"/>
  <c r="J6" i="44"/>
  <c r="J5" i="44"/>
  <c r="H5" i="44"/>
  <c r="J4" i="44"/>
  <c r="H4" i="44"/>
  <c r="J3" i="44"/>
  <c r="H3" i="44"/>
  <c r="H2" i="44"/>
  <c r="J2" i="44"/>
  <c r="J101" i="43"/>
  <c r="H101" i="43"/>
  <c r="H100" i="43"/>
  <c r="J100" i="43"/>
  <c r="H99" i="43"/>
  <c r="J99" i="43"/>
  <c r="J71" i="42"/>
  <c r="H71" i="42"/>
  <c r="J70" i="42"/>
  <c r="H70" i="42"/>
  <c r="J69" i="42"/>
  <c r="H69" i="42"/>
  <c r="H68" i="42"/>
  <c r="J68" i="42"/>
  <c r="H67" i="42"/>
  <c r="J67" i="42"/>
  <c r="H66" i="42"/>
  <c r="J66" i="42"/>
  <c r="H65" i="42"/>
  <c r="J65" i="42"/>
  <c r="J64" i="42"/>
  <c r="H64" i="42"/>
  <c r="J63" i="42"/>
  <c r="H63" i="42"/>
  <c r="J62" i="42"/>
  <c r="H62" i="42"/>
  <c r="J61" i="42"/>
  <c r="H61" i="42"/>
  <c r="J60" i="42"/>
  <c r="H60" i="42"/>
  <c r="J59" i="42"/>
  <c r="H59" i="42"/>
  <c r="H58" i="42"/>
  <c r="J58" i="42"/>
  <c r="H57" i="42"/>
  <c r="J57" i="42"/>
  <c r="H56" i="42"/>
  <c r="J56" i="42"/>
  <c r="J93" i="24"/>
  <c r="H93" i="24"/>
  <c r="H92" i="24"/>
  <c r="J92" i="24"/>
  <c r="H91" i="24"/>
  <c r="J91" i="24"/>
  <c r="H90" i="24"/>
  <c r="J90" i="24"/>
  <c r="H89" i="24"/>
  <c r="J89" i="24"/>
  <c r="H88" i="24"/>
  <c r="J88" i="24"/>
  <c r="H87" i="24"/>
  <c r="J87" i="24"/>
  <c r="J86" i="24"/>
  <c r="H86" i="24"/>
  <c r="J85" i="24"/>
  <c r="H85" i="24"/>
  <c r="H84" i="24"/>
  <c r="J84" i="24"/>
  <c r="J83" i="24"/>
  <c r="H83" i="24"/>
  <c r="J82" i="24"/>
  <c r="H82" i="24"/>
  <c r="H81" i="24"/>
  <c r="J81" i="24"/>
  <c r="H80" i="24"/>
  <c r="J80" i="24"/>
  <c r="J79" i="24"/>
  <c r="H79" i="24"/>
  <c r="H78" i="24"/>
  <c r="J78" i="24"/>
  <c r="J77" i="24"/>
  <c r="H77" i="24"/>
  <c r="J76" i="24"/>
  <c r="H76" i="24"/>
  <c r="J75" i="24"/>
  <c r="H75" i="24"/>
  <c r="J74" i="24"/>
  <c r="H74" i="24"/>
  <c r="H73" i="24"/>
  <c r="J73" i="24"/>
  <c r="H72" i="24"/>
  <c r="J72" i="24"/>
  <c r="H71" i="24"/>
  <c r="J71" i="24"/>
  <c r="J70" i="24"/>
  <c r="H70" i="24"/>
  <c r="J69" i="24"/>
  <c r="H69" i="24"/>
  <c r="J98" i="22"/>
  <c r="H98" i="22"/>
  <c r="H97" i="22"/>
  <c r="J97" i="22"/>
  <c r="H96" i="22"/>
  <c r="J96" i="22"/>
  <c r="H95" i="22"/>
  <c r="J95" i="22"/>
  <c r="H94" i="22"/>
  <c r="J94" i="22"/>
  <c r="H93" i="22"/>
  <c r="J93" i="22"/>
  <c r="H92" i="22"/>
  <c r="J92" i="22"/>
  <c r="H91" i="22"/>
  <c r="J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J52" i="20"/>
  <c r="H52" i="20"/>
  <c r="J51" i="20"/>
  <c r="H51" i="20"/>
  <c r="H50" i="20"/>
  <c r="J50" i="20"/>
  <c r="H49" i="20"/>
  <c r="J49" i="20"/>
  <c r="H48" i="20"/>
  <c r="J48" i="20"/>
  <c r="H47" i="20"/>
  <c r="J47" i="20"/>
  <c r="H46" i="20"/>
  <c r="J46" i="20"/>
  <c r="H45" i="20"/>
  <c r="J45" i="20"/>
  <c r="J44" i="20"/>
  <c r="H44" i="20"/>
  <c r="J43" i="20"/>
  <c r="H43" i="20"/>
  <c r="H42" i="20"/>
  <c r="J42" i="20"/>
  <c r="H41" i="20"/>
  <c r="J41" i="20"/>
  <c r="H40" i="20"/>
  <c r="J40" i="20"/>
  <c r="H39" i="20"/>
  <c r="J39" i="20"/>
  <c r="J38" i="20"/>
  <c r="H38" i="20"/>
  <c r="J37" i="20"/>
  <c r="H37" i="20"/>
  <c r="H36" i="20"/>
  <c r="J36" i="20"/>
  <c r="J35" i="20"/>
  <c r="H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H93" i="19"/>
  <c r="J93" i="19"/>
  <c r="J92" i="19"/>
  <c r="H92" i="19"/>
  <c r="J91" i="19"/>
  <c r="H91" i="19"/>
  <c r="J90" i="19"/>
  <c r="H90" i="19"/>
  <c r="H89" i="19"/>
  <c r="J89" i="19"/>
  <c r="J88" i="19"/>
  <c r="H88" i="19"/>
  <c r="H87" i="19"/>
  <c r="J87" i="19"/>
  <c r="J86" i="19"/>
  <c r="H86" i="19"/>
  <c r="H85" i="19"/>
  <c r="J85" i="19"/>
  <c r="H84" i="19"/>
  <c r="J84" i="19"/>
  <c r="H83" i="19"/>
  <c r="J83" i="19"/>
  <c r="J82" i="19"/>
  <c r="H82" i="19"/>
  <c r="J81" i="19"/>
  <c r="H81" i="19"/>
  <c r="J80" i="19"/>
  <c r="H80" i="19"/>
  <c r="J79" i="19"/>
  <c r="H79" i="19"/>
  <c r="J78" i="19"/>
  <c r="H78" i="19"/>
  <c r="J77" i="19"/>
  <c r="H77" i="19"/>
  <c r="H76" i="19"/>
  <c r="J76" i="19"/>
  <c r="J75" i="19"/>
  <c r="H75" i="19"/>
  <c r="H74" i="19"/>
  <c r="J74" i="19"/>
  <c r="H73" i="19"/>
  <c r="J73" i="19"/>
  <c r="J72" i="19"/>
  <c r="H72" i="19"/>
  <c r="H71" i="19"/>
  <c r="J71" i="19"/>
  <c r="H70" i="19"/>
  <c r="J70" i="19"/>
  <c r="H69" i="19"/>
  <c r="J69" i="19"/>
  <c r="J68" i="19"/>
  <c r="H68" i="19"/>
  <c r="H67" i="19"/>
  <c r="J67" i="19"/>
  <c r="H66" i="19"/>
  <c r="J66" i="19"/>
  <c r="J65" i="19"/>
  <c r="H65" i="19"/>
  <c r="H64" i="19"/>
  <c r="J64" i="19"/>
  <c r="H63" i="19"/>
  <c r="J63" i="19"/>
  <c r="H62" i="19"/>
  <c r="J62" i="19"/>
  <c r="J61" i="19"/>
  <c r="H61" i="19"/>
  <c r="H60" i="19"/>
  <c r="J60" i="19"/>
  <c r="H59" i="19"/>
  <c r="J59" i="19"/>
  <c r="J58" i="19"/>
  <c r="H58" i="19"/>
  <c r="H57" i="19"/>
  <c r="J57" i="19"/>
  <c r="H56" i="19"/>
  <c r="J56" i="19"/>
  <c r="H55" i="19"/>
  <c r="J55" i="19"/>
  <c r="J54" i="19"/>
  <c r="H54" i="19"/>
  <c r="J53" i="19"/>
  <c r="H53" i="19"/>
  <c r="H52" i="19"/>
  <c r="J52" i="19"/>
  <c r="H51" i="19"/>
  <c r="J51" i="19"/>
  <c r="H50" i="19"/>
  <c r="J50" i="19"/>
  <c r="H49" i="19"/>
  <c r="J49" i="19"/>
  <c r="J48" i="19"/>
  <c r="H48" i="19"/>
  <c r="H47" i="19"/>
  <c r="J47" i="19"/>
  <c r="H46" i="19"/>
  <c r="J46" i="19"/>
  <c r="H45" i="19"/>
  <c r="J45" i="19"/>
  <c r="H44" i="19"/>
  <c r="J44" i="19"/>
  <c r="H43" i="19"/>
  <c r="J43" i="19"/>
  <c r="J42" i="19"/>
  <c r="H42" i="19"/>
  <c r="J41" i="19"/>
  <c r="H41" i="19"/>
  <c r="J40" i="19"/>
  <c r="H40" i="19"/>
  <c r="J39" i="19"/>
  <c r="H39" i="19"/>
  <c r="H38" i="19"/>
  <c r="J38" i="19"/>
  <c r="H37" i="19"/>
  <c r="J37" i="19"/>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101" i="46"/>
  <c r="H101" i="46"/>
  <c r="H100" i="46"/>
  <c r="J100" i="46"/>
  <c r="J99" i="46"/>
  <c r="H99" i="46"/>
  <c r="H98" i="46"/>
  <c r="J98" i="46"/>
  <c r="J97" i="46"/>
  <c r="H97" i="46"/>
  <c r="H96" i="46"/>
  <c r="J96" i="46"/>
  <c r="H95" i="46"/>
  <c r="J95" i="46"/>
  <c r="H94" i="46"/>
  <c r="J94" i="46"/>
  <c r="J93" i="46"/>
  <c r="H93" i="46"/>
  <c r="J92" i="46"/>
  <c r="H92" i="46"/>
  <c r="J91" i="46"/>
  <c r="H91" i="46"/>
  <c r="H90" i="46"/>
  <c r="J90" i="46"/>
  <c r="H89" i="46"/>
  <c r="J89" i="46"/>
  <c r="J88" i="46"/>
  <c r="H88" i="46"/>
  <c r="H87" i="46"/>
  <c r="J87" i="46"/>
  <c r="H86" i="46"/>
  <c r="J86" i="46"/>
  <c r="J85" i="46"/>
  <c r="H85" i="46"/>
  <c r="J84" i="46"/>
  <c r="H84" i="46"/>
  <c r="J83" i="46"/>
  <c r="H83" i="46"/>
  <c r="H82" i="46"/>
  <c r="J82" i="46"/>
  <c r="J81" i="46"/>
  <c r="H81" i="46"/>
  <c r="J80" i="46"/>
  <c r="H80" i="46"/>
  <c r="J79" i="46"/>
  <c r="H79" i="46"/>
  <c r="J78" i="46"/>
  <c r="H78" i="46"/>
  <c r="H77" i="46"/>
  <c r="J77" i="46"/>
  <c r="H76" i="46"/>
  <c r="J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J54" i="46"/>
  <c r="H54" i="46"/>
  <c r="H53" i="46"/>
  <c r="J53" i="46"/>
  <c r="H52" i="46"/>
  <c r="J52" i="46"/>
  <c r="H51" i="46"/>
  <c r="J51" i="46"/>
  <c r="H50" i="46"/>
  <c r="J50" i="46"/>
  <c r="H49" i="46"/>
  <c r="J49" i="46"/>
  <c r="J48" i="46"/>
  <c r="H48" i="46"/>
  <c r="J47" i="46"/>
  <c r="H47" i="46"/>
  <c r="H46" i="46"/>
  <c r="J46" i="46"/>
  <c r="H45" i="46"/>
  <c r="J45" i="46"/>
  <c r="H44" i="46"/>
  <c r="J44" i="46"/>
  <c r="H43" i="46"/>
  <c r="J43" i="46"/>
  <c r="H42" i="46"/>
  <c r="J42" i="46"/>
  <c r="H41" i="46"/>
  <c r="J41" i="46"/>
  <c r="J40" i="46"/>
  <c r="H40" i="46"/>
  <c r="J39" i="46"/>
  <c r="H39" i="46"/>
  <c r="H38" i="46"/>
  <c r="J38" i="46"/>
  <c r="J37" i="46"/>
  <c r="H37" i="46"/>
  <c r="H36" i="46"/>
  <c r="J36" i="46"/>
  <c r="H35" i="46"/>
  <c r="J35" i="46"/>
  <c r="J34" i="46"/>
  <c r="H34" i="46"/>
  <c r="H33" i="46"/>
  <c r="J33" i="46"/>
  <c r="J32" i="46"/>
  <c r="H32" i="46"/>
  <c r="H31" i="46"/>
  <c r="J31" i="46"/>
  <c r="J30" i="46"/>
  <c r="H30" i="46"/>
  <c r="J29" i="46"/>
  <c r="H29" i="46"/>
  <c r="H28" i="46"/>
  <c r="J28" i="46"/>
  <c r="H27" i="46"/>
  <c r="J27" i="46"/>
  <c r="H26" i="46"/>
  <c r="J26" i="46"/>
  <c r="H25" i="46"/>
  <c r="J25" i="46"/>
  <c r="J24" i="46"/>
  <c r="H24" i="46"/>
  <c r="J23" i="46"/>
  <c r="H23" i="46"/>
  <c r="J22" i="46"/>
  <c r="H22" i="46"/>
  <c r="J21" i="46"/>
  <c r="H21" i="46"/>
  <c r="J20" i="46"/>
  <c r="H20" i="46"/>
  <c r="J19" i="46"/>
  <c r="H19" i="46"/>
  <c r="H18" i="46"/>
  <c r="J18" i="46"/>
  <c r="J17" i="46"/>
  <c r="H17" i="46"/>
  <c r="J16" i="46"/>
  <c r="H16" i="46"/>
  <c r="H15" i="46"/>
  <c r="J15" i="46"/>
  <c r="H14" i="46"/>
  <c r="J14" i="46"/>
  <c r="H13" i="46"/>
  <c r="J13" i="46"/>
  <c r="J12" i="46"/>
  <c r="H12" i="46"/>
  <c r="H11" i="46"/>
  <c r="J11" i="46"/>
  <c r="H10" i="46"/>
  <c r="J10" i="46"/>
  <c r="H9" i="46"/>
  <c r="J9" i="46"/>
  <c r="H8" i="46"/>
  <c r="J8" i="46"/>
  <c r="J7" i="46"/>
  <c r="H7" i="46"/>
  <c r="H6" i="46"/>
  <c r="J6" i="46"/>
  <c r="H5" i="46"/>
  <c r="J5" i="46"/>
  <c r="H4" i="46"/>
  <c r="J4" i="46"/>
  <c r="H3" i="46"/>
  <c r="J3" i="46"/>
  <c r="H2" i="46"/>
  <c r="J2" i="46"/>
  <c r="J101" i="45"/>
  <c r="H101" i="45"/>
  <c r="J100" i="45"/>
  <c r="H100" i="45"/>
  <c r="H99" i="45"/>
  <c r="J99" i="45"/>
  <c r="H98" i="45"/>
  <c r="J98" i="45"/>
  <c r="H97" i="45"/>
  <c r="J97" i="45"/>
  <c r="H96" i="45"/>
  <c r="J96" i="45"/>
  <c r="J95" i="45"/>
  <c r="H95" i="45"/>
  <c r="J94" i="45"/>
  <c r="H94" i="45"/>
  <c r="J93" i="45"/>
  <c r="H93" i="45"/>
  <c r="J92" i="45"/>
  <c r="H92" i="45"/>
  <c r="J91" i="45"/>
  <c r="H91" i="45"/>
  <c r="J90" i="45"/>
  <c r="H90" i="45"/>
  <c r="H89" i="45"/>
  <c r="J89" i="45"/>
  <c r="H88" i="45"/>
  <c r="J88" i="45"/>
  <c r="J87" i="45"/>
  <c r="H87" i="45"/>
  <c r="J86" i="45"/>
  <c r="H86" i="45"/>
  <c r="J85" i="45"/>
  <c r="H85" i="45"/>
  <c r="H84" i="45"/>
  <c r="J84" i="45"/>
  <c r="J83" i="45"/>
  <c r="H83" i="45"/>
  <c r="J82" i="45"/>
  <c r="H82" i="45"/>
  <c r="J81" i="45"/>
  <c r="H81" i="45"/>
  <c r="H80" i="45"/>
  <c r="J80" i="45"/>
  <c r="H79" i="45"/>
  <c r="J79" i="45"/>
  <c r="H78" i="45"/>
  <c r="J78" i="45"/>
  <c r="J77" i="45"/>
  <c r="H77" i="45"/>
  <c r="J76" i="45"/>
  <c r="H76" i="45"/>
  <c r="H75" i="45"/>
  <c r="J75" i="45"/>
  <c r="J74" i="45"/>
  <c r="H74" i="45"/>
  <c r="J73" i="45"/>
  <c r="H73" i="45"/>
  <c r="H72" i="45"/>
  <c r="J72" i="45"/>
  <c r="J71" i="45"/>
  <c r="H71" i="45"/>
  <c r="J70" i="45"/>
  <c r="H70" i="45"/>
  <c r="J69" i="45"/>
  <c r="H69" i="45"/>
  <c r="H68" i="45"/>
  <c r="J68" i="45"/>
  <c r="H67" i="45"/>
  <c r="J67" i="45"/>
  <c r="H66" i="45"/>
  <c r="J66" i="45"/>
  <c r="H65" i="45"/>
  <c r="J65" i="45"/>
  <c r="J64" i="45"/>
  <c r="H64" i="45"/>
  <c r="H63" i="45"/>
  <c r="J63" i="45"/>
  <c r="H62" i="45"/>
  <c r="J62" i="45"/>
  <c r="J61" i="45"/>
  <c r="H61" i="45"/>
  <c r="J60" i="45"/>
  <c r="H60" i="45"/>
  <c r="J59" i="45"/>
  <c r="H59" i="45"/>
  <c r="H58" i="45"/>
  <c r="J58" i="45"/>
  <c r="H57" i="45"/>
  <c r="J57" i="45"/>
  <c r="H56" i="45"/>
  <c r="J56" i="45"/>
  <c r="H55" i="45"/>
  <c r="J55" i="45"/>
  <c r="J54" i="45"/>
  <c r="H54" i="45"/>
  <c r="J53" i="45"/>
  <c r="H53" i="45"/>
  <c r="J52" i="45"/>
  <c r="H52" i="45"/>
  <c r="H51" i="45"/>
  <c r="J51" i="45"/>
  <c r="J50" i="45"/>
  <c r="H50" i="45"/>
  <c r="J49" i="45"/>
  <c r="H49" i="45"/>
  <c r="H48" i="45"/>
  <c r="J48" i="45"/>
  <c r="J47" i="45"/>
  <c r="H47" i="45"/>
  <c r="J46" i="45"/>
  <c r="H46" i="45"/>
  <c r="H45" i="45"/>
  <c r="J45" i="45"/>
  <c r="J44" i="45"/>
  <c r="H44" i="45"/>
  <c r="J43" i="45"/>
  <c r="H43" i="45"/>
  <c r="H42" i="45"/>
  <c r="J42" i="45"/>
  <c r="J41" i="45"/>
  <c r="H41" i="45"/>
  <c r="J40" i="45"/>
  <c r="H40" i="45"/>
  <c r="H39" i="45"/>
  <c r="J39" i="45"/>
  <c r="H38" i="45"/>
  <c r="J38" i="45"/>
  <c r="J37" i="45"/>
  <c r="H37" i="45"/>
  <c r="J36" i="45"/>
  <c r="H36" i="45"/>
  <c r="J35" i="45"/>
  <c r="H35" i="45"/>
  <c r="H34" i="45"/>
  <c r="J34" i="45"/>
  <c r="H33" i="45"/>
  <c r="J33" i="45"/>
  <c r="H32" i="45"/>
  <c r="J32" i="45"/>
  <c r="J31" i="45"/>
  <c r="H31" i="45"/>
  <c r="J30" i="45"/>
  <c r="H30" i="45"/>
  <c r="H29" i="45"/>
  <c r="J29" i="45"/>
  <c r="H28" i="45"/>
  <c r="J28" i="45"/>
  <c r="J27" i="45"/>
  <c r="H27" i="45"/>
  <c r="H26" i="45"/>
  <c r="J26" i="45"/>
  <c r="H25" i="45"/>
  <c r="J25" i="45"/>
  <c r="J24" i="45"/>
  <c r="H24" i="45"/>
  <c r="H23" i="45"/>
  <c r="J23" i="45"/>
  <c r="H22" i="45"/>
  <c r="J22" i="45"/>
  <c r="J21" i="45"/>
  <c r="H21" i="45"/>
  <c r="J20" i="45"/>
  <c r="H20" i="45"/>
  <c r="J19" i="45"/>
  <c r="H19" i="45"/>
  <c r="J18" i="45"/>
  <c r="H18" i="45"/>
  <c r="H17" i="45"/>
  <c r="J17" i="45"/>
  <c r="J16" i="45"/>
  <c r="H16" i="45"/>
  <c r="J15" i="45"/>
  <c r="H15" i="45"/>
  <c r="H14" i="45"/>
  <c r="J14" i="45"/>
  <c r="H13" i="45"/>
  <c r="J13" i="45"/>
  <c r="H12" i="45"/>
  <c r="J12" i="45"/>
  <c r="J11" i="45"/>
  <c r="H11" i="45"/>
  <c r="J10" i="45"/>
  <c r="H10" i="45"/>
  <c r="H9" i="45"/>
  <c r="J9" i="45"/>
  <c r="J8" i="45"/>
  <c r="H8" i="45"/>
  <c r="H7" i="45"/>
  <c r="J7" i="45"/>
  <c r="H6" i="45"/>
  <c r="J6" i="45"/>
  <c r="J5" i="45"/>
  <c r="H5" i="45"/>
  <c r="J4" i="45"/>
  <c r="H4" i="45"/>
  <c r="J3" i="45"/>
  <c r="H3" i="45"/>
  <c r="H2" i="45"/>
  <c r="J2" i="45"/>
  <c r="H101" i="44"/>
  <c r="J101" i="44"/>
  <c r="H100" i="44"/>
  <c r="J100" i="44"/>
  <c r="H99" i="44"/>
  <c r="J99" i="44"/>
  <c r="J98" i="44"/>
  <c r="H98" i="44"/>
  <c r="H97" i="44"/>
  <c r="J97" i="44"/>
  <c r="H96" i="44"/>
  <c r="J96" i="44"/>
  <c r="H95" i="44"/>
  <c r="J95" i="44"/>
  <c r="H94" i="44"/>
  <c r="J94" i="44"/>
  <c r="H93" i="44"/>
  <c r="J93" i="44"/>
  <c r="J92" i="44"/>
  <c r="H92" i="44"/>
  <c r="H91" i="44"/>
  <c r="J91" i="44"/>
  <c r="H90" i="44"/>
  <c r="J90" i="44"/>
  <c r="H89" i="44"/>
  <c r="J89" i="44"/>
  <c r="H88" i="44"/>
  <c r="J88" i="44"/>
  <c r="H87" i="44"/>
  <c r="J87" i="44"/>
  <c r="H86" i="44"/>
  <c r="J86" i="44"/>
  <c r="H85" i="44"/>
  <c r="J85" i="44"/>
  <c r="H84" i="44"/>
  <c r="J84" i="44"/>
  <c r="H83" i="44"/>
  <c r="J83" i="44"/>
  <c r="J82" i="44"/>
  <c r="H82" i="44"/>
  <c r="J81" i="44"/>
  <c r="H81" i="44"/>
  <c r="H80" i="44"/>
  <c r="J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J49" i="44"/>
  <c r="H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H14" i="44"/>
  <c r="J14" i="44"/>
  <c r="H36" i="42"/>
  <c r="J36" i="42"/>
  <c r="H35" i="42"/>
  <c r="J35" i="42"/>
  <c r="J34" i="42"/>
  <c r="H34" i="42"/>
  <c r="J33" i="42"/>
  <c r="H33" i="42"/>
  <c r="J32" i="42"/>
  <c r="H32" i="42"/>
  <c r="J31" i="42"/>
  <c r="H31" i="42"/>
  <c r="J30" i="42"/>
  <c r="H30" i="42"/>
  <c r="J29" i="42"/>
  <c r="H29" i="42"/>
  <c r="H28" i="42"/>
  <c r="J28" i="42"/>
  <c r="H27" i="42"/>
  <c r="J27" i="42"/>
  <c r="H26" i="42"/>
  <c r="J26" i="42"/>
  <c r="H25" i="42"/>
  <c r="J25" i="42"/>
  <c r="J24" i="42"/>
  <c r="H24" i="42"/>
  <c r="J23" i="42"/>
  <c r="H23" i="42"/>
  <c r="H22" i="42"/>
  <c r="J22" i="42"/>
  <c r="H21" i="42"/>
  <c r="J21" i="42"/>
  <c r="H20" i="42"/>
  <c r="J20" i="42"/>
  <c r="H19" i="42"/>
  <c r="J19" i="42"/>
  <c r="J18" i="42"/>
  <c r="H18" i="42"/>
  <c r="J17" i="42"/>
  <c r="H17" i="42"/>
  <c r="J16" i="42"/>
  <c r="H16" i="42"/>
  <c r="H15" i="42"/>
  <c r="J15" i="42"/>
  <c r="H14" i="42"/>
  <c r="J14" i="42"/>
  <c r="H13" i="42"/>
  <c r="J13" i="42"/>
  <c r="J12" i="42"/>
  <c r="H12" i="42"/>
  <c r="H11" i="42"/>
  <c r="J11" i="42"/>
  <c r="J10" i="42"/>
  <c r="H10" i="42"/>
  <c r="J9" i="42"/>
  <c r="H9" i="42"/>
  <c r="H8" i="42"/>
  <c r="J8" i="42"/>
  <c r="J7" i="42"/>
  <c r="H7" i="42"/>
  <c r="J6" i="42"/>
  <c r="H6" i="42"/>
  <c r="J5" i="42"/>
  <c r="H5" i="42"/>
  <c r="J4" i="42"/>
  <c r="H4" i="42"/>
  <c r="J3" i="42"/>
  <c r="H3" i="42"/>
  <c r="J2" i="42"/>
  <c r="H2" i="42"/>
  <c r="J101" i="41"/>
  <c r="H101" i="41"/>
  <c r="H100" i="41"/>
  <c r="J100" i="41"/>
  <c r="J99" i="41"/>
  <c r="H99" i="41"/>
  <c r="J98" i="41"/>
  <c r="H98" i="41"/>
  <c r="J97" i="41"/>
  <c r="H97" i="41"/>
  <c r="J96" i="41"/>
  <c r="H96" i="41"/>
  <c r="H95" i="41"/>
  <c r="J95" i="41"/>
  <c r="J94" i="41"/>
  <c r="H94" i="41"/>
  <c r="J93" i="41"/>
  <c r="H93" i="41"/>
  <c r="J92" i="41"/>
  <c r="H92" i="41"/>
  <c r="H91" i="41"/>
  <c r="J91" i="41"/>
  <c r="J90" i="41"/>
  <c r="H90" i="41"/>
  <c r="J89" i="41"/>
  <c r="H89" i="41"/>
  <c r="J88" i="41"/>
  <c r="H88" i="41"/>
  <c r="J87" i="41"/>
  <c r="H87" i="41"/>
  <c r="J86" i="41"/>
  <c r="H86" i="41"/>
  <c r="H85" i="41"/>
  <c r="J85" i="41"/>
  <c r="J84" i="41"/>
  <c r="H84" i="41"/>
  <c r="J83" i="41"/>
  <c r="H83" i="41"/>
  <c r="H82" i="41"/>
  <c r="J82" i="41"/>
  <c r="J81" i="41"/>
  <c r="H81" i="41"/>
  <c r="J80" i="41"/>
  <c r="H80" i="41"/>
  <c r="J79" i="41"/>
  <c r="H79" i="41"/>
  <c r="J78" i="41"/>
  <c r="H78" i="41"/>
  <c r="J77" i="41"/>
  <c r="H77" i="41"/>
  <c r="J76" i="41"/>
  <c r="H76" i="41"/>
  <c r="J71" i="41"/>
  <c r="H71" i="41"/>
  <c r="H70" i="41"/>
  <c r="J70" i="41"/>
  <c r="J69" i="41"/>
  <c r="H69" i="41"/>
  <c r="J68" i="41"/>
  <c r="H68" i="41"/>
  <c r="J67" i="41"/>
  <c r="H67" i="41"/>
  <c r="H66" i="41"/>
  <c r="J66" i="41"/>
  <c r="H65" i="41"/>
  <c r="J65" i="41"/>
  <c r="H64" i="41"/>
  <c r="J64" i="41"/>
  <c r="H63" i="41"/>
  <c r="J63" i="41"/>
  <c r="H62" i="41"/>
  <c r="J62" i="41"/>
  <c r="J61" i="41"/>
  <c r="H61" i="41"/>
  <c r="H60" i="41"/>
  <c r="J60" i="41"/>
  <c r="H59" i="41"/>
  <c r="J59" i="41"/>
  <c r="J58" i="41"/>
  <c r="H58" i="41"/>
  <c r="J57" i="41"/>
  <c r="H57" i="41"/>
  <c r="H56" i="41"/>
  <c r="J56" i="41"/>
  <c r="J88" i="40"/>
  <c r="H88" i="40"/>
  <c r="J86" i="40"/>
  <c r="H86" i="40"/>
  <c r="H85" i="40"/>
  <c r="J85" i="40"/>
  <c r="J84" i="40"/>
  <c r="H84" i="40"/>
  <c r="J83" i="40"/>
  <c r="H83" i="40"/>
  <c r="H82" i="40"/>
  <c r="J82" i="40"/>
  <c r="J81" i="40"/>
  <c r="H81" i="40"/>
  <c r="J80" i="40"/>
  <c r="H80" i="40"/>
  <c r="H79" i="40"/>
  <c r="J79" i="40"/>
  <c r="J78" i="40"/>
  <c r="H78" i="40"/>
  <c r="J77" i="40"/>
  <c r="H77" i="40"/>
  <c r="J76" i="40"/>
  <c r="H76" i="40"/>
  <c r="H75" i="40"/>
  <c r="J75" i="40"/>
  <c r="J74" i="40"/>
  <c r="H74" i="40"/>
  <c r="J73" i="40"/>
  <c r="H73" i="40"/>
  <c r="H72" i="40"/>
  <c r="J72" i="40"/>
  <c r="J71" i="40"/>
  <c r="H71" i="40"/>
  <c r="J70" i="40"/>
  <c r="H70" i="40"/>
  <c r="J69" i="40"/>
  <c r="H69" i="40"/>
  <c r="H68" i="40"/>
  <c r="J68" i="40"/>
  <c r="H67" i="40"/>
  <c r="J67" i="40"/>
  <c r="J66" i="40"/>
  <c r="H66" i="40"/>
  <c r="H65" i="40"/>
  <c r="J65" i="40"/>
  <c r="H64" i="40"/>
  <c r="J64" i="40"/>
  <c r="H100" i="39"/>
  <c r="J100" i="39"/>
  <c r="H98" i="39"/>
  <c r="J98" i="39"/>
  <c r="J94" i="39"/>
  <c r="H94" i="39"/>
  <c r="J90" i="39"/>
  <c r="H90" i="39"/>
  <c r="H89" i="39"/>
  <c r="J89" i="39"/>
  <c r="J88" i="39"/>
  <c r="H88" i="39"/>
  <c r="J84" i="39"/>
  <c r="H84" i="39"/>
  <c r="J59" i="39"/>
  <c r="H59" i="39"/>
  <c r="J50" i="39"/>
  <c r="H50" i="39"/>
  <c r="H45" i="39"/>
  <c r="J45" i="39"/>
  <c r="H40" i="39"/>
  <c r="J40" i="39"/>
  <c r="H35" i="39"/>
  <c r="J35" i="39"/>
  <c r="J101" i="32"/>
  <c r="H101" i="32"/>
  <c r="J100" i="32"/>
  <c r="H100" i="32"/>
  <c r="J99" i="32"/>
  <c r="H99" i="32"/>
  <c r="H98" i="32"/>
  <c r="J98" i="32"/>
  <c r="J97" i="32"/>
  <c r="H97" i="32"/>
  <c r="J96" i="32"/>
  <c r="H96" i="32"/>
  <c r="H95" i="32"/>
  <c r="J95" i="32"/>
  <c r="J94" i="32"/>
  <c r="H94" i="32"/>
  <c r="J93" i="32"/>
  <c r="H93" i="32"/>
  <c r="J92" i="32"/>
  <c r="H92" i="32"/>
  <c r="H91" i="32"/>
  <c r="J91" i="32"/>
  <c r="H90" i="32"/>
  <c r="J90" i="32"/>
  <c r="H89" i="32"/>
  <c r="J89" i="32"/>
  <c r="J88" i="32"/>
  <c r="H88" i="32"/>
  <c r="J87" i="32"/>
  <c r="H87" i="32"/>
  <c r="H86" i="32"/>
  <c r="J86" i="32"/>
  <c r="H85" i="32"/>
  <c r="J85" i="32"/>
  <c r="H84" i="32"/>
  <c r="J84" i="32"/>
  <c r="H83" i="32"/>
  <c r="J83" i="32"/>
  <c r="H82" i="32"/>
  <c r="J82" i="32"/>
  <c r="H81" i="32"/>
  <c r="J81" i="32"/>
  <c r="H80" i="32"/>
  <c r="J80" i="32"/>
  <c r="J79" i="32"/>
  <c r="H79" i="32"/>
  <c r="H78" i="32"/>
  <c r="J78" i="32"/>
  <c r="H77" i="32"/>
  <c r="J77" i="32"/>
  <c r="H76" i="32"/>
  <c r="J76" i="32"/>
  <c r="H75" i="32"/>
  <c r="J75" i="32"/>
  <c r="J74" i="32"/>
  <c r="H74" i="32"/>
  <c r="H73" i="32"/>
  <c r="J73" i="32"/>
  <c r="J72" i="32"/>
  <c r="H72" i="32"/>
  <c r="H71" i="32"/>
  <c r="J71" i="32"/>
  <c r="H70" i="32"/>
  <c r="J70" i="32"/>
  <c r="J69" i="32"/>
  <c r="H69" i="32"/>
  <c r="H68" i="32"/>
  <c r="J68" i="32"/>
  <c r="J67" i="32"/>
  <c r="H67" i="32"/>
  <c r="J66" i="32"/>
  <c r="H66" i="32"/>
  <c r="J65" i="32"/>
  <c r="H65" i="32"/>
  <c r="J64" i="32"/>
  <c r="H64" i="32"/>
  <c r="J63" i="32"/>
  <c r="H63" i="32"/>
  <c r="H62" i="32"/>
  <c r="J62" i="32"/>
  <c r="J61" i="32"/>
  <c r="H61" i="32"/>
  <c r="J60" i="32"/>
  <c r="H60" i="32"/>
  <c r="H59" i="32"/>
  <c r="J59" i="32"/>
  <c r="J58" i="32"/>
  <c r="H58" i="32"/>
  <c r="J57" i="32"/>
  <c r="H57" i="32"/>
  <c r="H56" i="32"/>
  <c r="J56" i="32"/>
  <c r="J55" i="32"/>
  <c r="H55" i="32"/>
  <c r="H54" i="32"/>
  <c r="J54" i="32"/>
  <c r="H53" i="32"/>
  <c r="J53" i="32"/>
  <c r="H52" i="32"/>
  <c r="J52" i="32"/>
  <c r="B4" i="33"/>
  <c r="B19" i="32"/>
  <c r="B47" i="32"/>
  <c r="B29" i="33"/>
  <c r="B37" i="32"/>
  <c r="B32" i="32"/>
  <c r="B40" i="32"/>
  <c r="B17" i="32"/>
  <c r="B21" i="32"/>
  <c r="B43" i="32"/>
  <c r="B14" i="33"/>
  <c r="B23" i="33"/>
  <c r="B31" i="33"/>
  <c r="B10" i="33"/>
  <c r="B38" i="32"/>
  <c r="B23" i="32"/>
  <c r="B25" i="32"/>
  <c r="B20" i="32"/>
  <c r="B3" i="32"/>
  <c r="B2" i="32"/>
  <c r="B49" i="32"/>
  <c r="B17" i="33"/>
  <c r="B24" i="33"/>
  <c r="B19" i="33"/>
  <c r="B21" i="33"/>
  <c r="B3" i="33"/>
  <c r="B48" i="32"/>
  <c r="B9" i="33"/>
  <c r="B5" i="33"/>
  <c r="B18" i="33"/>
  <c r="B33" i="33"/>
  <c r="B12" i="33"/>
  <c r="B13" i="33"/>
  <c r="B22" i="33"/>
  <c r="B25" i="33"/>
  <c r="B20" i="33"/>
  <c r="B16" i="33"/>
  <c r="B30" i="33"/>
  <c r="B28" i="33"/>
  <c r="B2" i="33"/>
  <c r="B6" i="33"/>
  <c r="B11" i="33"/>
  <c r="B34" i="32"/>
  <c r="B6" i="32"/>
  <c r="B51" i="32"/>
  <c r="B8" i="33"/>
  <c r="B32" i="33"/>
  <c r="B50" i="32"/>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l="1"/>
  <c r="H4" i="33" s="1"/>
  <c r="J19" i="32"/>
  <c r="H19" i="32" s="1"/>
  <c r="J47" i="32"/>
  <c r="H47" i="32" s="1"/>
  <c r="J29" i="33"/>
  <c r="H29" i="33" s="1"/>
  <c r="J37" i="32"/>
  <c r="H37" i="32" s="1"/>
  <c r="J32" i="32"/>
  <c r="H32" i="32" s="1"/>
  <c r="J40" i="32"/>
  <c r="H40" i="32" s="1"/>
  <c r="J17" i="32"/>
  <c r="H17" i="32" s="1"/>
  <c r="J21" i="32"/>
  <c r="H21" i="32" s="1"/>
  <c r="J43" i="32"/>
  <c r="H43" i="32" s="1"/>
  <c r="J14" i="33"/>
  <c r="H14" i="33" s="1"/>
  <c r="J23" i="33"/>
  <c r="H23" i="33" s="1"/>
  <c r="J31" i="33"/>
  <c r="H31" i="33" s="1"/>
  <c r="J10" i="33"/>
  <c r="H10" i="33" s="1"/>
  <c r="J38" i="32"/>
  <c r="H38" i="32" s="1"/>
  <c r="J23" i="32"/>
  <c r="H23" i="32" s="1"/>
  <c r="J25" i="32"/>
  <c r="H25" i="32" s="1"/>
  <c r="J20" i="32"/>
  <c r="H20" i="32" s="1"/>
  <c r="J3" i="32"/>
  <c r="H3" i="32" s="1"/>
  <c r="J2" i="32"/>
  <c r="H2" i="32" s="1"/>
  <c r="J49" i="32"/>
  <c r="H49" i="32" s="1"/>
  <c r="J17" i="33"/>
  <c r="H17" i="33" s="1"/>
  <c r="J24" i="33"/>
  <c r="H24" i="33" s="1"/>
  <c r="J19" i="33"/>
  <c r="H19" i="33" s="1"/>
  <c r="J21" i="33"/>
  <c r="H21" i="33" s="1"/>
  <c r="J3" i="33"/>
  <c r="H3" i="33" s="1"/>
  <c r="J48" i="32"/>
  <c r="H48" i="32" s="1"/>
  <c r="J9" i="33"/>
  <c r="H9" i="33" s="1"/>
  <c r="J5" i="33"/>
  <c r="H5" i="33" s="1"/>
  <c r="J18" i="33"/>
  <c r="H18" i="33" s="1"/>
  <c r="J33" i="33"/>
  <c r="H33" i="33" s="1"/>
  <c r="J12" i="33"/>
  <c r="H12" i="33" s="1"/>
  <c r="J13" i="33"/>
  <c r="H13" i="33" s="1"/>
  <c r="J22" i="33"/>
  <c r="H22" i="33" s="1"/>
  <c r="J25" i="33"/>
  <c r="H25" i="33" s="1"/>
  <c r="J20" i="33"/>
  <c r="H20" i="33" s="1"/>
  <c r="J16" i="33"/>
  <c r="H16" i="33" s="1"/>
  <c r="J30" i="33"/>
  <c r="H30" i="33" s="1"/>
  <c r="J28" i="33"/>
  <c r="H28" i="33" s="1"/>
  <c r="J2" i="33"/>
  <c r="H2" i="33" s="1"/>
  <c r="J6" i="33"/>
  <c r="H6" i="33" s="1"/>
  <c r="J11" i="33"/>
  <c r="H11" i="33" s="1"/>
  <c r="J34" i="32"/>
  <c r="H34" i="32" s="1"/>
  <c r="J6" i="32"/>
  <c r="H6" i="32" s="1"/>
  <c r="J51" i="32"/>
  <c r="H51" i="32" s="1"/>
  <c r="J8" i="33"/>
  <c r="H8" i="33" s="1"/>
  <c r="J32" i="33"/>
  <c r="H32" i="33" s="1"/>
  <c r="J50" i="32"/>
  <c r="H50" i="32" s="1"/>
  <c r="J7" i="33"/>
  <c r="H7" i="33" s="1"/>
  <c r="J36" i="32"/>
  <c r="H36" i="32" s="1"/>
  <c r="J27" i="33"/>
  <c r="H27" i="33" s="1"/>
  <c r="J26" i="33"/>
  <c r="H26" i="33" s="1"/>
  <c r="J16" i="32"/>
  <c r="H16" i="32" s="1"/>
  <c r="J42" i="32"/>
  <c r="H42" i="32" s="1"/>
  <c r="J15" i="33"/>
  <c r="H15" i="33" s="1"/>
  <c r="J32" i="21"/>
  <c r="H32" i="21" s="1"/>
  <c r="J35" i="32"/>
  <c r="H35" i="32" s="1"/>
  <c r="J14" i="32"/>
  <c r="H14" i="32" s="1"/>
  <c r="J28" i="32"/>
  <c r="H28" i="32" s="1"/>
  <c r="J29" i="32"/>
  <c r="H29" i="32" s="1"/>
  <c r="J45" i="32"/>
  <c r="H45" i="32" s="1"/>
  <c r="J13" i="32"/>
  <c r="H13" i="32" s="1"/>
  <c r="J12" i="32"/>
  <c r="H12" i="32" s="1"/>
  <c r="J15" i="32"/>
  <c r="H15" i="32" s="1"/>
  <c r="J41" i="32"/>
  <c r="H41" i="32" s="1"/>
  <c r="J9" i="32"/>
  <c r="H9" i="32" s="1"/>
  <c r="J7" i="32"/>
  <c r="H7" i="32" s="1"/>
  <c r="J22" i="32"/>
  <c r="H22" i="32" s="1"/>
  <c r="J33" i="32"/>
  <c r="H33" i="32" s="1"/>
  <c r="J26" i="32"/>
  <c r="H26" i="32" s="1"/>
  <c r="J30" i="32"/>
  <c r="H30" i="32" s="1"/>
  <c r="J46" i="32"/>
  <c r="H46" i="32" s="1"/>
  <c r="J11" i="32"/>
  <c r="H11" i="32" s="1"/>
  <c r="J10" i="32"/>
  <c r="H10" i="32" s="1"/>
  <c r="J5" i="32"/>
  <c r="H5" i="32" s="1"/>
  <c r="J4" i="32"/>
  <c r="H4"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<sst xmlns="http://schemas.openxmlformats.org/spreadsheetml/2006/main" count="15271" uniqueCount="639">
  <si>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</si>
  <si>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</si>
  <si>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</si>
  <si>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</si>
  <si>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</si>
  <si>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</si>
  <si>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</si>
  <si>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</si>
  <si>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</si>
  <si>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</si>
  <si>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</si>
  <si>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</si>
  <si>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</si>
  <si>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</si>
  <si>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</si>
  <si>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</si>
  <si>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</si>
  <si>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</si>
  <si>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</si>
  <si>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</si>
  <si>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</si>
  <si>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</si>
  <si>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</si>
  <si>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</si>
  <si>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</si>
  <si>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</si>
  <si>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</si>
  <si>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</si>
  <si>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</si>
  <si>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</si>
  <si>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</si>
  <si>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</si>
  <si>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</si>
  <si>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</si>
  <si>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</si>
  <si>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</si>
  <si>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</si>
  <si>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</si>
  <si>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</si>
  <si>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</si>
  <si>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</si>
  <si>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</si>
  <si>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</si>
  <si>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</si>
  <si>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</si>
  <si>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</si>
  <si>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</si>
  <si>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</si>
  <si>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</si>
  <si>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</si>
  <si>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</si>
  <si>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</si>
  <si>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</si>
  <si>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</si>
  <si>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</si>
  <si>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</si>
  <si>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</si>
  <si>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</si>
  <si>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</si>
  <si>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</si>
  <si>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</si>
  <si>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</si>
  <si>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</si>
  <si>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</si>
  <si>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</si>
  <si>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</si>
  <si>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</si>
  <si>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</si>
  <si>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</si>
  <si>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</si>
  <si>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</si>
  <si>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</si>
  <si>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</si>
  <si>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</si>
  <si>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</si>
  <si>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</si>
  <si>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</si>
  <si>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</si>
  <si>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</si>
  <si>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</si>
  <si>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</si>
  <si>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</si>
  <si>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</si>
  <si>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</si>
  <si>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</si>
  <si>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</si>
  <si>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</si>
  <si>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</si>
  <si>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</si>
  <si>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</si>
  <si>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</si>
  <si>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</si>
  <si>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</si>
  <si>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</si>
  <si>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</si>
  <si>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</si>
  <si>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</si>
  <si>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</si>
  <si>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</si>
  <si>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</si>
  <si>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</si>
  <si>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</si>
  <si>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</si>
  <si>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</si>
  <si>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</si>
  <si>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</si>
  <si>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</si>
  <si>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</si>
  <si>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</si>
  <si>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</si>
  <si>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</si>
  <si>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</si>
  <si>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</si>
  <si>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</si>
  <si>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</si>
  <si>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</si>
  <si>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</si>
  <si>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</si>
  <si>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</si>
  <si>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</si>
  <si>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</si>
  <si>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</si>
  <si>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</si>
  <si>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</si>
  <si>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</si>
  <si>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</si>
  <si>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</si>
  <si>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</si>
  <si>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</si>
  <si>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</si>
  <si>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</si>
  <si>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</si>
  <si>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</si>
  <si>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</si>
  <si>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</si>
  <si>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</si>
  <si>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</si>
  <si>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</si>
  <si>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</si>
  <si>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</si>
  <si>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</si>
  <si>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</si>
  <si>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</si>
  <si>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</si>
  <si>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</si>
  <si>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</si>
  <si>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</si>
  <si>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</si>
  <si>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</si>
  <si>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</si>
  <si>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</si>
  <si>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</si>
  <si>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</si>
  <si>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</si>
  <si>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</si>
  <si>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</si>
  <si>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</si>
  <si>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</si>
  <si>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</si>
  <si>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</si>
  <si>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</si>
  <si>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</si>
  <si>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</si>
  <si>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</si>
  <si>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</si>
  <si>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</si>
  <si>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</si>
  <si>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</si>
  <si>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</si>
  <si>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</si>
  <si>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</si>
  <si>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</si>
  <si>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</si>
  <si>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</si>
  <si>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</si>
  <si>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</si>
  <si>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</si>
  <si>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</si>
  <si>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</si>
  <si>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</si>
  <si>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</si>
  <si>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</si>
  <si>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</si>
  <si>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</si>
  <si>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</si>
  <si>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</si>
  <si>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</si>
  <si>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</si>
  <si>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</si>
  <si>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</si>
  <si>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</si>
  <si>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</si>
  <si>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</si>
  <si>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</si>
  <si>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</si>
  <si>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</si>
  <si>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</si>
  <si>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</si>
  <si>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</si>
  <si>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</si>
  <si>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</si>
  <si>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</si>
  <si>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</si>
  <si>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</si>
  <si>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</si>
  <si>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</si>
  <si>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</si>
  <si>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</si>
  <si>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</si>
  <si>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</si>
  <si>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</si>
  <si>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</si>
  <si>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</si>
  <si>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</si>
  <si>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</si>
  <si>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</si>
  <si>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</si>
  <si>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</si>
  <si>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</si>
  <si>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</si>
  <si>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</si>
  <si>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</si>
  <si>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</si>
  <si>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</si>
  <si>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</si>
  <si>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</si>
  <si>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</si>
  <si>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</si>
  <si>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</si>
  <si>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</si>
  <si>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</si>
  <si>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</si>
  <si>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</si>
  <si>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</si>
  <si>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</si>
  <si>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</si>
  <si>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</si>
  <si>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</si>
  <si>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</si>
  <si>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</si>
  <si>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</si>
  <si>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</si>
  <si>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</si>
  <si>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</si>
  <si>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</si>
  <si>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</si>
  <si>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</si>
  <si>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</si>
  <si>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</si>
  <si>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</si>
  <si>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</si>
  <si>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</si>
  <si>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</si>
  <si>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</si>
  <si>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</si>
  <si>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</si>
  <si>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</si>
  <si>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</si>
  <si>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</si>
  <si>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</si>
  <si>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</si>
  <si>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</si>
  <si>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</si>
  <si>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</si>
  <si>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</si>
  <si>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</si>
  <si>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</si>
  <si>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</si>
  <si>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</si>
  <si>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</si>
  <si>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</si>
  <si>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</si>
  <si>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</si>
  <si>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</si>
  <si>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</si>
  <si>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</si>
  <si>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</si>
  <si>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</si>
  <si>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</si>
  <si>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</si>
  <si>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</si>
  <si>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</si>
  <si>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</si>
  <si>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</si>
  <si>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</si>
  <si>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</si>
  <si>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</si>
  <si>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</si>
  <si>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</si>
  <si>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</si>
  <si>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</si>
  <si>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</si>
  <si>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</si>
  <si>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</si>
  <si>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</si>
  <si>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</si>
  <si>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</si>
  <si>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</si>
  <si>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</si>
  <si>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</si>
  <si>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</si>
  <si>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</si>
  <si>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</si>
  <si>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</si>
  <si>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</si>
  <si>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</si>
  <si>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</si>
  <si>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</si>
  <si>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</si>
  <si>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</si>
  <si>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</si>
  <si>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</si>
  <si>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</si>
  <si>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</si>
  <si>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</si>
  <si>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</si>
  <si>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</si>
  <si>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</si>
  <si>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</si>
  <si>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</si>
  <si>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</si>
  <si>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</si>
  <si>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</si>
  <si>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</si>
  <si>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</si>
  <si>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</si>
  <si>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</si>
  <si>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</si>
  <si>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</si>
  <si>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</si>
  <si>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</si>
  <si>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</si>
  <si>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</si>
  <si>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</si>
  <si>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</si>
  <si>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</si>
  <si>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</si>
  <si>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</si>
  <si>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</si>
  <si>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</si>
  <si>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</si>
  <si>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</si>
  <si>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</si>
  <si>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</si>
  <si>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</si>
  <si>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</si>
  <si>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</si>
  <si>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</si>
  <si>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</si>
  <si>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</si>
  <si>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</si>
  <si>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</si>
  <si>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</si>
  <si>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</si>
  <si>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</si>
  <si>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</si>
  <si>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</si>
  <si>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</si>
  <si>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</si>
  <si>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</si>
  <si>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</si>
  <si>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</si>
  <si>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</si>
  <si>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</si>
  <si>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</si>
  <si>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</si>
  <si>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</si>
  <si>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</si>
  <si>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</si>
  <si>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</si>
  <si>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</si>
  <si>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</si>
  <si>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</si>
  <si>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</si>
  <si>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</si>
  <si>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</si>
  <si>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</si>
  <si>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</si>
  <si>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</si>
  <si>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</si>
  <si>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</si>
  <si>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</si>
  <si>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</si>
  <si>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</si>
  <si>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</si>
  <si>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</si>
  <si>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</si>
  <si>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</si>
  <si>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</si>
  <si>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</si>
  <si>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</si>
  <si>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</si>
  <si>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</si>
  <si>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</si>
  <si>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</si>
  <si>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</si>
  <si>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</si>
  <si>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</si>
  <si>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</si>
  <si>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</si>
  <si>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</si>
  <si>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</si>
  <si>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</si>
  <si>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</si>
  <si>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</si>
  <si>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</si>
  <si>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</si>
  <si>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</si>
  <si>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</si>
  <si>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</si>
  <si>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</si>
  <si>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</si>
  <si>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</si>
  <si>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</si>
  <si>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</si>
  <si>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</si>
  <si>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</si>
  <si>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</si>
  <si>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</si>
  <si>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</si>
  <si>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</si>
  <si>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</si>
  <si>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</si>
  <si>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</si>
  <si>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</si>
  <si>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</si>
  <si>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</si>
  <si>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</si>
  <si>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</si>
  <si>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</si>
  <si>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</si>
  <si>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</si>
  <si>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</si>
  <si>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</si>
  <si>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</si>
  <si>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</si>
  <si>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</si>
  <si>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</si>
  <si>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</si>
  <si>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</si>
  <si>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</si>
  <si>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</si>
  <si>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</si>
  <si>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</si>
  <si>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</si>
  <si>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</si>
  <si>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</si>
  <si>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</si>
  <si>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</si>
  <si>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</si>
  <si>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</si>
  <si>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</si>
  <si>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</si>
  <si>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</si>
  <si>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</si>
  <si>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</si>
  <si>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</si>
  <si>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</si>
  <si>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</si>
  <si>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</si>
  <si>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</si>
  <si>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</si>
  <si>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</si>
  <si>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</si>
  <si>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</si>
  <si>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</si>
  <si>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</si>
  <si>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</si>
  <si>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</si>
  <si>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</si>
  <si>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</si>
  <si>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</si>
  <si>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</si>
  <si>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</si>
  <si>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</si>
  <si>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</si>
  <si>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</si>
  <si>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</si>
  <si>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</si>
  <si>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</si>
  <si>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</si>
  <si>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</si>
  <si>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</si>
  <si>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</si>
  <si>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</si>
  <si>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</si>
  <si>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</si>
  <si>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</si>
  <si>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</si>
  <si>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</si>
  <si>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</si>
  <si>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</si>
  <si>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</si>
  <si>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</si>
  <si>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</si>
  <si>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</si>
  <si>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</si>
  <si>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</si>
  <si>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</si>
  <si>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</si>
  <si>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</si>
  <si>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</si>
  <si>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</si>
  <si>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</si>
  <si>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</si>
  <si>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</si>
  <si>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</si>
  <si>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</si>
  <si>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</si>
  <si>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</si>
  <si>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</si>
  <si>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</si>
  <si>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</si>
  <si>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</si>
  <si>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</si>
  <si>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</si>
  <si>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</si>
  <si>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</si>
  <si>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</si>
  <si>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</si>
  <si>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</si>
  <si>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</si>
  <si>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</si>
  <si>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</si>
  <si>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</si>
  <si>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</si>
  <si>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</si>
  <si>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</si>
  <si>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</si>
  <si>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</si>
  <si>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</si>
  <si>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</si>
  <si>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</si>
  <si>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</si>
  <si>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</si>
  <si>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</si>
  <si>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</si>
  <si>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</si>
  <si>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</si>
  <si>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</si>
  <si>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</si>
  <si>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</si>
  <si>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</si>
  <si>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</si>
  <si>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</si>
  <si>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</si>
  <si>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</si>
  <si>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</si>
  <si>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</si>
  <si>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</si>
  <si>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</si>
  <si>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</si>
  <si>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</si>
  <si>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</si>
  <si>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</si>
  <si>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</si>
  <si>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</si>
  <si>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</si>
  <si>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</si>
  <si>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</si>
  <si>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</si>
  <si>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</si>
  <si>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</si>
  <si>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</si>
  <si>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</si>
  <si>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</si>
  <si>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</si>
  <si>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</si>
  <si>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</si>
  <si>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</si>
  <si>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</si>
  <si>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</si>
  <si>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</si>
  <si>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</si>
  <si>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</si>
  <si>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</si>
  <si>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</si>
  <si>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</si>
  <si>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</si>
  <si>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</si>
  <si>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</si>
  <si>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</si>
  <si>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</si>
  <si>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</si>
  <si>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</si>
  <si>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</si>
  <si>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</si>
  <si>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</si>
  <si>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</si>
  <si>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</si>
  <si>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</si>
  <si>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</si>
  <si>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</si>
  <si>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</si>
  <si>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</si>
  <si>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</si>
  <si>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</si>
  <si>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</si>
  <si>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</si>
  <si>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</si>
  <si>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</si>
  <si>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</si>
  <si>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</si>
  <si>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</si>
  <si>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</si>
  <si>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</si>
  <si>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</si>
  <si>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</si>
  <si>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</si>
  <si>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</si>
  <si>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</si>
  <si>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</si>
  <si>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</si>
  <si>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</si>
  <si>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</si>
  <si>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</si>
  <si>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</si>
  <si>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</si>
  <si>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</si>
  <si>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</si>
  <si>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</si>
  <si>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</si>
  <si>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</si>
  <si>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</si>
  <si>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</si>
  <si>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</si>
  <si>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</si>
  <si>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</si>
  <si>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</si>
  <si>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</si>
  <si>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</si>
  <si>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</si>
  <si>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</si>
  <si>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</si>
  <si>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</si>
  <si>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</si>
  <si>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</si>
  <si>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Leah Cuthbertson (G Fox)</t>
  </si>
  <si>
    <t>Ruby Isaac (Cams Majaco)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</si>
</sst>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8.xml"/><Relationship Id="rId21" Type="http://schemas.openxmlformats.org/officeDocument/2006/relationships/worksheet" Target="worksheets/sheet21.xml"/><Relationship Id="rId34" Type="http://schemas.openxmlformats.org/officeDocument/2006/relationships/worksheet" Target="worksheets/sheet33.xml"/><Relationship Id="rId42" Type="http://schemas.openxmlformats.org/officeDocument/2006/relationships/worksheet" Target="worksheets/sheet41.xml"/><Relationship Id="rId47" Type="http://schemas.openxmlformats.org/officeDocument/2006/relationships/worksheet" Target="worksheets/sheet46.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6.xml"/><Relationship Id="rId40" Type="http://schemas.openxmlformats.org/officeDocument/2006/relationships/worksheet" Target="worksheets/sheet39.xml"/><Relationship Id="rId45" Type="http://schemas.openxmlformats.org/officeDocument/2006/relationships/worksheet" Target="worksheets/sheet44.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3.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4.xml"/><Relationship Id="rId43" Type="http://schemas.openxmlformats.org/officeDocument/2006/relationships/worksheet" Target="worksheets/sheet42.xml"/><Relationship Id="rId48" Type="http://schemas.openxmlformats.org/officeDocument/2006/relationships/worksheet" Target="worksheets/sheet47.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hartsheet" Target="chartsheets/sheet1.xml"/><Relationship Id="rId38" Type="http://schemas.openxmlformats.org/officeDocument/2006/relationships/worksheet" Target="worksheets/sheet37.xml"/><Relationship Id="rId46" Type="http://schemas.openxmlformats.org/officeDocument/2006/relationships/worksheet" Target="worksheets/sheet45.xml"/><Relationship Id="rId20" Type="http://schemas.openxmlformats.org/officeDocument/2006/relationships/worksheet" Target="worksheets/sheet20.xml"/><Relationship Id="rId41" Type="http://schemas.openxmlformats.org/officeDocument/2006/relationships/worksheet" Target="worksheets/sheet40.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5.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Event_14!$A$101:$I$101</c:f>
              <c:strCache>
                <c:ptCount val="9"/>
                <c:pt idx="0">
                  <c:v>Aubrey Elmer</c:v>
                </c:pt>
                <c:pt idx="1">
                  <c:v>1355</c:v>
                </c:pt>
                <c:pt idx="3">
                  <c:v>24</c:v>
                </c:pt>
                <c:pt idx="4">
                  <c:v>57</c:v>
                </c:pt>
                <c:pt idx="5">
                  <c:v>r</c:v>
                </c:pt>
                <c:pt idx="7">
                  <c:v>Aubrey Elmer</c:v>
                </c:pt>
                <c:pt idx="8">
                  <c:v>00:00:00</c:v>
                </c:pt>
              </c:strCache>
            </c:strRef>
          </c:tx>
          <c:spPr>
            <a:solidFill>
              <a:schemeClr val="accent1"/>
            </a:solidFill>
            <a:ln>
              <a:noFill/>
            </a:ln>
            <a:effectLst/>
          </c:spPr>
          <c:invertIfNegative val="0"/>
          <c:cat>
            <c:strRef>
              <c:f>Event_14!$J$1:$J$100</c:f>
              <c:strCache>
                <c:ptCount val="50"/>
                <c:pt idx="0">
                  <c:v>Guest or Not Renewed</c:v>
                </c:pt>
                <c:pt idx="3">
                  <c:v>X</c:v>
                </c:pt>
                <c:pt idx="5">
                  <c:v>X</c:v>
                </c:pt>
                <c:pt idx="9">
                  <c:v>X</c:v>
                </c:pt>
                <c:pt idx="11">
                  <c:v>X</c:v>
                </c:pt>
                <c:pt idx="13">
                  <c:v>X</c:v>
                </c:pt>
                <c:pt idx="21">
                  <c:v>X</c:v>
                </c:pt>
                <c:pt idx="28">
                  <c:v>X</c:v>
                </c:pt>
                <c:pt idx="33">
                  <c:v>X</c:v>
                </c:pt>
                <c:pt idx="39">
                  <c:v>X</c:v>
                </c:pt>
                <c:pt idx="44">
                  <c:v>X</c:v>
                </c:pt>
                <c:pt idx="48">
                  <c:v>X</c:v>
                </c:pt>
                <c:pt idx="49">
                  <c:v>X</c:v>
                </c:pt>
              </c:strCache>
            </c:strRef>
          </c:cat>
          <c:val>
            <c:numRef>
              <c:f>Event_14!$J$101</c:f>
              <c:numCache>
                <c:formatCode>General</c:formatCode>
                <c:ptCount val="1"/>
                <c:pt idx="0">
                  <c:v>0</c:v>
                </c:pt>
              </c:numCache>
            </c:numRef>
          </c:val>
          <c:extLst>
            <c:ext xmlns:c16="http://schemas.microsoft.com/office/drawing/2014/chart" uri="{C3380CC4-5D6E-409C-BE32-E72D297353CC}">
              <c16:uniqueId val="{00000000-8670-4251-B84E-8A0FCC68058C}"/>
            </c:ext>
          </c:extLst>
        </c:ser>
        <c:dLbls>
          <c:showLegendKey val="0"/>
          <c:showVal val="0"/>
          <c:showCatName val="0"/>
          <c:showSerName val="0"/>
          <c:showPercent val="0"/>
          <c:showBubbleSize val="0"/>
        </c:dLbls>
        <c:gapWidth val="219"/>
        <c:overlap val="-27"/>
        <c:axId val="1359296111"/>
        <c:axId val="1258087791"/>
      </c:barChart>
      <c:catAx>
        <c:axId val="13592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087791"/>
        <c:crosses val="autoZero"/>
        <c:auto val="1"/>
        <c:lblAlgn val="ctr"/>
        <c:lblOffset val="100"/>
        <c:noMultiLvlLbl val="0"/>
      </c:catAx>
      <c:valAx>
        <c:axId val="125808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2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3F62489-F8D0-41CB-960A-DB7812FB976D}">
  <sheetPr/>
  <sheetViews>
    <sheetView zoomScale="15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0008" cy="6065921"/>
    <xdr:graphicFrame macro="">
      <xdr:nvGraphicFramePr>
        <xdr:cNvPr id="2" name="Chart 1">
          <a:extLst>
            <a:ext uri="{FF2B5EF4-FFF2-40B4-BE49-F238E27FC236}">
              <a16:creationId xmlns:a16="http://schemas.microsoft.com/office/drawing/2014/main" id="{C2DAF666-87B5-0D97-332D-456F435A4A9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L1" workbookViewId="0">
      <selection sqref="A1:C1"/>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607</v>
      </c>
      <c r="C25" t="s">
        <v>606</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630</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607</v>
      </c>
      <c r="C25" s="64" t="s">
        <v>606</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106" sqref="B106"/>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topLeftCell="B1" zoomScale="120" workbookViewId="0">
      <selection activeCell="B26" sqref="B26:E27"/>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631</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abSelected="1" topLeftCell="A54" workbookViewId="0">
      <selection activeCell="B77" sqref="B77"/>
    </sheetView>
  </sheetViews>
  <sheetFormatPr defaultRowHeight="12.75"/>
  <cols>
    <col min="1" max="1" width="28.46484375" customWidth="1"/>
    <col min="2" max="2" width="19.1328125" customWidth="1"/>
    <col min="3" max="3" width="32.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601</v>
      </c>
      <c r="B15" t="s">
        <v>391</v>
      </c>
      <c r="C15" s="36" t="str">
        <f t="shared" si="0"/>
        <v>Evan Collett (G Fox) (KCC)</v>
      </c>
    </row>
    <row r="16" spans="1:8" ht="14.25">
      <c r="A16" t="s">
        <v>487</v>
      </c>
      <c r="B16" t="s">
        <v>391</v>
      </c>
      <c r="C16" s="36" t="str">
        <f t="shared" si="0"/>
        <v>Josh Brown (KCC)</v>
      </c>
    </row>
    <row r="17" spans="1:4" ht="14.25">
      <c r="A17" t="s">
        <v>594</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501</v>
      </c>
      <c r="B29" t="s">
        <v>502</v>
      </c>
      <c r="C29" s="36" t="str">
        <f t="shared" si="0"/>
        <v>Ed Tarelli (Race Hub)</v>
      </c>
      <c r="D29" s="36"/>
    </row>
    <row r="30" spans="1:4" ht="14.25">
      <c r="A30" t="s">
        <v>503</v>
      </c>
      <c r="B30" t="s">
        <v>504</v>
      </c>
      <c r="C30" s="36" t="str">
        <f t="shared" si="0"/>
        <v>Lewis Cooper (RAF Tri)</v>
      </c>
    </row>
    <row r="31" spans="1:4" ht="14.25">
      <c r="A31" t="s">
        <v>505</v>
      </c>
      <c r="B31" t="s">
        <v>394</v>
      </c>
      <c r="C31" s="36" t="str">
        <f t="shared" si="0"/>
        <v>Alex Whitmore (Ratae)</v>
      </c>
    </row>
    <row r="32" spans="1:4" ht="14.25">
      <c r="A32" t="s">
        <v>506</v>
      </c>
      <c r="B32" t="s">
        <v>394</v>
      </c>
      <c r="C32" s="36" t="str">
        <f t="shared" si="0"/>
        <v>Brian Lincoln (Ratae)</v>
      </c>
    </row>
    <row r="33" spans="1:4" ht="14.25">
      <c r="A33" t="s">
        <v>507</v>
      </c>
      <c r="B33" t="s">
        <v>394</v>
      </c>
      <c r="C33" s="36" t="str">
        <f t="shared" si="0"/>
        <v>Chris Bonsor (Ratae)</v>
      </c>
    </row>
    <row r="34" spans="1:4" ht="14.25">
      <c r="A34" t="s">
        <v>508</v>
      </c>
      <c r="B34" t="s">
        <v>394</v>
      </c>
      <c r="C34" s="36" t="str">
        <f t="shared" si="0"/>
        <v>Chris Spray (Ratae)</v>
      </c>
    </row>
    <row r="35" spans="1:4" ht="14.25">
      <c r="A35" t="s">
        <v>509</v>
      </c>
      <c r="B35" t="s">
        <v>394</v>
      </c>
      <c r="C35" s="36" t="str">
        <f t="shared" si="0"/>
        <v>Debbie Cooper (Ratae)</v>
      </c>
      <c r="D35" t="s">
        <v>372</v>
      </c>
    </row>
    <row r="36" spans="1:4" ht="14.25">
      <c r="A36" t="s">
        <v>510</v>
      </c>
      <c r="B36" t="s">
        <v>394</v>
      </c>
      <c r="C36" s="36" t="str">
        <f t="shared" ref="C36:C67" si="1">IF(ISBLANK(B36),IF(ISBLANK(A36),"",A36),_xlfn.CONCAT(A36," (",B36,")"))</f>
        <v>Ed Watson (Ratae)</v>
      </c>
    </row>
    <row r="37" spans="1:4" ht="14.25">
      <c r="A37" t="s">
        <v>586</v>
      </c>
      <c r="B37" s="63" t="s">
        <v>394</v>
      </c>
      <c r="C37" s="36" t="str">
        <f t="shared" si="1"/>
        <v>Geoff Stanbridge (Ratae)</v>
      </c>
    </row>
    <row r="38" spans="1:4" ht="14.25">
      <c r="A38" t="s">
        <v>511</v>
      </c>
      <c r="B38" t="s">
        <v>394</v>
      </c>
      <c r="C38" s="36" t="str">
        <f t="shared" si="1"/>
        <v>Jonathon Clarke (Ratae)</v>
      </c>
      <c r="D38" s="36"/>
    </row>
    <row r="39" spans="1:4" ht="14.25">
      <c r="A39" t="s">
        <v>512</v>
      </c>
      <c r="B39" t="s">
        <v>394</v>
      </c>
      <c r="C39" s="36" t="str">
        <f t="shared" si="1"/>
        <v>Lesley Allden (Ratae)</v>
      </c>
      <c r="D39" t="s">
        <v>372</v>
      </c>
    </row>
    <row r="40" spans="1:4" ht="14.25">
      <c r="A40" t="s">
        <v>513</v>
      </c>
      <c r="B40" t="s">
        <v>394</v>
      </c>
      <c r="C40" s="36" t="str">
        <f t="shared" si="1"/>
        <v>Lucy Sturgess (Ratae)</v>
      </c>
      <c r="D40" t="s">
        <v>372</v>
      </c>
    </row>
    <row r="41" spans="1:4" ht="14.25">
      <c r="A41" t="s">
        <v>514</v>
      </c>
      <c r="B41" t="s">
        <v>394</v>
      </c>
      <c r="C41" s="36" t="str">
        <f t="shared" si="1"/>
        <v>Mark Marmoy (Ratae)</v>
      </c>
    </row>
    <row r="42" spans="1:4" ht="14.25">
      <c r="A42" t="s">
        <v>515</v>
      </c>
      <c r="B42" t="s">
        <v>394</v>
      </c>
      <c r="C42" s="36" t="str">
        <f t="shared" si="1"/>
        <v>Mark Newton (Ratae)</v>
      </c>
    </row>
    <row r="43" spans="1:4" ht="14.25">
      <c r="A43" t="s">
        <v>516</v>
      </c>
      <c r="B43" t="s">
        <v>394</v>
      </c>
      <c r="C43" s="36" t="str">
        <f t="shared" si="1"/>
        <v>Marshall Briggs (Ratae)</v>
      </c>
    </row>
    <row r="44" spans="1:4" ht="14.25">
      <c r="A44" t="s">
        <v>517</v>
      </c>
      <c r="B44" t="s">
        <v>394</v>
      </c>
      <c r="C44" s="36" t="str">
        <f t="shared" si="1"/>
        <v>Natalie Harris (Ratae)</v>
      </c>
      <c r="D44" t="s">
        <v>372</v>
      </c>
    </row>
    <row r="45" spans="1:4" ht="14.25">
      <c r="A45" t="s">
        <v>518</v>
      </c>
      <c r="B45" t="s">
        <v>394</v>
      </c>
      <c r="C45" s="36" t="str">
        <f t="shared" si="1"/>
        <v>Paul Eden (Ratae)</v>
      </c>
    </row>
    <row r="46" spans="1:4" ht="14.25">
      <c r="A46" t="s">
        <v>519</v>
      </c>
      <c r="B46" t="s">
        <v>394</v>
      </c>
      <c r="C46" s="36" t="str">
        <f t="shared" si="1"/>
        <v>Sadie Murphy (Ratae)</v>
      </c>
      <c r="D46" t="s">
        <v>372</v>
      </c>
    </row>
    <row r="47" spans="1:4" ht="14.25">
      <c r="A47" t="s">
        <v>520</v>
      </c>
      <c r="B47" t="s">
        <v>394</v>
      </c>
      <c r="C47" s="36" t="str">
        <f t="shared" si="1"/>
        <v>Steve Pearce (Ratae)</v>
      </c>
    </row>
    <row r="48" spans="1:4" ht="14.25">
      <c r="A48" t="s">
        <v>521</v>
      </c>
      <c r="B48" t="s">
        <v>385</v>
      </c>
      <c r="C48" s="36" t="str">
        <f t="shared" si="1"/>
        <v>Adam Wells (RFW)</v>
      </c>
    </row>
    <row r="49" spans="1:4" ht="14.25">
      <c r="A49" t="s">
        <v>598</v>
      </c>
      <c r="B49" t="s">
        <v>385</v>
      </c>
      <c r="C49" s="36" t="str">
        <f t="shared" si="1"/>
        <v>Alex Barrowman (RFW)</v>
      </c>
    </row>
    <row r="50" spans="1:4" ht="14.25">
      <c r="A50" t="s">
        <v>522</v>
      </c>
      <c r="B50" t="s">
        <v>385</v>
      </c>
      <c r="C50" s="36" t="str">
        <f t="shared" si="1"/>
        <v>Anne Gilhespy (RFW)</v>
      </c>
      <c r="D50" t="s">
        <v>372</v>
      </c>
    </row>
    <row r="51" spans="1:4" ht="14.25">
      <c r="A51" t="s">
        <v>523</v>
      </c>
      <c r="B51" t="s">
        <v>385</v>
      </c>
      <c r="C51" s="36" t="str">
        <f t="shared" si="1"/>
        <v>Chris Fowler (RFW)</v>
      </c>
    </row>
    <row r="52" spans="1:4" ht="14.25">
      <c r="A52" t="s">
        <v>524</v>
      </c>
      <c r="B52" t="s">
        <v>385</v>
      </c>
      <c r="C52" s="36" t="str">
        <f t="shared" si="1"/>
        <v>Dan Hempkin (RFW)</v>
      </c>
    </row>
    <row r="53" spans="1:4" ht="14.25">
      <c r="A53" t="s">
        <v>525</v>
      </c>
      <c r="B53" t="s">
        <v>385</v>
      </c>
      <c r="C53" s="36" t="str">
        <f t="shared" si="1"/>
        <v>David Hill (RFW)</v>
      </c>
    </row>
    <row r="54" spans="1:4" ht="14.25">
      <c r="A54" t="s">
        <v>526</v>
      </c>
      <c r="B54" t="s">
        <v>385</v>
      </c>
      <c r="C54" s="36" t="str">
        <f t="shared" si="1"/>
        <v>Ethan Mitchell-Clarke (RFW)</v>
      </c>
    </row>
    <row r="55" spans="1:4" ht="14.25">
      <c r="A55" t="s">
        <v>527</v>
      </c>
      <c r="B55" t="s">
        <v>385</v>
      </c>
      <c r="C55" s="36" t="str">
        <f t="shared" si="1"/>
        <v>Giles Cooper (RFW)</v>
      </c>
    </row>
    <row r="56" spans="1:4" ht="14.25">
      <c r="A56" t="s">
        <v>593</v>
      </c>
      <c r="B56" t="s">
        <v>385</v>
      </c>
      <c r="C56" s="36" t="str">
        <f t="shared" si="1"/>
        <v>Graeme Hall (RFW)</v>
      </c>
    </row>
    <row r="57" spans="1:4" ht="14.25">
      <c r="A57" t="s">
        <v>528</v>
      </c>
      <c r="B57" t="s">
        <v>385</v>
      </c>
      <c r="C57" s="36" t="str">
        <f t="shared" si="1"/>
        <v>Gregg Payne (RFW)</v>
      </c>
    </row>
    <row r="58" spans="1:4" ht="14.25">
      <c r="A58" t="s">
        <v>597</v>
      </c>
      <c r="B58" t="s">
        <v>385</v>
      </c>
      <c r="C58" s="36" t="str">
        <f t="shared" si="1"/>
        <v>Hudson Hendry (Ride Revolution) (RFW)</v>
      </c>
    </row>
    <row r="59" spans="1:4" ht="14.25">
      <c r="A59" t="s">
        <v>599</v>
      </c>
      <c r="B59" t="s">
        <v>385</v>
      </c>
      <c r="C59" s="36" t="str">
        <f t="shared" si="1"/>
        <v>Laurence Noble (RFW)</v>
      </c>
    </row>
    <row r="60" spans="1:4" ht="14.25">
      <c r="A60" t="s">
        <v>529</v>
      </c>
      <c r="B60" t="s">
        <v>385</v>
      </c>
      <c r="C60" s="36" t="str">
        <f t="shared" si="1"/>
        <v>Lynne Scofield (RFW)</v>
      </c>
      <c r="D60" t="s">
        <v>372</v>
      </c>
    </row>
    <row r="61" spans="1:4" ht="14.25">
      <c r="A61" t="s">
        <v>530</v>
      </c>
      <c r="B61" t="s">
        <v>385</v>
      </c>
      <c r="C61" s="36" t="str">
        <f t="shared" si="1"/>
        <v>Lynne Wilkinson-Scofield (RFW)</v>
      </c>
      <c r="D61" t="s">
        <v>372</v>
      </c>
    </row>
    <row r="62" spans="1:4" ht="14.25">
      <c r="A62" t="s">
        <v>531</v>
      </c>
      <c r="B62" t="s">
        <v>385</v>
      </c>
      <c r="C62" s="36" t="str">
        <f t="shared" si="1"/>
        <v>Michael Carter (RFW)</v>
      </c>
    </row>
    <row r="63" spans="1:4" ht="14.25">
      <c r="A63" s="63" t="s">
        <v>582</v>
      </c>
      <c r="B63" t="s">
        <v>385</v>
      </c>
      <c r="C63" s="36" t="str">
        <f t="shared" si="1"/>
        <v>Mike Deely (G Fox) (RFW)</v>
      </c>
    </row>
    <row r="64" spans="1:4" ht="14.25">
      <c r="A64" t="s">
        <v>518</v>
      </c>
      <c r="B64" t="s">
        <v>385</v>
      </c>
      <c r="C64" s="36" t="str">
        <f t="shared" si="1"/>
        <v>Paul Eden (RFW)</v>
      </c>
    </row>
    <row r="65" spans="1:4" ht="14.25">
      <c r="A65" t="s">
        <v>532</v>
      </c>
      <c r="B65" t="s">
        <v>385</v>
      </c>
      <c r="C65" s="36" t="str">
        <f t="shared" si="1"/>
        <v>Paul Russell (RFW)</v>
      </c>
    </row>
    <row r="66" spans="1:4" ht="14.25">
      <c r="A66" t="s">
        <v>533</v>
      </c>
      <c r="B66" t="s">
        <v>385</v>
      </c>
      <c r="C66" s="36" t="str">
        <f t="shared" si="1"/>
        <v>Paul Ryan (RFW)</v>
      </c>
    </row>
    <row r="67" spans="1:4" ht="14.25">
      <c r="A67" t="s">
        <v>534</v>
      </c>
      <c r="B67" t="s">
        <v>385</v>
      </c>
      <c r="C67" s="36" t="str">
        <f t="shared" si="1"/>
        <v>Phil Wilkinson (RFW)</v>
      </c>
    </row>
    <row r="68" spans="1:4" ht="14.25">
      <c r="A68" t="s">
        <v>595</v>
      </c>
      <c r="B68" t="s">
        <v>385</v>
      </c>
      <c r="C68" s="36" t="str">
        <f t="shared" ref="C68:C89" si="2">IF(ISBLANK(B68),IF(ISBLANK(A68),"",A68),_xlfn.CONCAT(A68," (",B68,")"))</f>
        <v>Steve Coombs (RFW)</v>
      </c>
    </row>
    <row r="69" spans="1:4" ht="14.25">
      <c r="A69" t="s">
        <v>596</v>
      </c>
      <c r="B69" t="s">
        <v>385</v>
      </c>
      <c r="C69" s="36" t="str">
        <f t="shared" si="2"/>
        <v>Steve Wickham (RFW)</v>
      </c>
    </row>
    <row r="70" spans="1:4" ht="14.25">
      <c r="A70" t="s">
        <v>536</v>
      </c>
      <c r="B70" t="s">
        <v>537</v>
      </c>
      <c r="C70" s="36" t="str">
        <f t="shared" si="2"/>
        <v>Adrian James (Rugby RCC)</v>
      </c>
    </row>
    <row r="71" spans="1:4" ht="14.25">
      <c r="A71" t="s">
        <v>538</v>
      </c>
      <c r="B71" t="s">
        <v>539</v>
      </c>
      <c r="C71" s="36" t="str">
        <f t="shared" si="2"/>
        <v>Carl Shaw (Speedhub)</v>
      </c>
    </row>
    <row r="72" spans="1:4" ht="14.25">
      <c r="A72" t="s">
        <v>540</v>
      </c>
      <c r="B72" t="s">
        <v>541</v>
      </c>
      <c r="C72" s="36" t="str">
        <f t="shared" si="2"/>
        <v>Oliver Searle (St Ives CC)</v>
      </c>
    </row>
    <row r="73" spans="1:4" ht="14.25">
      <c r="A73" t="s">
        <v>632</v>
      </c>
      <c r="B73" t="s">
        <v>391</v>
      </c>
      <c r="C73" s="36" t="str">
        <f t="shared" si="2"/>
        <v>Michael Wheeler (KCC)</v>
      </c>
    </row>
    <row r="74" spans="1:4" ht="14.25">
      <c r="A74" t="s">
        <v>633</v>
      </c>
      <c r="B74" t="s">
        <v>391</v>
      </c>
      <c r="C74" s="36" t="str">
        <f t="shared" si="2"/>
        <v>Ian Bird (KCC)</v>
      </c>
    </row>
    <row r="75" spans="1:4" ht="14.25">
      <c r="A75" t="s">
        <v>637</v>
      </c>
      <c r="B75" t="s">
        <v>388</v>
      </c>
      <c r="C75" s="36" t="str">
        <f t="shared" si="2"/>
        <v>Leah Cuthbertson (G Fox) (WVCC)</v>
      </c>
      <c r="D75" t="s">
        <v>372</v>
      </c>
    </row>
    <row r="76" spans="1:4" ht="14.25">
      <c r="A76" t="s">
        <v>638</v>
      </c>
      <c r="B76" t="s">
        <v>388</v>
      </c>
      <c r="C76" s="36" t="str">
        <f t="shared" si="2"/>
        <v>Ruby Isaac (Cams Majaco) (WVCC)</v>
      </c>
      <c r="D76" t="s">
        <v>372</v>
      </c>
    </row>
    <row r="77" spans="1:4" ht="14.25">
      <c r="C77" s="36" t="str">
        <f t="shared" si="2"/>
        <v/>
      </c>
    </row>
    <row r="78" spans="1:4" ht="14.25">
      <c r="C78" s="36" t="str">
        <f t="shared" si="2"/>
        <v/>
      </c>
    </row>
    <row r="79" spans="1:4" ht="14.25">
      <c r="C79" s="36" t="str">
        <f t="shared" si="2"/>
        <v/>
      </c>
    </row>
    <row r="80" spans="1:4"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Event_01</v>
      </c>
    </row>
    <row r="104" spans="1:10">
      <c r="B104" t="s">
        <v>559</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Event_02</v>
      </c>
    </row>
    <row r="104" spans="1:10">
      <c r="B104" t="s">
        <v>559</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B1"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Event_03</v>
      </c>
    </row>
    <row r="104" spans="1:10">
      <c r="B104" t="s">
        <v>559</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631</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Event_04</v>
      </c>
    </row>
    <row r="104" spans="1:10">
      <c r="B104" t="s">
        <v>559</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3" sqref="B13"/>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45" t="s">
        <v>462</v>
      </c>
      <c r="I1" s="45" t="s">
        <v>549</v>
      </c>
      <c r="J1" t="s">
        <v>550</v>
      </c>
    </row>
    <row r="2" spans="1:10" ht="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5">
      <c r="A5" s="46" t="s">
        <v>631</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558</v>
      </c>
      <c r="C103" t="str" cm="1">
        <f t="array" aca="1" ref="C103" ca="1">MID(CELL("filename",B1),FIND("]",CELL("filename",B1))+1,255)</f>
        <v>Event_05</v>
      </c>
    </row>
    <row r="104" spans="1:10">
      <c r="B104" t="s">
        <v>559</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Event_06</v>
      </c>
    </row>
    <row r="104" spans="1:10">
      <c r="B104" t="s">
        <v>559</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15" sqref="B15"/>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558</v>
      </c>
      <c r="C103" t="str" cm="1">
        <f t="array" aca="1" ref="C103" ca="1">MID(CELL("filename",B1),FIND("]",CELL("filename",B1))+1,255)</f>
        <v>Event_07</v>
      </c>
    </row>
    <row r="104" spans="1:10">
      <c r="B104" t="s">
        <v>559</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5">
      <c r="A4" s="46" t="s">
        <v>631</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Event_08</v>
      </c>
    </row>
    <row r="104" spans="1:10">
      <c r="B104" t="s">
        <v>559</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Event_09</v>
      </c>
    </row>
    <row r="104" spans="1:10">
      <c r="B104" t="s">
        <v>559</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26" sqref="B26"/>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7" t="s">
        <v>631</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Event_10</v>
      </c>
    </row>
    <row r="104" spans="1:10">
      <c r="B104" t="s">
        <v>559</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Event_11</v>
      </c>
    </row>
    <row r="104" spans="1:10">
      <c r="B104" t="s">
        <v>559</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558</v>
      </c>
      <c r="C103" t="str" cm="1">
        <f t="array" aca="1" ref="C103" ca="1">MID(CELL("filename",B1),FIND("]",CELL("filename",B1))+1,255)</f>
        <v>Event_12</v>
      </c>
    </row>
    <row r="104" spans="1:10">
      <c r="B104" t="s">
        <v>559</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5">
      <c r="A20" s="46" t="s">
        <v>631</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Event_13</v>
      </c>
    </row>
    <row r="104" spans="1:10">
      <c r="B104" t="s">
        <v>559</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D8"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61" t="s">
        <v>631</v>
      </c>
      <c r="B2" s="47">
        <f t="shared" ref="B2:B33" si="0">IF(A2="","",_xlfn.XLOOKUP(A2,ClubNames,ClubNumbers,_xlfn.XLOOKUP(A2,RoundRobinRiderNames,RoundRobinRiderDecoratedNames,A2)))</f>
        <v>990</v>
      </c>
      <c r="C2" s="48"/>
      <c r="D2" s="49">
        <v>33</v>
      </c>
      <c r="E2" s="49">
        <v>30</v>
      </c>
      <c r="F2" s="49" t="s">
        <v>551</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588</v>
      </c>
      <c r="B3" s="47">
        <f t="shared" si="0"/>
        <v>1370</v>
      </c>
      <c r="C3" s="48"/>
      <c r="D3" s="49">
        <v>26</v>
      </c>
      <c r="E3" s="49">
        <v>0</v>
      </c>
      <c r="F3" s="49" t="s">
        <v>551</v>
      </c>
      <c r="G3" s="66"/>
      <c r="H3" s="50" t="str">
        <f>IF($B3="","",IF($J3="X",B3,CONCATENATE(VLOOKUP(B3,Competitors!$A$2:$I$650,3,FALSE)," ",VLOOKUP(B3,Competitors!$A$2:$I$650,2,FALSE))))</f>
        <v>Ian Aldridge</v>
      </c>
      <c r="I3" s="51">
        <f t="shared" si="1"/>
        <v>1.8055555555555554E-2</v>
      </c>
      <c r="J3" t="str">
        <f t="shared" si="2"/>
        <v/>
      </c>
    </row>
    <row r="4" spans="1:10" ht="15">
      <c r="A4" s="46" t="s">
        <v>506</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551</v>
      </c>
      <c r="G5" s="66"/>
      <c r="H5" s="50" t="str">
        <f>IF($B5="","",IF($J5="X",B5,CONCATENATE(VLOOKUP(B5,Competitors!$A$2:$I$650,3,FALSE)," ",VLOOKUP(B5,Competitors!$A$2:$I$650,2,FALSE))))</f>
        <v>Claire Moore</v>
      </c>
      <c r="I5" s="51">
        <f t="shared" si="1"/>
        <v>2.3055555555555555E-2</v>
      </c>
      <c r="J5" t="str">
        <f t="shared" si="2"/>
        <v/>
      </c>
    </row>
    <row r="6" spans="1:10" ht="15">
      <c r="A6" s="46" t="s">
        <v>530</v>
      </c>
      <c r="B6" s="47" t="str">
        <f>IF(A6="","",_xlfn.XLOOKUP(A6,ClubNames,ClubNumbers,_xlfn.XLOOKUP(A6,RoundRobinRiderNames,RoundRobinRiderDecoratedNames,A6)))</f>
        <v>Lynne Wilkinson-Scofield (RFW)</v>
      </c>
      <c r="C6" s="48"/>
      <c r="D6" s="49"/>
      <c r="E6" s="49"/>
      <c r="F6" s="49"/>
      <c r="G6" s="49" t="s">
        <v>560</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551</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551</v>
      </c>
      <c r="G8" s="66"/>
      <c r="H8" s="50" t="str">
        <f>IF($B8="","",IF($J8="X",B8,CONCATENATE(VLOOKUP(B8,Competitors!$A$2:$I$650,3,FALSE)," ",VLOOKUP(B8,Competitors!$A$2:$I$650,2,FALSE))))</f>
        <v>Vic Barnett</v>
      </c>
      <c r="I8" s="51">
        <f t="shared" si="1"/>
        <v>2.2002314814814815E-2</v>
      </c>
      <c r="J8" t="str">
        <f t="shared" si="2"/>
        <v/>
      </c>
    </row>
    <row r="9" spans="1:10" ht="15">
      <c r="A9" s="46" t="s">
        <v>591</v>
      </c>
      <c r="B9" s="47">
        <f t="shared" si="0"/>
        <v>1347</v>
      </c>
      <c r="C9" s="48"/>
      <c r="D9" s="49">
        <v>26</v>
      </c>
      <c r="E9" s="49">
        <v>38</v>
      </c>
      <c r="F9" s="49" t="s">
        <v>551</v>
      </c>
      <c r="G9" s="66"/>
      <c r="H9" s="50" t="str">
        <f>IF($B9="","",IF($J9="X",B9,CONCATENATE(VLOOKUP(B9,Competitors!$A$2:$I$650,3,FALSE)," ",VLOOKUP(B9,Competitors!$A$2:$I$650,2,FALSE))))</f>
        <v>Stuart Simpson-Smith</v>
      </c>
      <c r="I9" s="51">
        <f t="shared" si="1"/>
        <v>1.849537037037037E-2</v>
      </c>
      <c r="J9" t="str">
        <f t="shared" si="2"/>
        <v/>
      </c>
    </row>
    <row r="10" spans="1:10" ht="15">
      <c r="A10" s="46" t="s">
        <v>516</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507</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629</v>
      </c>
      <c r="B13" s="47">
        <f t="shared" si="0"/>
        <v>1391</v>
      </c>
      <c r="C13" s="48"/>
      <c r="D13" s="49">
        <v>24</v>
      </c>
      <c r="E13" s="49">
        <v>59</v>
      </c>
      <c r="F13" s="49" t="s">
        <v>551</v>
      </c>
      <c r="G13" s="66"/>
      <c r="H13" s="50" t="str">
        <f>IF($B13="","",IF($J13="X",B13,CONCATENATE(VLOOKUP(B13,Competitors!$A$2:$I$650,3,FALSE)," ",VLOOKUP(B13,Competitors!$A$2:$I$650,2,FALSE))))</f>
        <v>Leah Cuthbertson</v>
      </c>
      <c r="I13" s="51">
        <f t="shared" si="1"/>
        <v>1.7349537037037038E-2</v>
      </c>
      <c r="J13" t="str">
        <f t="shared" si="2"/>
        <v/>
      </c>
    </row>
    <row r="14" spans="1:10" ht="15">
      <c r="A14" s="46" t="s">
        <v>520</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551</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584</v>
      </c>
      <c r="B17" s="47">
        <f t="shared" si="0"/>
        <v>741</v>
      </c>
      <c r="C17" s="48"/>
      <c r="D17" s="49">
        <v>24</v>
      </c>
      <c r="E17" s="49">
        <v>8</v>
      </c>
      <c r="F17" s="49" t="s">
        <v>551</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551</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551</v>
      </c>
      <c r="G21" s="66"/>
      <c r="H21" s="50" t="str">
        <f>IF($B21="","",IF($J21="X",B21,CONCATENATE(VLOOKUP(B21,Competitors!$A$2:$I$650,3,FALSE)," ",VLOOKUP(B21,Competitors!$A$2:$I$650,2,FALSE))))</f>
        <v>Jamie Kershaw</v>
      </c>
      <c r="I21" s="51">
        <f t="shared" si="1"/>
        <v>1.6261574074074074E-2</v>
      </c>
      <c r="J21" t="str">
        <f t="shared" si="2"/>
        <v/>
      </c>
    </row>
    <row r="22" spans="1:10" ht="15">
      <c r="A22" s="61" t="s">
        <v>582</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585</v>
      </c>
      <c r="B23" s="47">
        <f t="shared" si="0"/>
        <v>1048</v>
      </c>
      <c r="C23" s="48"/>
      <c r="D23" s="49"/>
      <c r="E23" s="49"/>
      <c r="F23" s="49" t="s">
        <v>551</v>
      </c>
      <c r="G23" s="66" t="s">
        <v>560</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602</v>
      </c>
      <c r="B25" s="47">
        <f t="shared" si="0"/>
        <v>1390</v>
      </c>
      <c r="C25" s="48"/>
      <c r="D25" s="49">
        <v>24</v>
      </c>
      <c r="E25" s="49">
        <v>51</v>
      </c>
      <c r="F25" s="49" t="s">
        <v>551</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551</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551</v>
      </c>
      <c r="G28" s="66"/>
      <c r="H28" s="50" t="str">
        <f>IF($B28="","",IF($J28="X",B28,CONCATENATE(VLOOKUP(B28,Competitors!$A$2:$I$650,3,FALSE)," ",VLOOKUP(B28,Competitors!$A$2:$I$650,2,FALSE))))</f>
        <v>Nik Kershaw</v>
      </c>
      <c r="I28" s="51">
        <f t="shared" si="1"/>
        <v>1.804398148148148E-2</v>
      </c>
      <c r="J28" t="str">
        <f t="shared" si="2"/>
        <v/>
      </c>
    </row>
    <row r="29" spans="1:10" ht="15">
      <c r="A29" s="46" t="s">
        <v>515</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551</v>
      </c>
      <c r="G30" s="66" t="s">
        <v>564</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634</v>
      </c>
      <c r="B34" s="47" t="str">
        <f>IF(A34="","",_xlfn.XLOOKUP(A34,ClubNames,ClubNumbers,_xlfn.XLOOKUP(A34,RoundRobinRiderNames,RoundRobinRiderDecoratedNames,A34)))</f>
        <v>Paul Akroyd (VTTA E.Mids)</v>
      </c>
      <c r="C34" s="48"/>
      <c r="D34" s="49">
        <v>27</v>
      </c>
      <c r="E34" s="49">
        <v>2</v>
      </c>
      <c r="F34" s="49" t="s">
        <v>551</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560</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560</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551</v>
      </c>
      <c r="G37" s="66" t="s">
        <v>560</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551</v>
      </c>
      <c r="G38" s="66" t="s">
        <v>560</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551</v>
      </c>
      <c r="G39" s="66" t="s">
        <v>560</v>
      </c>
      <c r="H39" s="50" t="str">
        <f>IF($B39="","",IF($J39="X",B39,CONCATENATE(VLOOKUP(B39,Competitors!$A$2:$I$650,3,FALSE)," ",VLOOKUP(B39,Competitors!$A$2:$I$650,2,FALSE))))</f>
        <v>Charlie Hardwicke</v>
      </c>
      <c r="I39" s="51">
        <f t="shared" si="1"/>
        <v>0</v>
      </c>
      <c r="J39" t="str">
        <f t="shared" si="2"/>
        <v/>
      </c>
    </row>
    <row r="40" spans="1:10" ht="15">
      <c r="A40" s="46" t="s">
        <v>577</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534</v>
      </c>
      <c r="B45" s="47" t="str">
        <f t="shared" si="3"/>
        <v>Phil Wilkinson (RFW)</v>
      </c>
      <c r="C45" s="48"/>
      <c r="D45" s="49"/>
      <c r="E45" s="49"/>
      <c r="F45" s="49"/>
      <c r="G45" s="49" t="s">
        <v>560</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635</v>
      </c>
      <c r="B48" s="47">
        <f t="shared" si="3"/>
        <v>1416</v>
      </c>
      <c r="C48" s="48"/>
      <c r="D48" s="49">
        <v>24</v>
      </c>
      <c r="E48" s="49">
        <v>18</v>
      </c>
      <c r="F48" s="49" t="s">
        <v>551</v>
      </c>
      <c r="G48" s="49"/>
      <c r="H48" s="50" t="str">
        <f>IF($B48="","",IF($J48="X",B48,CONCATENATE(VLOOKUP(B48,Competitors!$A$2:$I$650,3,FALSE)," ",VLOOKUP(B48,Competitors!$A$2:$I$650,2,FALSE))))</f>
        <v>Henry Bellamy</v>
      </c>
      <c r="I48" s="51">
        <f t="shared" si="1"/>
        <v>1.6875000000000001E-2</v>
      </c>
      <c r="J48" t="str">
        <f t="shared" si="2"/>
        <v/>
      </c>
    </row>
    <row r="49" spans="1:10" ht="15">
      <c r="A49" s="46" t="s">
        <v>505</v>
      </c>
      <c r="B49" s="47" t="str">
        <f t="shared" si="3"/>
        <v>Alex Whitmore (Ratae)</v>
      </c>
      <c r="C49" s="48"/>
      <c r="D49" s="49">
        <v>22</v>
      </c>
      <c r="E49" s="49">
        <v>44</v>
      </c>
      <c r="F49" s="49" t="s">
        <v>551</v>
      </c>
      <c r="G49" s="49"/>
      <c r="H49" s="50" t="str">
        <f>IF($B49="","",IF($J49="X",B49,CONCATENATE(VLOOKUP(B49,Competitors!$A$2:$I$650,3,FALSE)," ",VLOOKUP(B49,Competitors!$A$2:$I$650,2,FALSE))))</f>
        <v>Alex Whitmore (Ratae)</v>
      </c>
      <c r="I49" s="51">
        <f t="shared" si="1"/>
        <v>1.5787037037037037E-2</v>
      </c>
      <c r="J49" t="str">
        <f t="shared" si="2"/>
        <v>X</v>
      </c>
    </row>
    <row r="50" spans="1:10" ht="15">
      <c r="A50" s="46" t="s">
        <v>636</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551</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Event_14</v>
      </c>
    </row>
    <row r="104" spans="1:10">
      <c r="B104" t="s">
        <v>559</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586</v>
      </c>
      <c r="B2" s="47" t="str">
        <f t="shared" ref="B2:B32" si="0">IF(A2="","",_xlfn.XLOOKUP(A2,ClubNames,ClubNumbers,_xlfn.XLOOKUP(A2,RoundRobinRiderNames,RoundRobinRiderDecoratedNames,A2)))</f>
        <v>Geoff Stanbridge (Ratae)</v>
      </c>
      <c r="C2" s="48"/>
      <c r="D2" s="49">
        <v>40</v>
      </c>
      <c r="E2" s="49">
        <v>37</v>
      </c>
      <c r="F2" s="49" t="s">
        <v>551</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551</v>
      </c>
      <c r="G3" s="49"/>
      <c r="H3" s="50" t="str">
        <f>IF($B3="","",IF($J3="X",B3,CONCATENATE(VLOOKUP(B3,Competitors!$A$2:$I$650,3,FALSE)," ",VLOOKUP(B3,Competitors!$A$2:$I$650,2,FALSE))))</f>
        <v>Mea Moore</v>
      </c>
      <c r="I3" s="51">
        <f t="shared" si="1"/>
        <v>2.0208333333333332E-2</v>
      </c>
      <c r="J3" t="str">
        <f t="shared" si="2"/>
        <v/>
      </c>
    </row>
    <row r="4" spans="1:10" ht="15">
      <c r="A4" s="46" t="s">
        <v>631</v>
      </c>
      <c r="B4" s="47">
        <f t="shared" si="0"/>
        <v>990</v>
      </c>
      <c r="C4" s="48"/>
      <c r="D4" s="49">
        <v>32</v>
      </c>
      <c r="E4" s="49">
        <v>57</v>
      </c>
      <c r="F4" s="49" t="s">
        <v>551</v>
      </c>
      <c r="G4" s="49"/>
      <c r="H4" s="50" t="str">
        <f>IF($B4="","",IF($J4="X",B4,CONCATENATE(VLOOKUP(B4,Competitors!$A$2:$I$650,3,FALSE)," ",VLOOKUP(B4,Competitors!$A$2:$I$650,2,FALSE))))</f>
        <v>Jen Hulme</v>
      </c>
      <c r="I4" s="51">
        <f t="shared" si="1"/>
        <v>2.2881944444444444E-2</v>
      </c>
      <c r="J4" t="str">
        <f t="shared" si="2"/>
        <v/>
      </c>
    </row>
    <row r="5" spans="1:10" ht="15">
      <c r="A5" s="46" t="s">
        <v>632</v>
      </c>
      <c r="B5" s="47" t="str">
        <f t="shared" si="0"/>
        <v>Michael Wheeler (KCC)</v>
      </c>
      <c r="C5" s="48"/>
      <c r="D5" s="49"/>
      <c r="E5" s="49"/>
      <c r="F5" s="49" t="s">
        <v>551</v>
      </c>
      <c r="G5" s="49" t="s">
        <v>560</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551</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551</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551</v>
      </c>
      <c r="G9" s="49"/>
      <c r="H9" s="50" t="str">
        <f>IF($B9="","",IF($J9="X",B9,CONCATENATE(VLOOKUP(B9,Competitors!$A$2:$I$650,3,FALSE)," ",VLOOKUP(B9,Competitors!$A$2:$I$650,2,FALSE))))</f>
        <v>Michaela Latham</v>
      </c>
      <c r="I9" s="51">
        <f t="shared" si="1"/>
        <v>2.0486111111111111E-2</v>
      </c>
      <c r="J9" t="str">
        <f t="shared" si="2"/>
        <v/>
      </c>
    </row>
    <row r="10" spans="1:10" ht="15">
      <c r="A10" s="46" t="s">
        <v>594</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530</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551</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551</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634</v>
      </c>
      <c r="B17" s="47" t="str">
        <f t="shared" si="0"/>
        <v>Paul Akroyd (VTTA E.Mids)</v>
      </c>
      <c r="C17" s="48"/>
      <c r="D17" s="49">
        <v>27</v>
      </c>
      <c r="E17" s="49">
        <v>25</v>
      </c>
      <c r="F17" s="49" t="s">
        <v>551</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551</v>
      </c>
      <c r="G18" s="49"/>
      <c r="H18" s="50" t="str">
        <f>IF($B18="","",IF($J18="X",B18,CONCATENATE(VLOOKUP(B18,Competitors!$A$2:$I$650,3,FALSE)," ",VLOOKUP(B18,Competitors!$A$2:$I$650,2,FALSE))))</f>
        <v>Richard Hardwicke</v>
      </c>
      <c r="I18" s="51">
        <f t="shared" si="1"/>
        <v>1.9953703703703703E-2</v>
      </c>
      <c r="J18" t="str">
        <f t="shared" si="2"/>
        <v/>
      </c>
    </row>
    <row r="19" spans="1:10" ht="15">
      <c r="A19" s="46" t="s">
        <v>633</v>
      </c>
      <c r="B19" s="47" t="str">
        <f t="shared" si="0"/>
        <v>Ian Bird (KCC)</v>
      </c>
      <c r="C19" s="48"/>
      <c r="D19" s="49">
        <v>28</v>
      </c>
      <c r="E19" s="49">
        <v>59</v>
      </c>
      <c r="F19" s="49" t="s">
        <v>551</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507</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515</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518</v>
      </c>
      <c r="B23" s="47" t="str">
        <f t="shared" si="0"/>
        <v>Paul Eden (Ratae)</v>
      </c>
      <c r="C23" s="48"/>
      <c r="D23" s="49">
        <v>32</v>
      </c>
      <c r="E23" s="49">
        <v>7</v>
      </c>
      <c r="F23" s="49" t="s">
        <v>551</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551</v>
      </c>
      <c r="G25" s="49"/>
      <c r="H25" s="50" t="str">
        <f>IF($B25="","",IF($J25="X",B25,CONCATENATE(VLOOKUP(B25,Competitors!$A$2:$I$650,3,FALSE)," ",VLOOKUP(B25,Competitors!$A$2:$I$650,2,FALSE))))</f>
        <v>John Abbott</v>
      </c>
      <c r="I25" s="51">
        <f t="shared" si="1"/>
        <v>1.8240740740740741E-2</v>
      </c>
      <c r="J25" t="str">
        <f t="shared" si="2"/>
        <v/>
      </c>
    </row>
    <row r="26" spans="1:10" ht="15">
      <c r="A26" s="46" t="s">
        <v>601</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584</v>
      </c>
      <c r="B28" s="47">
        <f t="shared" si="0"/>
        <v>741</v>
      </c>
      <c r="C28" s="48"/>
      <c r="D28" s="49">
        <v>24</v>
      </c>
      <c r="E28" s="49">
        <v>24</v>
      </c>
      <c r="F28" s="49" t="s">
        <v>551</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523</v>
      </c>
      <c r="B30" s="47" t="str">
        <f t="shared" si="0"/>
        <v>Chris Fowler (RFW)</v>
      </c>
      <c r="C30" s="48"/>
      <c r="D30" s="49">
        <v>23</v>
      </c>
      <c r="E30" s="49">
        <v>20</v>
      </c>
      <c r="F30" s="49" t="s">
        <v>551</v>
      </c>
      <c r="G30" s="49"/>
      <c r="H30" s="50" t="str">
        <f>IF($B30="","",IF($J30="X",B30,CONCATENATE(VLOOKUP(B30,Competitors!$A$2:$I$650,3,FALSE)," ",VLOOKUP(B30,Competitors!$A$2:$I$650,2,FALSE))))</f>
        <v>Chris Fowler (RFW)</v>
      </c>
      <c r="I30" s="51">
        <f t="shared" si="1"/>
        <v>1.6203703703703703E-2</v>
      </c>
      <c r="J30" t="str">
        <f t="shared" si="2"/>
        <v>X</v>
      </c>
    </row>
    <row r="31" spans="1:10" ht="15">
      <c r="A31" s="46" t="s">
        <v>534</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558</v>
      </c>
      <c r="C103" t="str" cm="1">
        <f t="array" aca="1" ref="C103" ca="1">MID(CELL("filename",B1),FIND("]",CELL("filename",B1))+1,255)</f>
        <v>Event_15</v>
      </c>
    </row>
    <row r="104" spans="1:10">
      <c r="B104" t="s">
        <v>559</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Event_16</v>
      </c>
    </row>
    <row r="104" spans="1:10">
      <c r="B104" t="s">
        <v>559</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Event_17</v>
      </c>
    </row>
    <row r="104" spans="1:10">
      <c r="B104" t="s">
        <v>559</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Event_18</v>
      </c>
    </row>
    <row r="104" spans="1:10">
      <c r="B104" t="s">
        <v>559</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Event_19</v>
      </c>
    </row>
    <row r="104" spans="1:10">
      <c r="B104" t="s">
        <v>559</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Event_20</v>
      </c>
    </row>
    <row r="104" spans="1:10">
      <c r="B104" t="s">
        <v>559</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Event_21</v>
      </c>
    </row>
    <row r="104" spans="1:10">
      <c r="B104" t="s">
        <v>559</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Event_22</v>
      </c>
    </row>
    <row r="104" spans="1:10">
      <c r="B104" t="s">
        <v>559</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Event_23</v>
      </c>
    </row>
    <row r="104" spans="1:10">
      <c r="B104" t="s">
        <v>559</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Event_24</v>
      </c>
    </row>
    <row r="104" spans="1:10">
      <c r="B104" t="s">
        <v>559</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Event_25</v>
      </c>
    </row>
    <row r="104" spans="1:10">
      <c r="B104" t="s">
        <v>559</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Event_26</v>
      </c>
    </row>
    <row r="104" spans="1:10">
      <c r="B104" t="s">
        <v>559</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Event_27</v>
      </c>
    </row>
    <row r="104" spans="1:10">
      <c r="B104" t="s">
        <v>559</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Event_28</v>
      </c>
    </row>
    <row r="104" spans="1:10">
      <c r="B104" t="s">
        <v>559</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Worksheets</vt:lpstr>
      </vt:variant>
      <vt:variant>
        <vt:i4>47</vt:i4>
      </vt:variant>
      <vt:variant>
        <vt:lpstr>Charts</vt:lpstr>
      </vt:variant>
      <vt:variant>
        <vt:i4>1</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Chart1</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2026-07-05T13:36:09Z</dcterms:modified>
</cp:coreProperties>
</file>