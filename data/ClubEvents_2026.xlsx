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BAE6F321-9C1B-431A-A5D6-78E40924EC39}" xr6:coauthVersionLast="47" xr6:coauthVersionMax="47" xr10:uidLastSave="{00000000-0000-0000-0000-000000000000}"/>
  <bookViews>
    <workbookView xWindow="5573" yWindow="0" windowWidth="22769" windowHeight="17280" activeTab="1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  <sheet name="Event_27" sheetId="34" r:id="rId33"/>
    <sheet name="Event_28" sheetId="35" r:id="rId34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B3" i="6"/>
  <c r="I3" i="6"/>
  <c r="B4" i="6"/>
  <c r="I4" i="6"/>
  <c r="B5" i="6"/>
  <c r="I5" i="6"/>
  <c r="B6" i="6"/>
  <c r="I6" i="6"/>
  <c r="B7" i="6"/>
  <c r="I7" i="6"/>
  <c r="B8" i="6"/>
  <c r="I8" i="6"/>
  <c r="B9" i="6"/>
  <c r="I9" i="6"/>
  <c r="B10" i="6"/>
  <c r="I10" i="6"/>
  <c r="B11" i="6"/>
  <c r="I11" i="6"/>
  <c r="B12" i="6"/>
  <c r="I12" i="6"/>
  <c r="B13" i="6"/>
  <c r="I13" i="6"/>
  <c r="B14" i="6"/>
  <c r="I14" i="6"/>
  <c r="B15" i="6"/>
  <c r="I15" i="6"/>
  <c r="B16" i="6"/>
  <c r="I16" i="6"/>
  <c r="B17" i="6"/>
  <c r="I17" i="6"/>
  <c r="B18" i="6"/>
  <c r="I18" i="6"/>
  <c r="B19" i="6"/>
  <c r="I19" i="6"/>
  <c r="B20" i="6"/>
  <c r="I20" i="6"/>
  <c r="B21" i="6"/>
  <c r="I21" i="6"/>
  <c r="B22" i="6"/>
  <c r="I22" i="6"/>
  <c r="B23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B3" i="7"/>
  <c r="I3" i="7"/>
  <c r="B4" i="7"/>
  <c r="I4" i="7"/>
  <c r="B5" i="7"/>
  <c r="I5" i="7"/>
  <c r="B6" i="7"/>
  <c r="I6" i="7"/>
  <c r="B7" i="7"/>
  <c r="I7" i="7"/>
  <c r="B8" i="7"/>
  <c r="I8" i="7"/>
  <c r="B9" i="7"/>
  <c r="I9" i="7"/>
  <c r="B10" i="7"/>
  <c r="I10" i="7"/>
  <c r="B11" i="7"/>
  <c r="I11" i="7"/>
  <c r="B12" i="7"/>
  <c r="I12" i="7"/>
  <c r="B13" i="7"/>
  <c r="I13" i="7"/>
  <c r="B14" i="7"/>
  <c r="I14" i="7"/>
  <c r="B15" i="7"/>
  <c r="I15" i="7"/>
  <c r="B16" i="7"/>
  <c r="I16" i="7"/>
  <c r="B17" i="7"/>
  <c r="I17" i="7"/>
  <c r="B18" i="7"/>
  <c r="I18" i="7"/>
  <c r="B19" i="7"/>
  <c r="I19" i="7"/>
  <c r="B20" i="7"/>
  <c r="I20" i="7"/>
  <c r="B21" i="7"/>
  <c r="I21" i="7"/>
  <c r="B22" i="7"/>
  <c r="I22" i="7"/>
  <c r="B23" i="7"/>
  <c r="I23" i="7"/>
  <c r="B24" i="7"/>
  <c r="I24" i="7"/>
  <c r="B25" i="7"/>
  <c r="I25" i="7"/>
  <c r="B26" i="7"/>
  <c r="I26" i="7"/>
  <c r="B27" i="7"/>
  <c r="I27" i="7"/>
  <c r="B28" i="7"/>
  <c r="I28" i="7"/>
  <c r="B29" i="7"/>
  <c r="I29" i="7"/>
  <c r="B30" i="7"/>
  <c r="I30" i="7"/>
  <c r="B31" i="7"/>
  <c r="I31" i="7"/>
  <c r="B32" i="7"/>
  <c r="I32" i="7"/>
  <c r="B33" i="7"/>
  <c r="I33" i="7"/>
  <c r="B34" i="7"/>
  <c r="I34" i="7"/>
  <c r="B35" i="7"/>
  <c r="I35" i="7"/>
  <c r="B36" i="7"/>
  <c r="H36" i="7" s="1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H3" i="8" s="1"/>
  <c r="I3" i="8"/>
  <c r="B4" i="8"/>
  <c r="H4" i="8" s="1"/>
  <c r="I4" i="8"/>
  <c r="B5" i="8"/>
  <c r="I5" i="8"/>
  <c r="B6" i="8"/>
  <c r="H6" i="8" s="1"/>
  <c r="I6" i="8"/>
  <c r="B7" i="8"/>
  <c r="H7" i="8" s="1"/>
  <c r="I7" i="8"/>
  <c r="B8" i="8"/>
  <c r="H8" i="8" s="1"/>
  <c r="I8" i="8"/>
  <c r="B9" i="8"/>
  <c r="H9" i="8" s="1"/>
  <c r="I9" i="8"/>
  <c r="B10" i="8"/>
  <c r="H10" i="8" s="1"/>
  <c r="I10" i="8"/>
  <c r="B11" i="8"/>
  <c r="I11" i="8"/>
  <c r="B12" i="8"/>
  <c r="H12" i="8" s="1"/>
  <c r="I12" i="8"/>
  <c r="B13" i="8"/>
  <c r="H13" i="8" s="1"/>
  <c r="I13" i="8"/>
  <c r="B14" i="8"/>
  <c r="H14" i="8" s="1"/>
  <c r="I14" i="8"/>
  <c r="B15" i="8"/>
  <c r="H15" i="8" s="1"/>
  <c r="I15" i="8"/>
  <c r="B16" i="8"/>
  <c r="H16" i="8" s="1"/>
  <c r="I16" i="8"/>
  <c r="B17" i="8"/>
  <c r="H17" i="8" s="1"/>
  <c r="I17" i="8"/>
  <c r="B18" i="8"/>
  <c r="H18" i="8" s="1"/>
  <c r="I18" i="8"/>
  <c r="B19" i="8"/>
  <c r="I19" i="8"/>
  <c r="B20" i="8"/>
  <c r="H20" i="8" s="1"/>
  <c r="I20" i="8"/>
  <c r="B21" i="8"/>
  <c r="H21" i="8" s="1"/>
  <c r="I21" i="8"/>
  <c r="B22" i="8"/>
  <c r="H22" i="8" s="1"/>
  <c r="I22" i="8"/>
  <c r="B23" i="8"/>
  <c r="H23" i="8" s="1"/>
  <c r="I23" i="8"/>
  <c r="B24" i="8"/>
  <c r="I24" i="8"/>
  <c r="B25" i="8"/>
  <c r="I25" i="8"/>
  <c r="B26" i="8"/>
  <c r="H26" i="8" s="1"/>
  <c r="I26" i="8"/>
  <c r="B27" i="8"/>
  <c r="I27" i="8"/>
  <c r="B28" i="8"/>
  <c r="H28" i="8" s="1"/>
  <c r="I28" i="8"/>
  <c r="B29" i="8"/>
  <c r="H29" i="8" s="1"/>
  <c r="I29" i="8"/>
  <c r="B30" i="8"/>
  <c r="I30" i="8"/>
  <c r="B31" i="8"/>
  <c r="H31" i="8" s="1"/>
  <c r="I31" i="8"/>
  <c r="B32" i="8"/>
  <c r="I32" i="8"/>
  <c r="B33" i="8"/>
  <c r="I33" i="8"/>
  <c r="B34" i="8"/>
  <c r="H34" i="8" s="1"/>
  <c r="I34" i="8"/>
  <c r="B35" i="8"/>
  <c r="H35" i="8" s="1"/>
  <c r="I35" i="8"/>
  <c r="B36" i="8"/>
  <c r="H36" i="8" s="1"/>
  <c r="I36" i="8"/>
  <c r="B37" i="8"/>
  <c r="H37" i="8" s="1"/>
  <c r="I37" i="8"/>
  <c r="B38" i="8"/>
  <c r="H38" i="8" s="1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B20" i="5"/>
  <c r="I20" i="5"/>
  <c r="B3" i="5"/>
  <c r="I3" i="5"/>
  <c r="B28" i="5"/>
  <c r="I28" i="5"/>
  <c r="B32" i="5"/>
  <c r="I32" i="5"/>
  <c r="B16" i="5"/>
  <c r="I16" i="5"/>
  <c r="B26" i="5"/>
  <c r="I26" i="5"/>
  <c r="B11" i="5"/>
  <c r="I11" i="5"/>
  <c r="B7" i="5"/>
  <c r="I7" i="5"/>
  <c r="B10" i="5"/>
  <c r="I10" i="5"/>
  <c r="B8" i="5"/>
  <c r="I8" i="5"/>
  <c r="B22" i="5"/>
  <c r="I22" i="5"/>
  <c r="B12" i="5"/>
  <c r="I12" i="5"/>
  <c r="B6" i="5"/>
  <c r="I6" i="5"/>
  <c r="B4" i="5"/>
  <c r="I4" i="5"/>
  <c r="B31" i="5"/>
  <c r="I31" i="5"/>
  <c r="B25" i="5"/>
  <c r="I25" i="5"/>
  <c r="B21" i="5"/>
  <c r="I21" i="5"/>
  <c r="B24" i="5"/>
  <c r="I24" i="5"/>
  <c r="B17" i="5"/>
  <c r="I17" i="5"/>
  <c r="B2" i="5"/>
  <c r="I2" i="5"/>
  <c r="B23" i="5"/>
  <c r="I23" i="5"/>
  <c r="B15" i="5"/>
  <c r="I15" i="5"/>
  <c r="B33" i="5"/>
  <c r="I33" i="5"/>
  <c r="B30" i="5"/>
  <c r="I30" i="5"/>
  <c r="B18" i="5"/>
  <c r="I18" i="5"/>
  <c r="B5" i="5"/>
  <c r="I5" i="5"/>
  <c r="B14" i="5"/>
  <c r="I14" i="5"/>
  <c r="B27" i="5"/>
  <c r="I27" i="5"/>
  <c r="B29" i="5"/>
  <c r="I29" i="5"/>
  <c r="B9" i="5"/>
  <c r="I9" i="5"/>
  <c r="B19" i="5"/>
  <c r="I19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13" i="5"/>
  <c r="B2" i="6"/>
  <c r="H2" i="6" s="1"/>
  <c r="B2" i="7"/>
  <c r="H2" i="7" s="1"/>
  <c r="B2" i="8"/>
  <c r="H2" i="8" s="1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B13" i="5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 s="1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/>
  <c r="A121" i="33"/>
  <c r="B121" i="33"/>
  <c r="A122" i="33"/>
  <c r="B122" i="33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4" i="28" l="1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H6" i="6"/>
  <c r="J6" i="6"/>
  <c r="H11" i="6"/>
  <c r="J11" i="6"/>
  <c r="H17" i="6"/>
  <c r="J17" i="6"/>
  <c r="H20" i="6"/>
  <c r="J20" i="6"/>
  <c r="H23" i="6"/>
  <c r="J23" i="6"/>
  <c r="H26" i="6"/>
  <c r="J26" i="6"/>
  <c r="H3" i="6"/>
  <c r="J3" i="6"/>
  <c r="H4" i="6"/>
  <c r="J4" i="6"/>
  <c r="H5" i="6"/>
  <c r="J5" i="6"/>
  <c r="H7" i="6"/>
  <c r="J7" i="6"/>
  <c r="H8" i="6"/>
  <c r="J8" i="6"/>
  <c r="H12" i="6"/>
  <c r="J12" i="6"/>
  <c r="H14" i="6"/>
  <c r="J14" i="6"/>
  <c r="H18" i="6"/>
  <c r="J18" i="6"/>
  <c r="H21" i="6"/>
  <c r="J21" i="6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H9" i="6"/>
  <c r="J9" i="6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0" i="6"/>
  <c r="H10" i="6"/>
  <c r="J13" i="6"/>
  <c r="H13" i="6"/>
  <c r="J15" i="6"/>
  <c r="H15" i="6"/>
  <c r="J16" i="6"/>
  <c r="H16" i="6"/>
  <c r="J19" i="6"/>
  <c r="H19" i="6"/>
  <c r="J22" i="6"/>
  <c r="H22" i="6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3" i="7"/>
  <c r="H3" i="7"/>
  <c r="J4" i="7"/>
  <c r="H4" i="7"/>
  <c r="J5" i="7"/>
  <c r="H5" i="7"/>
  <c r="J6" i="7"/>
  <c r="H6" i="7"/>
  <c r="J7" i="7"/>
  <c r="H7" i="7"/>
  <c r="J8" i="7"/>
  <c r="H8" i="7"/>
  <c r="J9" i="7"/>
  <c r="H9" i="7"/>
  <c r="J10" i="7"/>
  <c r="H10" i="7"/>
  <c r="J11" i="7"/>
  <c r="H11" i="7"/>
  <c r="J12" i="7"/>
  <c r="H12" i="7"/>
  <c r="J13" i="7"/>
  <c r="H13" i="7"/>
  <c r="J14" i="7"/>
  <c r="H14" i="7"/>
  <c r="J15" i="7"/>
  <c r="H15" i="7"/>
  <c r="J16" i="7"/>
  <c r="H16" i="7"/>
  <c r="J17" i="7"/>
  <c r="H17" i="7"/>
  <c r="J18" i="7"/>
  <c r="H18" i="7"/>
  <c r="J19" i="7"/>
  <c r="H19" i="7"/>
  <c r="J20" i="7"/>
  <c r="H20" i="7"/>
  <c r="J21" i="7"/>
  <c r="H21" i="7"/>
  <c r="J22" i="7"/>
  <c r="H22" i="7"/>
  <c r="J23" i="7"/>
  <c r="H23" i="7"/>
  <c r="J24" i="7"/>
  <c r="H24" i="7"/>
  <c r="J25" i="7"/>
  <c r="H25" i="7"/>
  <c r="J26" i="7"/>
  <c r="H26" i="7"/>
  <c r="J27" i="7"/>
  <c r="H27" i="7"/>
  <c r="J28" i="7"/>
  <c r="H28" i="7"/>
  <c r="J29" i="7"/>
  <c r="H29" i="7"/>
  <c r="J30" i="7"/>
  <c r="H30" i="7"/>
  <c r="J31" i="7"/>
  <c r="H31" i="7"/>
  <c r="J32" i="7"/>
  <c r="H32" i="7"/>
  <c r="J33" i="7"/>
  <c r="H33" i="7"/>
  <c r="J34" i="7"/>
  <c r="H34" i="7"/>
  <c r="J35" i="7"/>
  <c r="H35" i="7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/>
  <c r="J11" i="8"/>
  <c r="H11" i="8"/>
  <c r="J19" i="8"/>
  <c r="H19" i="8"/>
  <c r="J24" i="8"/>
  <c r="H24" i="8"/>
  <c r="J25" i="8"/>
  <c r="H25" i="8"/>
  <c r="J27" i="8"/>
  <c r="H27" i="8"/>
  <c r="J30" i="8"/>
  <c r="H30" i="8"/>
  <c r="J32" i="8"/>
  <c r="H32" i="8"/>
  <c r="J33" i="8"/>
  <c r="H33" i="8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20" i="5"/>
  <c r="H20" i="5" s="1"/>
  <c r="J3" i="5"/>
  <c r="H3" i="5" s="1"/>
  <c r="J28" i="5"/>
  <c r="H28" i="5" s="1"/>
  <c r="J32" i="5"/>
  <c r="H32" i="5"/>
  <c r="J16" i="5"/>
  <c r="H16" i="5"/>
  <c r="J26" i="5"/>
  <c r="H26" i="5" s="1"/>
  <c r="J11" i="5"/>
  <c r="H11" i="5" s="1"/>
  <c r="J7" i="5"/>
  <c r="H7" i="5" s="1"/>
  <c r="J10" i="5"/>
  <c r="H10" i="5" s="1"/>
  <c r="J8" i="5"/>
  <c r="H8" i="5"/>
  <c r="J22" i="5"/>
  <c r="H22" i="5" s="1"/>
  <c r="J12" i="5"/>
  <c r="H12" i="5" s="1"/>
  <c r="J6" i="5"/>
  <c r="H6" i="5" s="1"/>
  <c r="J4" i="5"/>
  <c r="H4" i="5" s="1"/>
  <c r="J31" i="5"/>
  <c r="H31" i="5"/>
  <c r="J25" i="5"/>
  <c r="H25" i="5" s="1"/>
  <c r="J21" i="5"/>
  <c r="H21" i="5" s="1"/>
  <c r="J24" i="5"/>
  <c r="H24" i="5" s="1"/>
  <c r="J17" i="5"/>
  <c r="H17" i="5" s="1"/>
  <c r="J2" i="5"/>
  <c r="H2" i="5"/>
  <c r="J23" i="5"/>
  <c r="H23" i="5" s="1"/>
  <c r="J15" i="5"/>
  <c r="H15" i="5" s="1"/>
  <c r="J33" i="5"/>
  <c r="H33" i="5"/>
  <c r="J30" i="5"/>
  <c r="H30" i="5"/>
  <c r="J18" i="5"/>
  <c r="H18" i="5" s="1"/>
  <c r="J5" i="5"/>
  <c r="H5" i="5" s="1"/>
  <c r="J14" i="5"/>
  <c r="H14" i="5" s="1"/>
  <c r="J27" i="5"/>
  <c r="H27" i="5" s="1"/>
  <c r="J29" i="5"/>
  <c r="H29" i="5" s="1"/>
  <c r="J9" i="5"/>
  <c r="H9" i="5"/>
  <c r="J19" i="5"/>
  <c r="H19" i="5" s="1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6"/>
  <c r="J2" i="7"/>
  <c r="J2" i="8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13" i="5"/>
  <c r="H13" i="5" s="1"/>
  <c r="J36" i="7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J4" i="8"/>
  <c r="J6" i="8"/>
  <c r="J7" i="8"/>
  <c r="J8" i="8"/>
  <c r="J9" i="8"/>
  <c r="J10" i="8"/>
  <c r="J12" i="8"/>
  <c r="J13" i="8"/>
  <c r="J14" i="8"/>
  <c r="J15" i="8"/>
  <c r="J16" i="8"/>
  <c r="J17" i="8"/>
  <c r="J18" i="8"/>
  <c r="J20" i="8"/>
  <c r="J21" i="8"/>
  <c r="J22" i="8"/>
  <c r="J23" i="8"/>
  <c r="J26" i="8"/>
  <c r="J28" i="8"/>
  <c r="J29" i="8"/>
  <c r="J31" i="8"/>
  <c r="J34" i="8"/>
  <c r="J35" i="8"/>
  <c r="J36" i="8"/>
  <c r="J37" i="8"/>
  <c r="J38" i="8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N4" i="2" l="1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<sst xmlns="http://schemas.openxmlformats.org/spreadsheetml/2006/main" count="1650" uniqueCount="530">
  <si>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</si>
  <si>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</si>
  <si>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</si>
  <si>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</si>
  <si>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</si>
  <si>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</si>
  <si>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</si>
  <si>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</si>
  <si>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</si>
  <si>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</si>
  <si>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</si>
  <si>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</si>
  <si>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</si>
  <si>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</si>
  <si>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</si>
  <si>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</si>
  <si>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</si>
  <si>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</si>
  <si>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</si>
  <si>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</si>
  <si>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</si>
  <si>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</si>
  <si>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</si>
  <si>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</si>
  <si>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</si>
  <si>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</si>
  <si>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</si>
  <si>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</si>
  <si>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</si>
  <si>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</si>
  <si>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</si>
  <si>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</si>
  <si>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</si>
  <si>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</si>
  <si>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</si>
  <si>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</si>
  <si>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</si>
  <si>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</si>
  <si>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</si>
  <si>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</si>
  <si>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</si>
  <si>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</si>
  <si>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</si>
  <si>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</si>
  <si>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</si>
  <si>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</si>
  <si>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</si>
  <si>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</si>
  <si>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</si>
  <si>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</si>
  <si>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</si>
  <si>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</si>
  <si>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</si>
  <si>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</si>
  <si>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</si>
  <si>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</si>
  <si>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</si>
  <si>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</si>
  <si>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</si>
  <si>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</si>
  <si>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</si>
  <si>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</si>
  <si>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</si>
  <si>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</si>
  <si>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</si>
  <si>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</si>
  <si>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</si>
  <si>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</si>
  <si>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</si>
  <si>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</si>
  <si>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</si>
  <si>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</si>
  <si>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</si>
  <si>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</si>
  <si>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</si>
  <si>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</si>
  <si>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</si>
  <si>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</si>
  <si>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</si>
  <si>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</si>
  <si>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</si>
  <si>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</si>
  <si>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</si>
  <si>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</si>
  <si>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</si>
  <si>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</si>
  <si>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</si>
  <si>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</si>
  <si>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</si>
  <si>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</si>
  <si>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</si>
  <si>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</si>
  <si>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</si>
  <si>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</si>
  <si>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</si>
  <si>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</si>
  <si>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</si>
  <si>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</si>
  <si>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</si>
  <si>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</si>
  <si>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</si>
  <si>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</si>
  <si>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</si>
  <si>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</si>
  <si>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</si>
  <si>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</si>
  <si>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</si>
  <si>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</si>
  <si>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</si>
  <si>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</si>
  <si>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</si>
  <si>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</si>
  <si>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</si>
  <si>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</si>
  <si>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</si>
  <si>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</si>
  <si>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</si>
  <si>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</si>
  <si>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</si>
  <si>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</si>
  <si>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</si>
  <si>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</si>
  <si>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</si>
  <si>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</si>
  <si>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</si>
  <si>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</si>
  <si>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</si>
  <si>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</si>
  <si>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</si>
  <si>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</si>
  <si>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</si>
  <si>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</si>
  <si>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</si>
  <si>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</si>
  <si>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</si>
  <si>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</si>
  <si>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</si>
  <si>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</si>
  <si>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</si>
  <si>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</si>
  <si>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</si>
  <si>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</si>
  <si>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</si>
  <si>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</si>
  <si>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</si>
  <si>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</si>
  <si>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</si>
  <si>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</si>
  <si>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</si>
  <si>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</si>
  <si>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</si>
  <si>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</si>
  <si>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</si>
  <si>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</si>
  <si>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</si>
  <si>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</si>
  <si>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</si>
  <si>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</si>
  <si>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</si>
  <si>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</si>
  <si>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</si>
  <si>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</si>
  <si>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</si>
  <si>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</si>
  <si>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</si>
  <si>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</si>
  <si>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</si>
  <si>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</si>
  <si>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</si>
  <si>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</si>
  <si>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</si>
  <si>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</si>
  <si>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</si>
  <si>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</si>
  <si>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</si>
  <si>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</si>
  <si>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</si>
  <si>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</si>
  <si>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</si>
  <si>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</si>
  <si>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</si>
  <si>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</si>
  <si>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</si>
  <si>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</si>
  <si>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</si>
  <si>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</si>
  <si>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</si>
  <si>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</si>
  <si>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</si>
  <si>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</si>
  <si>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</si>
  <si>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</si>
  <si>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</si>
  <si>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</si>
  <si>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</si>
  <si>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</si>
  <si>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</si>
  <si>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</si>
  <si>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</si>
  <si>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</si>
  <si>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</si>
  <si>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</si>
  <si>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</si>
  <si>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</si>
  <si>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</si>
  <si>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</si>
  <si>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</si>
  <si>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</si>
  <si>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</si>
  <si>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</si>
  <si>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</si>
  <si>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</si>
  <si>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</si>
  <si>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</si>
  <si>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</si>
  <si>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</si>
  <si>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</si>
  <si>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</si>
  <si>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</si>
  <si>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</si>
  <si>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</si>
  <si>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</si>
  <si>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</si>
  <si>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</si>
  <si>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</si>
  <si>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</si>
  <si>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</si>
  <si>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</si>
  <si>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</si>
  <si>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</si>
  <si>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</si>
  <si>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</si>
  <si>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</si>
  <si>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</si>
  <si>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</si>
  <si>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</si>
  <si>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</si>
  <si>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</si>
  <si>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</si>
  <si>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</si>
  <si>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</si>
  <si>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</si>
  <si>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</si>
  <si>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</si>
  <si>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</si>
  <si>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</si>
  <si>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</si>
  <si>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</si>
  <si>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</si>
  <si>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</si>
  <si>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</si>
  <si>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</si>
  <si>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</si>
  <si>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</si>
  <si>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</si>
  <si>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</si>
  <si>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</si>
  <si>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</si>
  <si>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</si>
  <si>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</si>
  <si>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</si>
  <si>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</si>
  <si>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</si>
  <si>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</si>
  <si>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</si>
  <si>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</si>
  <si>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</si>
  <si>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</si>
  <si>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</si>
  <si>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</si>
  <si>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</si>
  <si>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</si>
  <si>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</si>
  <si>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</si>
  <si>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</si>
  <si>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</si>
  <si>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</si>
  <si>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</si>
  <si>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</si>
  <si>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</si>
  <si>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</si>
  <si>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</si>
  <si>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</si>
  <si>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</si>
  <si>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</si>
  <si>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</si>
  <si>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</si>
  <si>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</si>
  <si>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</si>
  <si>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</si>
  <si>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</si>
  <si>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</si>
  <si>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</si>
  <si>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</si>
  <si>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</si>
  <si>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</si>
  <si>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</si>
  <si>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</si>
  <si>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</si>
  <si>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</si>
  <si>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</si>
  <si>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</si>
  <si>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</si>
  <si>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</si>
  <si>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</si>
  <si>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</si>
  <si>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</si>
  <si>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</si>
  <si>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</si>
  <si>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</si>
  <si>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</si>
  <si>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</si>
  <si>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</si>
  <si>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</si>
  <si>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</si>
  <si>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</si>
  <si>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</si>
  <si>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</si>
  <si>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</si>
  <si>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</si>
  <si>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</si>
  <si>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</si>
  <si>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</si>
  <si>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</si>
  <si>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</si>
  <si>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</si>
  <si>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</si>
  <si>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</si>
  <si>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</si>
  <si>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</si>
  <si>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</si>
  <si>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</si>
  <si>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</si>
  <si>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</si>
  <si>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</si>
  <si>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</si>
  <si>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</si>
  <si>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</si>
  <si>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</si>
  <si>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</si>
  <si>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</si>
  <si>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</si>
  <si>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</si>
  <si>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</si>
  <si>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</si>
  <si>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</si>
  <si>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</si>
  <si>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</si>
  <si>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</si>
  <si>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</si>
  <si>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</si>
  <si>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</si>
  <si>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</si>
  <si>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</si>
  <si>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</si>
  <si>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</si>
  <si>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</si>
  <si>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</si>
  <si>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</si>
  <si>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</si>
  <si>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</si>
  <si>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</si>
  <si>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</si>
  <si>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</si>
  <si>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</si>
  <si>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</si>
  <si>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</si>
  <si>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</si>
  <si>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</si>
  <si>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</si>
  <si>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</si>
  <si>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</si>
  <si>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</si>
  <si>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</si>
  <si>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</si>
  <si>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</si>
  <si>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</si>
  <si>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</si>
  <si>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</si>
  <si>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</si>
  <si>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</si>
  <si>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</si>
  <si>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</si>
  <si>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</si>
  <si>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</si>
  <si>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</si>
  <si>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</si>
  <si>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</si>
  <si>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</si>
  <si>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</si>
  <si>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</si>
  <si>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</si>
  <si>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</si>
  <si>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</si>
  <si>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</si>
  <si>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</si>
  <si>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</si>
  <si>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</si>
  <si>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</si>
  <si>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</si>
  <si>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</si>
  <si>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</si>
  <si>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</si>
  <si>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</si>
  <si>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</si>
  <si>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</si>
  <si>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</si>
  <si>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</si>
  <si>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</si>
  <si>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</si>
  <si>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</si>
  <si>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</si>
  <si>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</si>
  <si>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</si>
  <si>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</si>
  <si>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</si>
  <si>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</si>
  <si>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</si>
  <si>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</si>
  <si>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</si>
  <si>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</si>
  <si>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</si>
  <si>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</si>
  <si>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</si>
  <si>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</si>
  <si>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</si>
  <si>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</si>
  <si>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</si>
  <si>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</si>
  <si>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</si>
  <si>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</si>
  <si>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</si>
  <si>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</si>
  <si>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</si>
  <si>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</si>
  <si>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</si>
  <si>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</si>
  <si>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</si>
  <si>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</si>
  <si>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</si>
  <si>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</si>
  <si>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</si>
  <si>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</si>
  <si>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</si>
  <si>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</si>
  <si>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</si>
  <si>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</si>
  <si>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</si>
  <si>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</si>
  <si>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</si>
  <si>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</si>
  <si>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</si>
  <si>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</si>
  <si>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</si>
  <si>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</si>
  <si>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</si>
  <si>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</si>
  <si>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</si>
  <si>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</si>
  <si>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</si>
  <si>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</si>
  <si>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</si>
  <si>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</si>
  <si>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</si>
  <si>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</si>
  <si>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</si>
  <si>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</si>
  <si>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</si>
  <si>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</si>
  <si>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</si>
  <si>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</si>
  <si>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</si>
  <si>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</si>
  <si>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</si>
  <si>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</si>
  <si>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</si>
  <si>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</si>
  <si>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</si>
  <si>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</si>
  <si>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</si>
  <si>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</si>
  <si>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</si>
  <si>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</si>
  <si>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</si>
  <si>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</si>
  <si>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</si>
  <si>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</si>
  <si>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</si>
  <si>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</si>
  <si>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</si>
  <si>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</si>
  <si>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</si>
  <si>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</si>
  <si>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</si>
  <si>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</si>
  <si>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</si>
  <si>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</si>
  <si>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</si>
  <si>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</si>
  <si>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</si>
  <si>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</si>
  <si>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</si>
  <si>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</si>
  <si>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</si>
  <si>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</si>
  <si>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</si>
  <si>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</si>
  <si>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</si>
  <si>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</si>
  <si>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James Moore</t>
  </si>
  <si>
    <t>Jamie Kershaw</t>
  </si>
  <si>
    <t>Austin Smith</t>
  </si>
  <si>
    <t>Nik Kershaw</t>
  </si>
  <si>
    <t>Dale Norris</t>
  </si>
  <si>
    <t>Adrian Killworth</t>
  </si>
  <si>
    <t>Paul White</t>
  </si>
  <si>
    <t>Evan Collett</t>
  </si>
  <si>
    <t>Gary Ashwell</t>
  </si>
  <si>
    <t>Stuart Haycox</t>
  </si>
  <si>
    <t>Roger Kockelbergh</t>
  </si>
  <si>
    <t>Miles Marr</t>
  </si>
  <si>
    <t>John Abbott</t>
  </si>
  <si>
    <t>Milly Pinnock</t>
  </si>
  <si>
    <t>Laoise Bennis</t>
  </si>
  <si>
    <t>Charlie Hardwicke</t>
  </si>
  <si>
    <t>Simon Ward</t>
  </si>
  <si>
    <t>Mea Moore</t>
  </si>
  <si>
    <t>Vic Barnett</t>
  </si>
  <si>
    <t>Sophie Ward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</si>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</sst>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4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3" fillId="0" borderId="0"/>
  </cellStyleXfs>
  <cellXfs count="47">
    <xf numFmtId="0" fontId="0" fillId="0" borderId="0" xfId="0"/>
    <xf numFmtId="14" fontId="0" fillId="0" borderId="0" xfId="0" applyNumberFormat="1"/>
    <xf numFmtId="16" fontId="6" fillId="2" borderId="0" xfId="2" applyNumberFormat="1" applyFont="1" applyFill="1" applyAlignment="1">
      <alignment horizontal="center"/>
    </xf>
    <xf numFmtId="0" fontId="6" fillId="2" borderId="0" xfId="2" applyFont="1" applyFill="1" applyAlignment="1">
      <alignment horizontal="center"/>
    </xf>
    <xf numFmtId="16" fontId="6" fillId="2" borderId="0" xfId="2" applyNumberFormat="1" applyFont="1" applyFill="1"/>
    <xf numFmtId="0" fontId="6" fillId="2" borderId="0" xfId="2" applyFont="1" applyFill="1"/>
    <xf numFmtId="0" fontId="6" fillId="2" borderId="0" xfId="3" applyFont="1" applyFill="1" applyAlignment="1">
      <alignment horizontal="center" vertical="center" wrapText="1"/>
    </xf>
    <xf numFmtId="0" fontId="5" fillId="0" borderId="0" xfId="2" applyAlignment="1">
      <alignment horizontal="center"/>
    </xf>
    <xf numFmtId="0" fontId="5" fillId="0" borderId="0" xfId="2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4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5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0" borderId="6" xfId="0" applyFont="1" applyBorder="1" applyAlignment="1">
      <alignment horizontal="left"/>
    </xf>
    <xf numFmtId="166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5" fillId="0" borderId="0" xfId="3" applyAlignment="1">
      <alignment horizontal="center"/>
    </xf>
    <xf numFmtId="14" fontId="5" fillId="0" borderId="0" xfId="0" applyNumberFormat="1" applyFont="1"/>
    <xf numFmtId="0" fontId="0" fillId="0" borderId="0" xfId="0" applyAlignment="1">
      <alignment horizontal="center"/>
    </xf>
    <xf numFmtId="0" fontId="9" fillId="7" borderId="6" xfId="0" applyFont="1" applyFill="1" applyBorder="1" applyAlignment="1">
      <alignment horizontal="center"/>
    </xf>
    <xf numFmtId="164" fontId="9" fillId="7" borderId="6" xfId="0" applyNumberFormat="1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6" fillId="2" borderId="0" xfId="2" applyNumberFormat="1" applyFont="1" applyFill="1"/>
    <xf numFmtId="167" fontId="5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9" fillId="0" borderId="6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0" fillId="0" borderId="0" xfId="0" quotePrefix="1"/>
    <xf numFmtId="0" fontId="2" fillId="0" borderId="0" xfId="0" applyFont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7"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148</v>
      </c>
    </row>
    <row r="3" spans="1:3" x14ac:dyDescent="0.35">
      <c r="C3" t="s">
        <v>149</v>
      </c>
    </row>
    <row r="4" spans="1:3" x14ac:dyDescent="0.35">
      <c r="C4" t="s">
        <v>150</v>
      </c>
    </row>
    <row r="5" spans="1:3" x14ac:dyDescent="0.35">
      <c r="C5" t="s">
        <v>151</v>
      </c>
    </row>
    <row r="6" spans="1:3" x14ac:dyDescent="0.35">
      <c r="C6" t="s">
        <v>152</v>
      </c>
    </row>
    <row r="7" spans="1:3" x14ac:dyDescent="0.35">
      <c r="A7" s="1">
        <v>45954</v>
      </c>
      <c r="B7" s="1" t="s">
        <v>0</v>
      </c>
      <c r="C7" t="s">
        <v>442</v>
      </c>
    </row>
    <row r="8" spans="1:3" x14ac:dyDescent="0.35">
      <c r="A8" s="1">
        <v>46026</v>
      </c>
      <c r="B8" s="1" t="s">
        <v>0</v>
      </c>
      <c r="C8" t="s">
        <v>476</v>
      </c>
    </row>
    <row r="9" spans="1:3" x14ac:dyDescent="0.35">
      <c r="C9" t="s">
        <v>477</v>
      </c>
    </row>
    <row r="10" spans="1:3" x14ac:dyDescent="0.35">
      <c r="A10" s="1">
        <v>46046</v>
      </c>
      <c r="B10" s="1" t="s">
        <v>0</v>
      </c>
      <c r="C10" t="s">
        <v>479</v>
      </c>
    </row>
    <row r="11" spans="1:3" x14ac:dyDescent="0.35">
      <c r="C11" s="44" t="s">
        <v>480</v>
      </c>
    </row>
    <row r="12" spans="1:3" x14ac:dyDescent="0.35">
      <c r="C12" t="s">
        <v>481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abSelected="1" zoomScaleNormal="100" workbookViewId="0">
      <selection activeCell="J18" sqref="J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9.796875" bestFit="1" customWidth="1"/>
    <col min="10" max="10" width="9.9296875" bestFit="1" customWidth="1"/>
  </cols>
  <sheetData>
    <row r="1" spans="1:10" x14ac:dyDescent="0.35">
      <c r="A1" t="s">
        <v>161</v>
      </c>
      <c r="B1" t="s">
        <v>26</v>
      </c>
      <c r="C1" t="s">
        <v>162</v>
      </c>
      <c r="D1" t="s">
        <v>160</v>
      </c>
      <c r="E1" t="s">
        <v>159</v>
      </c>
      <c r="F1" t="s">
        <v>460</v>
      </c>
      <c r="G1" t="s">
        <v>461</v>
      </c>
      <c r="H1" t="s">
        <v>403</v>
      </c>
    </row>
    <row r="2" spans="1:10" x14ac:dyDescent="0.35">
      <c r="A2">
        <v>1237</v>
      </c>
      <c r="B2" t="s">
        <v>27</v>
      </c>
      <c r="C2" t="s">
        <v>28</v>
      </c>
      <c r="D2" t="s">
        <v>38</v>
      </c>
      <c r="E2" t="b">
        <v>0</v>
      </c>
      <c r="F2" t="s">
        <v>462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27</v>
      </c>
      <c r="C3" t="s">
        <v>29</v>
      </c>
      <c r="D3" t="s">
        <v>38</v>
      </c>
      <c r="E3" t="b">
        <v>0</v>
      </c>
      <c r="F3" t="s">
        <v>463</v>
      </c>
      <c r="H3" s="1">
        <v>46000</v>
      </c>
      <c r="J3" s="1"/>
    </row>
    <row r="4" spans="1:10" x14ac:dyDescent="0.35">
      <c r="A4">
        <v>1197</v>
      </c>
      <c r="B4" t="s">
        <v>30</v>
      </c>
      <c r="C4" t="s">
        <v>31</v>
      </c>
      <c r="D4" t="s">
        <v>38</v>
      </c>
      <c r="E4" t="b">
        <v>0</v>
      </c>
      <c r="F4" t="s">
        <v>462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32</v>
      </c>
      <c r="C5" t="s">
        <v>33</v>
      </c>
      <c r="D5" t="s">
        <v>38</v>
      </c>
      <c r="E5" t="b">
        <v>1</v>
      </c>
      <c r="F5" t="s">
        <v>463</v>
      </c>
      <c r="H5" s="1">
        <v>46000</v>
      </c>
      <c r="J5" s="1"/>
    </row>
    <row r="6" spans="1:10" x14ac:dyDescent="0.35">
      <c r="A6">
        <v>819</v>
      </c>
      <c r="B6" t="s">
        <v>34</v>
      </c>
      <c r="C6" t="s">
        <v>35</v>
      </c>
      <c r="D6" t="s">
        <v>38</v>
      </c>
      <c r="E6" t="b">
        <v>1</v>
      </c>
      <c r="F6" t="s">
        <v>462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36</v>
      </c>
      <c r="C7" t="s">
        <v>37</v>
      </c>
      <c r="D7" t="s">
        <v>38</v>
      </c>
      <c r="E7" t="b">
        <v>0</v>
      </c>
      <c r="F7" t="s">
        <v>462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39</v>
      </c>
      <c r="C8" t="s">
        <v>40</v>
      </c>
      <c r="D8" t="s">
        <v>38</v>
      </c>
      <c r="E8" t="b">
        <v>0</v>
      </c>
      <c r="F8" t="s">
        <v>462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41</v>
      </c>
      <c r="C9" t="s">
        <v>40</v>
      </c>
      <c r="D9" t="s">
        <v>38</v>
      </c>
      <c r="E9" t="b">
        <v>0</v>
      </c>
      <c r="F9" t="s">
        <v>462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41</v>
      </c>
      <c r="C10" t="s">
        <v>42</v>
      </c>
      <c r="D10" t="s">
        <v>38</v>
      </c>
      <c r="E10" t="b">
        <v>0</v>
      </c>
      <c r="F10" t="s">
        <v>463</v>
      </c>
      <c r="H10" s="1">
        <v>46000</v>
      </c>
      <c r="J10" s="1"/>
    </row>
    <row r="11" spans="1:10" x14ac:dyDescent="0.35">
      <c r="A11">
        <v>1153</v>
      </c>
      <c r="B11" t="s">
        <v>43</v>
      </c>
      <c r="C11" t="s">
        <v>44</v>
      </c>
      <c r="D11" t="s">
        <v>38</v>
      </c>
      <c r="E11" t="b">
        <v>0</v>
      </c>
      <c r="F11" t="s">
        <v>463</v>
      </c>
      <c r="H11" s="1">
        <v>46000</v>
      </c>
      <c r="J11" s="1"/>
    </row>
    <row r="12" spans="1:10" x14ac:dyDescent="0.35">
      <c r="A12">
        <v>1372</v>
      </c>
      <c r="B12" t="s">
        <v>45</v>
      </c>
      <c r="C12" t="s">
        <v>158</v>
      </c>
      <c r="D12" t="s">
        <v>38</v>
      </c>
      <c r="E12" t="b">
        <v>0</v>
      </c>
      <c r="F12" t="s">
        <v>463</v>
      </c>
      <c r="H12" s="1">
        <v>46000</v>
      </c>
      <c r="J12" s="1"/>
    </row>
    <row r="13" spans="1:10" x14ac:dyDescent="0.35">
      <c r="A13">
        <v>1112</v>
      </c>
      <c r="B13" t="s">
        <v>46</v>
      </c>
      <c r="C13" t="s">
        <v>47</v>
      </c>
      <c r="D13" t="s">
        <v>38</v>
      </c>
      <c r="E13" t="b">
        <v>0</v>
      </c>
      <c r="F13" t="s">
        <v>462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48</v>
      </c>
      <c r="C14" t="s">
        <v>49</v>
      </c>
      <c r="D14" t="s">
        <v>38</v>
      </c>
      <c r="E14" t="b">
        <v>0</v>
      </c>
      <c r="F14" t="s">
        <v>462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50</v>
      </c>
      <c r="C15" t="s">
        <v>51</v>
      </c>
      <c r="D15" t="s">
        <v>38</v>
      </c>
      <c r="E15" t="b">
        <v>0</v>
      </c>
      <c r="F15" t="s">
        <v>464</v>
      </c>
      <c r="H15" s="1">
        <v>46000</v>
      </c>
      <c r="J15" s="1"/>
    </row>
    <row r="16" spans="1:10" x14ac:dyDescent="0.35">
      <c r="A16">
        <v>1328</v>
      </c>
      <c r="B16" t="s">
        <v>157</v>
      </c>
      <c r="C16" t="s">
        <v>52</v>
      </c>
      <c r="D16" t="s">
        <v>38</v>
      </c>
      <c r="E16" t="b">
        <v>0</v>
      </c>
      <c r="F16" t="s">
        <v>462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53</v>
      </c>
      <c r="C17" t="s">
        <v>54</v>
      </c>
      <c r="D17" t="s">
        <v>38</v>
      </c>
      <c r="E17" t="b">
        <v>0</v>
      </c>
      <c r="F17" t="s">
        <v>462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53</v>
      </c>
      <c r="C18" t="s">
        <v>55</v>
      </c>
      <c r="D18" t="s">
        <v>56</v>
      </c>
      <c r="E18" t="b">
        <v>0</v>
      </c>
      <c r="F18" t="s">
        <v>462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53</v>
      </c>
      <c r="C19" t="s">
        <v>57</v>
      </c>
      <c r="D19" t="s">
        <v>56</v>
      </c>
      <c r="E19" t="b">
        <v>0</v>
      </c>
      <c r="F19" t="s">
        <v>462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58</v>
      </c>
      <c r="C20" t="s">
        <v>59</v>
      </c>
      <c r="D20" t="s">
        <v>38</v>
      </c>
      <c r="E20" t="b">
        <v>0</v>
      </c>
      <c r="F20" t="s">
        <v>462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60</v>
      </c>
      <c r="C21" t="s">
        <v>61</v>
      </c>
      <c r="D21" t="s">
        <v>155</v>
      </c>
      <c r="E21" t="b">
        <v>1</v>
      </c>
      <c r="F21" t="s">
        <v>463</v>
      </c>
      <c r="H21" s="1">
        <v>46000</v>
      </c>
      <c r="J21" s="1"/>
    </row>
    <row r="22" spans="1:10" x14ac:dyDescent="0.35">
      <c r="A22">
        <v>1275</v>
      </c>
      <c r="B22" t="s">
        <v>60</v>
      </c>
      <c r="C22" t="s">
        <v>62</v>
      </c>
      <c r="D22" t="s">
        <v>38</v>
      </c>
      <c r="E22" t="b">
        <v>1</v>
      </c>
      <c r="F22" t="s">
        <v>464</v>
      </c>
      <c r="H22" s="1">
        <v>46000</v>
      </c>
      <c r="J22" s="1"/>
    </row>
    <row r="23" spans="1:10" x14ac:dyDescent="0.35">
      <c r="A23">
        <v>68</v>
      </c>
      <c r="B23" t="s">
        <v>63</v>
      </c>
      <c r="C23" t="s">
        <v>64</v>
      </c>
      <c r="D23" t="s">
        <v>56</v>
      </c>
      <c r="E23" t="b">
        <v>0</v>
      </c>
      <c r="F23" t="s">
        <v>462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156</v>
      </c>
      <c r="C24" t="s">
        <v>65</v>
      </c>
      <c r="D24" t="s">
        <v>38</v>
      </c>
      <c r="E24" t="b">
        <v>0</v>
      </c>
      <c r="F24" t="s">
        <v>462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66</v>
      </c>
      <c r="C25" t="s">
        <v>67</v>
      </c>
      <c r="D25" t="s">
        <v>38</v>
      </c>
      <c r="E25" t="b">
        <v>1</v>
      </c>
      <c r="F25" t="s">
        <v>463</v>
      </c>
      <c r="H25" s="1">
        <v>46000</v>
      </c>
      <c r="J25" s="1"/>
    </row>
    <row r="26" spans="1:10" x14ac:dyDescent="0.35">
      <c r="A26">
        <v>10</v>
      </c>
      <c r="B26" t="s">
        <v>68</v>
      </c>
      <c r="C26" t="s">
        <v>69</v>
      </c>
      <c r="D26" t="s">
        <v>56</v>
      </c>
      <c r="E26" t="b">
        <v>0</v>
      </c>
      <c r="F26" t="s">
        <v>462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68</v>
      </c>
      <c r="C27" t="s">
        <v>70</v>
      </c>
      <c r="D27" t="s">
        <v>38</v>
      </c>
      <c r="E27" t="b">
        <v>1</v>
      </c>
      <c r="F27" t="s">
        <v>462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71</v>
      </c>
      <c r="C28" t="s">
        <v>72</v>
      </c>
      <c r="D28" t="s">
        <v>38</v>
      </c>
      <c r="E28" t="b">
        <v>0</v>
      </c>
      <c r="F28" t="s">
        <v>462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73</v>
      </c>
      <c r="C29" t="s">
        <v>74</v>
      </c>
      <c r="D29" t="s">
        <v>38</v>
      </c>
      <c r="E29" t="b">
        <v>0</v>
      </c>
      <c r="F29" t="s">
        <v>462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75</v>
      </c>
      <c r="C30" t="s">
        <v>76</v>
      </c>
      <c r="D30" t="s">
        <v>38</v>
      </c>
      <c r="E30" t="b">
        <v>0</v>
      </c>
      <c r="F30" t="s">
        <v>462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77</v>
      </c>
      <c r="C31" t="s">
        <v>59</v>
      </c>
      <c r="D31" t="s">
        <v>38</v>
      </c>
      <c r="E31" t="b">
        <v>0</v>
      </c>
      <c r="F31" t="s">
        <v>462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78</v>
      </c>
      <c r="C32" t="s">
        <v>79</v>
      </c>
      <c r="D32" t="s">
        <v>38</v>
      </c>
      <c r="E32" t="b">
        <v>1</v>
      </c>
      <c r="F32" t="s">
        <v>462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80</v>
      </c>
      <c r="C33" t="s">
        <v>59</v>
      </c>
      <c r="D33" t="s">
        <v>38</v>
      </c>
      <c r="E33" t="b">
        <v>0</v>
      </c>
      <c r="F33" t="s">
        <v>462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81</v>
      </c>
      <c r="C34" t="s">
        <v>82</v>
      </c>
      <c r="D34" t="s">
        <v>38</v>
      </c>
      <c r="E34" t="b">
        <v>0</v>
      </c>
      <c r="F34" t="s">
        <v>464</v>
      </c>
      <c r="H34" s="1">
        <v>46000</v>
      </c>
      <c r="J34" s="1"/>
    </row>
    <row r="35" spans="1:10" x14ac:dyDescent="0.35">
      <c r="A35">
        <v>1189</v>
      </c>
      <c r="B35" t="s">
        <v>81</v>
      </c>
      <c r="C35" t="s">
        <v>83</v>
      </c>
      <c r="D35" t="s">
        <v>38</v>
      </c>
      <c r="E35" t="b">
        <v>0</v>
      </c>
      <c r="F35" t="s">
        <v>464</v>
      </c>
      <c r="H35" s="1">
        <v>46000</v>
      </c>
      <c r="J35" s="1"/>
    </row>
    <row r="36" spans="1:10" x14ac:dyDescent="0.35">
      <c r="A36">
        <v>735</v>
      </c>
      <c r="B36" t="s">
        <v>81</v>
      </c>
      <c r="C36" t="s">
        <v>84</v>
      </c>
      <c r="D36" t="s">
        <v>155</v>
      </c>
      <c r="E36" t="b">
        <v>0</v>
      </c>
      <c r="F36" t="s">
        <v>463</v>
      </c>
      <c r="H36" s="1">
        <v>46000</v>
      </c>
      <c r="J36" s="1"/>
    </row>
    <row r="37" spans="1:10" x14ac:dyDescent="0.35">
      <c r="A37">
        <v>1319</v>
      </c>
      <c r="B37" t="s">
        <v>85</v>
      </c>
      <c r="C37" t="s">
        <v>37</v>
      </c>
      <c r="D37" t="s">
        <v>38</v>
      </c>
      <c r="E37" t="b">
        <v>0</v>
      </c>
      <c r="F37" t="s">
        <v>462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154</v>
      </c>
      <c r="C38" t="s">
        <v>153</v>
      </c>
      <c r="D38" t="s">
        <v>38</v>
      </c>
      <c r="E38" t="b">
        <v>0</v>
      </c>
      <c r="F38" t="s">
        <v>463</v>
      </c>
      <c r="H38" s="1">
        <v>46000</v>
      </c>
      <c r="J38" s="1"/>
    </row>
    <row r="39" spans="1:10" x14ac:dyDescent="0.35">
      <c r="A39">
        <v>1291</v>
      </c>
      <c r="B39" t="s">
        <v>86</v>
      </c>
      <c r="C39" t="s">
        <v>87</v>
      </c>
      <c r="D39" t="s">
        <v>38</v>
      </c>
      <c r="E39" t="b">
        <v>0</v>
      </c>
      <c r="F39" t="s">
        <v>462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88</v>
      </c>
      <c r="C40" t="s">
        <v>89</v>
      </c>
      <c r="D40" t="s">
        <v>38</v>
      </c>
      <c r="E40" t="b">
        <v>1</v>
      </c>
      <c r="F40" t="s">
        <v>462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88</v>
      </c>
      <c r="C41" t="s">
        <v>74</v>
      </c>
      <c r="D41" t="s">
        <v>38</v>
      </c>
      <c r="E41" t="b">
        <v>0</v>
      </c>
      <c r="F41" t="s">
        <v>462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90</v>
      </c>
      <c r="C42" t="s">
        <v>37</v>
      </c>
      <c r="D42" t="s">
        <v>38</v>
      </c>
      <c r="E42" t="b">
        <v>0</v>
      </c>
      <c r="F42" t="s">
        <v>462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91</v>
      </c>
      <c r="C43" t="s">
        <v>31</v>
      </c>
      <c r="D43" t="s">
        <v>38</v>
      </c>
      <c r="E43" t="b">
        <v>0</v>
      </c>
      <c r="F43" t="s">
        <v>462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91</v>
      </c>
      <c r="C44" t="s">
        <v>165</v>
      </c>
      <c r="D44" t="s">
        <v>38</v>
      </c>
      <c r="E44" t="b">
        <v>0</v>
      </c>
      <c r="F44" t="s">
        <v>462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166</v>
      </c>
      <c r="C45" t="s">
        <v>167</v>
      </c>
      <c r="D45" t="s">
        <v>155</v>
      </c>
      <c r="E45" t="b">
        <v>1</v>
      </c>
      <c r="F45" t="s">
        <v>462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168</v>
      </c>
      <c r="C46" t="s">
        <v>169</v>
      </c>
      <c r="D46" t="s">
        <v>38</v>
      </c>
      <c r="E46" t="b">
        <v>0</v>
      </c>
      <c r="F46" t="s">
        <v>464</v>
      </c>
      <c r="H46" s="1">
        <v>46000</v>
      </c>
      <c r="J46" s="1"/>
    </row>
    <row r="47" spans="1:10" x14ac:dyDescent="0.35">
      <c r="A47">
        <v>1061</v>
      </c>
      <c r="B47" t="s">
        <v>170</v>
      </c>
      <c r="C47" t="s">
        <v>171</v>
      </c>
      <c r="D47" t="s">
        <v>38</v>
      </c>
      <c r="E47" t="b">
        <v>0</v>
      </c>
      <c r="F47" t="s">
        <v>462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172</v>
      </c>
      <c r="C48" t="s">
        <v>65</v>
      </c>
      <c r="D48" t="s">
        <v>38</v>
      </c>
      <c r="E48" t="b">
        <v>0</v>
      </c>
      <c r="F48" t="s">
        <v>462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173</v>
      </c>
      <c r="C49" t="s">
        <v>174</v>
      </c>
      <c r="D49" t="s">
        <v>38</v>
      </c>
      <c r="E49" t="b">
        <v>1</v>
      </c>
      <c r="F49" t="s">
        <v>462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175</v>
      </c>
      <c r="C50" t="s">
        <v>176</v>
      </c>
      <c r="D50" t="s">
        <v>38</v>
      </c>
      <c r="E50" t="b">
        <v>0</v>
      </c>
      <c r="F50" t="s">
        <v>462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177</v>
      </c>
      <c r="C51" t="s">
        <v>178</v>
      </c>
      <c r="D51" t="s">
        <v>38</v>
      </c>
      <c r="E51" t="b">
        <v>0</v>
      </c>
      <c r="F51" t="s">
        <v>462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179</v>
      </c>
      <c r="C52" t="s">
        <v>180</v>
      </c>
      <c r="D52" t="s">
        <v>38</v>
      </c>
      <c r="E52" t="b">
        <v>1</v>
      </c>
      <c r="F52" t="s">
        <v>463</v>
      </c>
      <c r="H52" s="1">
        <v>46000</v>
      </c>
      <c r="J52" s="1"/>
    </row>
    <row r="53" spans="1:10" x14ac:dyDescent="0.35">
      <c r="A53">
        <v>704</v>
      </c>
      <c r="B53" t="s">
        <v>181</v>
      </c>
      <c r="C53" t="s">
        <v>44</v>
      </c>
      <c r="D53" t="s">
        <v>38</v>
      </c>
      <c r="E53" t="b">
        <v>0</v>
      </c>
      <c r="F53" t="s">
        <v>462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182</v>
      </c>
      <c r="C54" t="s">
        <v>183</v>
      </c>
      <c r="D54" t="s">
        <v>38</v>
      </c>
      <c r="E54" t="b">
        <v>0</v>
      </c>
      <c r="F54" t="s">
        <v>462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184</v>
      </c>
      <c r="C55" t="s">
        <v>185</v>
      </c>
      <c r="D55" t="s">
        <v>38</v>
      </c>
      <c r="E55" t="b">
        <v>0</v>
      </c>
      <c r="F55" t="s">
        <v>462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186</v>
      </c>
      <c r="C56" t="s">
        <v>72</v>
      </c>
      <c r="D56" t="s">
        <v>38</v>
      </c>
      <c r="E56" t="b">
        <v>0</v>
      </c>
      <c r="F56" t="s">
        <v>463</v>
      </c>
      <c r="H56" s="1">
        <v>46000</v>
      </c>
      <c r="J56" s="1"/>
    </row>
    <row r="57" spans="1:10" x14ac:dyDescent="0.35">
      <c r="A57">
        <v>1226</v>
      </c>
      <c r="B57" t="s">
        <v>187</v>
      </c>
      <c r="C57" t="s">
        <v>188</v>
      </c>
      <c r="D57" t="s">
        <v>38</v>
      </c>
      <c r="E57" t="b">
        <v>1</v>
      </c>
      <c r="F57" t="s">
        <v>463</v>
      </c>
      <c r="H57" s="1">
        <v>46000</v>
      </c>
      <c r="J57" s="1"/>
    </row>
    <row r="58" spans="1:10" x14ac:dyDescent="0.35">
      <c r="A58">
        <v>1333</v>
      </c>
      <c r="B58" t="s">
        <v>189</v>
      </c>
      <c r="C58" t="s">
        <v>190</v>
      </c>
      <c r="D58" t="s">
        <v>38</v>
      </c>
      <c r="E58" t="b">
        <v>0</v>
      </c>
      <c r="F58" t="s">
        <v>462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191</v>
      </c>
      <c r="C59" t="s">
        <v>192</v>
      </c>
      <c r="D59" t="s">
        <v>38</v>
      </c>
      <c r="E59" t="b">
        <v>1</v>
      </c>
      <c r="F59" t="s">
        <v>464</v>
      </c>
      <c r="H59" s="1">
        <v>46000</v>
      </c>
      <c r="J59" s="1"/>
    </row>
    <row r="60" spans="1:10" x14ac:dyDescent="0.35">
      <c r="A60">
        <v>1065</v>
      </c>
      <c r="B60" t="s">
        <v>191</v>
      </c>
      <c r="C60" t="s">
        <v>49</v>
      </c>
      <c r="D60" t="s">
        <v>38</v>
      </c>
      <c r="E60" t="b">
        <v>0</v>
      </c>
      <c r="F60" t="s">
        <v>462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193</v>
      </c>
      <c r="C61" t="s">
        <v>190</v>
      </c>
      <c r="D61" t="s">
        <v>155</v>
      </c>
      <c r="E61" t="b">
        <v>0</v>
      </c>
      <c r="F61" t="s">
        <v>462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194</v>
      </c>
      <c r="C62" t="s">
        <v>195</v>
      </c>
      <c r="D62" t="s">
        <v>38</v>
      </c>
      <c r="E62" t="b">
        <v>0</v>
      </c>
      <c r="F62" t="s">
        <v>462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196</v>
      </c>
      <c r="C63" t="s">
        <v>45</v>
      </c>
      <c r="D63" t="s">
        <v>155</v>
      </c>
      <c r="E63" t="b">
        <v>0</v>
      </c>
      <c r="F63" t="s">
        <v>462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197</v>
      </c>
      <c r="C64" t="s">
        <v>198</v>
      </c>
      <c r="D64" t="s">
        <v>38</v>
      </c>
      <c r="E64" t="b">
        <v>0</v>
      </c>
      <c r="F64" t="s">
        <v>464</v>
      </c>
      <c r="H64" s="1">
        <v>46000</v>
      </c>
      <c r="J64" s="1"/>
    </row>
    <row r="65" spans="1:10" x14ac:dyDescent="0.35">
      <c r="A65">
        <v>1236</v>
      </c>
      <c r="B65" t="s">
        <v>197</v>
      </c>
      <c r="C65" t="s">
        <v>199</v>
      </c>
      <c r="D65" t="s">
        <v>38</v>
      </c>
      <c r="E65" t="b">
        <v>1</v>
      </c>
      <c r="F65" t="s">
        <v>462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197</v>
      </c>
      <c r="C66" t="s">
        <v>200</v>
      </c>
      <c r="D66" t="s">
        <v>38</v>
      </c>
      <c r="E66" t="b">
        <v>0</v>
      </c>
      <c r="F66" t="s">
        <v>462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201</v>
      </c>
      <c r="C67" t="s">
        <v>202</v>
      </c>
      <c r="D67" t="s">
        <v>155</v>
      </c>
      <c r="E67" t="b">
        <v>0</v>
      </c>
      <c r="F67" t="s">
        <v>462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203</v>
      </c>
      <c r="C68" t="s">
        <v>204</v>
      </c>
      <c r="D68" t="s">
        <v>38</v>
      </c>
      <c r="E68" t="b">
        <v>0</v>
      </c>
      <c r="F68" t="s">
        <v>463</v>
      </c>
      <c r="H68" s="1">
        <v>46000</v>
      </c>
      <c r="J68" s="1"/>
    </row>
    <row r="69" spans="1:10" x14ac:dyDescent="0.35">
      <c r="A69">
        <v>1332</v>
      </c>
      <c r="B69" t="s">
        <v>205</v>
      </c>
      <c r="C69" t="s">
        <v>206</v>
      </c>
      <c r="D69" t="s">
        <v>38</v>
      </c>
      <c r="E69" t="b">
        <v>1</v>
      </c>
      <c r="F69" t="s">
        <v>463</v>
      </c>
      <c r="H69" s="1">
        <v>46000</v>
      </c>
      <c r="J69" s="1"/>
    </row>
    <row r="70" spans="1:10" x14ac:dyDescent="0.35">
      <c r="A70">
        <v>1355</v>
      </c>
      <c r="B70" t="s">
        <v>207</v>
      </c>
      <c r="C70" t="s">
        <v>208</v>
      </c>
      <c r="D70" t="s">
        <v>38</v>
      </c>
      <c r="E70" t="b">
        <v>0</v>
      </c>
      <c r="F70" t="s">
        <v>464</v>
      </c>
      <c r="H70" s="1">
        <v>46000</v>
      </c>
      <c r="J70" s="1"/>
    </row>
    <row r="71" spans="1:10" x14ac:dyDescent="0.35">
      <c r="A71">
        <v>1164</v>
      </c>
      <c r="B71" t="s">
        <v>209</v>
      </c>
      <c r="C71" t="s">
        <v>210</v>
      </c>
      <c r="D71" t="s">
        <v>155</v>
      </c>
      <c r="E71" t="b">
        <v>1</v>
      </c>
      <c r="F71" t="s">
        <v>463</v>
      </c>
      <c r="H71" s="1">
        <v>46000</v>
      </c>
      <c r="J71" s="1"/>
    </row>
    <row r="72" spans="1:10" x14ac:dyDescent="0.35">
      <c r="A72">
        <v>1062</v>
      </c>
      <c r="B72" t="s">
        <v>209</v>
      </c>
      <c r="C72" t="s">
        <v>74</v>
      </c>
      <c r="D72" t="s">
        <v>38</v>
      </c>
      <c r="E72" t="b">
        <v>0</v>
      </c>
      <c r="F72" t="s">
        <v>462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209</v>
      </c>
      <c r="C73" t="s">
        <v>211</v>
      </c>
      <c r="D73" t="s">
        <v>38</v>
      </c>
      <c r="E73" t="b">
        <v>1</v>
      </c>
      <c r="F73" t="s">
        <v>462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212</v>
      </c>
      <c r="C74" t="s">
        <v>213</v>
      </c>
      <c r="D74" t="s">
        <v>38</v>
      </c>
      <c r="E74" t="b">
        <v>1</v>
      </c>
      <c r="F74" t="s">
        <v>462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214</v>
      </c>
      <c r="C75" t="s">
        <v>215</v>
      </c>
      <c r="D75" t="s">
        <v>38</v>
      </c>
      <c r="E75" t="b">
        <v>1</v>
      </c>
      <c r="F75" t="s">
        <v>462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216</v>
      </c>
      <c r="C76" t="s">
        <v>217</v>
      </c>
      <c r="D76" t="s">
        <v>38</v>
      </c>
      <c r="E76" t="b">
        <v>0</v>
      </c>
      <c r="F76" t="s">
        <v>462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218</v>
      </c>
      <c r="C77" t="s">
        <v>219</v>
      </c>
      <c r="D77" t="s">
        <v>38</v>
      </c>
      <c r="E77" t="b">
        <v>1</v>
      </c>
      <c r="F77" t="s">
        <v>463</v>
      </c>
      <c r="H77" s="1">
        <v>46000</v>
      </c>
      <c r="J77" s="1"/>
    </row>
    <row r="78" spans="1:10" x14ac:dyDescent="0.35">
      <c r="A78">
        <v>933</v>
      </c>
      <c r="B78" t="s">
        <v>220</v>
      </c>
      <c r="C78" t="s">
        <v>221</v>
      </c>
      <c r="D78" t="s">
        <v>38</v>
      </c>
      <c r="E78" t="b">
        <v>0</v>
      </c>
      <c r="F78" t="s">
        <v>463</v>
      </c>
      <c r="H78" s="1">
        <v>46000</v>
      </c>
      <c r="J78" s="1"/>
    </row>
    <row r="79" spans="1:10" x14ac:dyDescent="0.35">
      <c r="A79">
        <v>1317</v>
      </c>
      <c r="B79" t="s">
        <v>222</v>
      </c>
      <c r="C79" t="s">
        <v>178</v>
      </c>
      <c r="D79" t="s">
        <v>38</v>
      </c>
      <c r="E79" t="b">
        <v>0</v>
      </c>
      <c r="F79" t="s">
        <v>462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223</v>
      </c>
      <c r="C80" t="s">
        <v>57</v>
      </c>
      <c r="D80" t="s">
        <v>56</v>
      </c>
      <c r="E80" t="b">
        <v>0</v>
      </c>
      <c r="F80" t="s">
        <v>462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224</v>
      </c>
      <c r="C81" t="s">
        <v>225</v>
      </c>
      <c r="D81" t="s">
        <v>38</v>
      </c>
      <c r="E81" t="b">
        <v>1</v>
      </c>
      <c r="F81" t="s">
        <v>462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226</v>
      </c>
      <c r="C82" t="s">
        <v>227</v>
      </c>
      <c r="D82" t="s">
        <v>38</v>
      </c>
      <c r="E82" t="b">
        <v>0</v>
      </c>
      <c r="F82" t="s">
        <v>462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228</v>
      </c>
      <c r="C83" t="s">
        <v>229</v>
      </c>
      <c r="D83" t="s">
        <v>38</v>
      </c>
      <c r="E83" t="b">
        <v>0</v>
      </c>
      <c r="F83" t="s">
        <v>464</v>
      </c>
      <c r="H83" s="1">
        <v>46000</v>
      </c>
      <c r="J83" s="1"/>
    </row>
    <row r="84" spans="1:10" x14ac:dyDescent="0.35">
      <c r="A84">
        <v>1195</v>
      </c>
      <c r="B84" t="s">
        <v>228</v>
      </c>
      <c r="C84" t="s">
        <v>230</v>
      </c>
      <c r="D84" t="s">
        <v>38</v>
      </c>
      <c r="E84" t="b">
        <v>0</v>
      </c>
      <c r="F84" t="s">
        <v>464</v>
      </c>
      <c r="H84" s="1">
        <v>46000</v>
      </c>
      <c r="J84" s="1"/>
    </row>
    <row r="85" spans="1:10" x14ac:dyDescent="0.35">
      <c r="A85">
        <v>1193</v>
      </c>
      <c r="B85" t="s">
        <v>228</v>
      </c>
      <c r="C85" t="s">
        <v>231</v>
      </c>
      <c r="D85" t="s">
        <v>38</v>
      </c>
      <c r="E85" t="b">
        <v>0</v>
      </c>
      <c r="F85" t="s">
        <v>463</v>
      </c>
      <c r="H85" s="1">
        <v>46000</v>
      </c>
      <c r="J85" s="1"/>
    </row>
    <row r="86" spans="1:10" x14ac:dyDescent="0.35">
      <c r="A86">
        <v>1194</v>
      </c>
      <c r="B86" t="s">
        <v>228</v>
      </c>
      <c r="C86" t="s">
        <v>232</v>
      </c>
      <c r="D86" t="s">
        <v>38</v>
      </c>
      <c r="E86" t="b">
        <v>1</v>
      </c>
      <c r="F86" t="s">
        <v>463</v>
      </c>
      <c r="H86" s="1">
        <v>46000</v>
      </c>
      <c r="J86" s="1"/>
    </row>
    <row r="87" spans="1:10" x14ac:dyDescent="0.35">
      <c r="A87">
        <v>936</v>
      </c>
      <c r="B87" t="s">
        <v>233</v>
      </c>
      <c r="C87" t="s">
        <v>234</v>
      </c>
      <c r="D87" t="s">
        <v>38</v>
      </c>
      <c r="E87" t="b">
        <v>0</v>
      </c>
      <c r="F87" t="s">
        <v>462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235</v>
      </c>
      <c r="C88" t="s">
        <v>236</v>
      </c>
      <c r="D88" t="s">
        <v>38</v>
      </c>
      <c r="E88" t="b">
        <v>0</v>
      </c>
      <c r="F88" t="s">
        <v>462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235</v>
      </c>
      <c r="C89" t="s">
        <v>237</v>
      </c>
      <c r="D89" t="s">
        <v>38</v>
      </c>
      <c r="E89" t="b">
        <v>0</v>
      </c>
      <c r="F89" t="s">
        <v>464</v>
      </c>
      <c r="H89" s="1">
        <v>46000</v>
      </c>
      <c r="J89" s="1"/>
    </row>
    <row r="90" spans="1:10" x14ac:dyDescent="0.35">
      <c r="A90">
        <v>1174</v>
      </c>
      <c r="B90" t="s">
        <v>235</v>
      </c>
      <c r="C90" t="s">
        <v>238</v>
      </c>
      <c r="D90" t="s">
        <v>38</v>
      </c>
      <c r="E90" t="b">
        <v>1</v>
      </c>
      <c r="F90" t="s">
        <v>462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235</v>
      </c>
      <c r="C91" t="s">
        <v>231</v>
      </c>
      <c r="D91" t="s">
        <v>38</v>
      </c>
      <c r="E91" t="b">
        <v>0</v>
      </c>
      <c r="F91" t="s">
        <v>462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239</v>
      </c>
      <c r="C92" t="s">
        <v>185</v>
      </c>
      <c r="D92" t="s">
        <v>38</v>
      </c>
      <c r="E92" t="b">
        <v>0</v>
      </c>
      <c r="F92" t="s">
        <v>463</v>
      </c>
      <c r="H92" s="1">
        <v>46000</v>
      </c>
      <c r="J92" s="1"/>
    </row>
    <row r="93" spans="1:10" x14ac:dyDescent="0.35">
      <c r="A93">
        <v>1073</v>
      </c>
      <c r="B93" t="s">
        <v>240</v>
      </c>
      <c r="C93" t="s">
        <v>231</v>
      </c>
      <c r="D93" t="s">
        <v>38</v>
      </c>
      <c r="E93" t="b">
        <v>0</v>
      </c>
      <c r="F93" t="s">
        <v>462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241</v>
      </c>
      <c r="C94" t="s">
        <v>242</v>
      </c>
      <c r="D94" t="s">
        <v>38</v>
      </c>
      <c r="E94" t="b">
        <v>0</v>
      </c>
      <c r="F94" t="s">
        <v>462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241</v>
      </c>
      <c r="C95" t="s">
        <v>243</v>
      </c>
      <c r="D95" t="s">
        <v>38</v>
      </c>
      <c r="E95" t="b">
        <v>1</v>
      </c>
      <c r="F95" t="s">
        <v>462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241</v>
      </c>
      <c r="C96" t="s">
        <v>244</v>
      </c>
      <c r="D96" t="s">
        <v>38</v>
      </c>
      <c r="E96" t="b">
        <v>1</v>
      </c>
      <c r="F96" t="s">
        <v>463</v>
      </c>
      <c r="H96" s="1">
        <v>46000</v>
      </c>
      <c r="J96" s="1"/>
    </row>
    <row r="97" spans="1:10" x14ac:dyDescent="0.35">
      <c r="A97">
        <v>1367</v>
      </c>
      <c r="B97" t="s">
        <v>241</v>
      </c>
      <c r="C97" t="s">
        <v>229</v>
      </c>
      <c r="D97" t="s">
        <v>38</v>
      </c>
      <c r="E97" t="b">
        <v>0</v>
      </c>
      <c r="F97" t="s">
        <v>464</v>
      </c>
      <c r="H97" s="1">
        <v>46000</v>
      </c>
      <c r="J97" s="1"/>
    </row>
    <row r="98" spans="1:10" x14ac:dyDescent="0.35">
      <c r="A98">
        <v>1387</v>
      </c>
      <c r="B98" t="s">
        <v>245</v>
      </c>
      <c r="C98" t="s">
        <v>246</v>
      </c>
      <c r="D98" t="s">
        <v>38</v>
      </c>
      <c r="E98" t="b">
        <v>1</v>
      </c>
      <c r="F98" t="s">
        <v>463</v>
      </c>
      <c r="H98" s="1">
        <v>46000</v>
      </c>
      <c r="J98" s="1"/>
    </row>
    <row r="99" spans="1:10" x14ac:dyDescent="0.35">
      <c r="A99">
        <v>1308</v>
      </c>
      <c r="B99" t="s">
        <v>247</v>
      </c>
      <c r="C99" t="s">
        <v>248</v>
      </c>
      <c r="D99" t="s">
        <v>38</v>
      </c>
      <c r="E99" t="b">
        <v>1</v>
      </c>
      <c r="F99" t="s">
        <v>462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249</v>
      </c>
      <c r="C100" t="s">
        <v>250</v>
      </c>
      <c r="D100" t="s">
        <v>38</v>
      </c>
      <c r="E100" t="b">
        <v>1</v>
      </c>
      <c r="F100" t="s">
        <v>462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249</v>
      </c>
      <c r="C101" t="s">
        <v>69</v>
      </c>
      <c r="D101" t="s">
        <v>38</v>
      </c>
      <c r="E101" t="b">
        <v>0</v>
      </c>
      <c r="F101" t="s">
        <v>462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251</v>
      </c>
      <c r="C102" t="s">
        <v>195</v>
      </c>
      <c r="D102" t="s">
        <v>38</v>
      </c>
      <c r="E102" t="b">
        <v>0</v>
      </c>
      <c r="F102" t="s">
        <v>462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252</v>
      </c>
      <c r="C103" t="s">
        <v>253</v>
      </c>
      <c r="D103" t="s">
        <v>38</v>
      </c>
      <c r="E103" t="b">
        <v>0</v>
      </c>
      <c r="F103" t="s">
        <v>462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254</v>
      </c>
      <c r="C104" t="s">
        <v>230</v>
      </c>
      <c r="D104" t="s">
        <v>38</v>
      </c>
      <c r="E104" t="b">
        <v>0</v>
      </c>
      <c r="F104" t="s">
        <v>462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254</v>
      </c>
      <c r="C105" t="s">
        <v>255</v>
      </c>
      <c r="D105" t="s">
        <v>38</v>
      </c>
      <c r="E105" t="b">
        <v>0</v>
      </c>
      <c r="F105" t="s">
        <v>463</v>
      </c>
      <c r="H105" s="1">
        <v>46000</v>
      </c>
      <c r="J105" s="1"/>
    </row>
    <row r="106" spans="1:10" x14ac:dyDescent="0.35">
      <c r="A106">
        <v>746</v>
      </c>
      <c r="B106" t="s">
        <v>256</v>
      </c>
      <c r="C106" t="s">
        <v>49</v>
      </c>
      <c r="D106" t="s">
        <v>38</v>
      </c>
      <c r="E106" t="b">
        <v>0</v>
      </c>
      <c r="F106" t="s">
        <v>462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257</v>
      </c>
      <c r="C107" t="s">
        <v>258</v>
      </c>
      <c r="D107" t="s">
        <v>38</v>
      </c>
      <c r="E107" t="b">
        <v>0</v>
      </c>
      <c r="F107" t="s">
        <v>462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259</v>
      </c>
      <c r="C108" t="s">
        <v>165</v>
      </c>
      <c r="D108" t="s">
        <v>38</v>
      </c>
      <c r="E108" t="b">
        <v>0</v>
      </c>
      <c r="F108" t="s">
        <v>462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260</v>
      </c>
      <c r="C109" t="s">
        <v>261</v>
      </c>
      <c r="D109" t="s">
        <v>38</v>
      </c>
      <c r="E109" t="b">
        <v>1</v>
      </c>
      <c r="F109" t="s">
        <v>462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262</v>
      </c>
      <c r="C110" t="s">
        <v>167</v>
      </c>
      <c r="D110" t="s">
        <v>38</v>
      </c>
      <c r="E110" t="b">
        <v>1</v>
      </c>
      <c r="F110" t="s">
        <v>462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263</v>
      </c>
      <c r="C111" t="s">
        <v>264</v>
      </c>
      <c r="D111" t="s">
        <v>38</v>
      </c>
      <c r="E111" t="b">
        <v>1</v>
      </c>
      <c r="F111" t="s">
        <v>463</v>
      </c>
      <c r="H111" s="1">
        <v>46000</v>
      </c>
      <c r="J111" s="1"/>
    </row>
    <row r="112" spans="1:10" x14ac:dyDescent="0.35">
      <c r="A112">
        <v>23</v>
      </c>
      <c r="B112" t="s">
        <v>265</v>
      </c>
      <c r="C112" t="s">
        <v>44</v>
      </c>
      <c r="D112" t="s">
        <v>38</v>
      </c>
      <c r="E112" t="b">
        <v>0</v>
      </c>
      <c r="F112" t="s">
        <v>462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266</v>
      </c>
      <c r="C113" t="s">
        <v>267</v>
      </c>
      <c r="D113" t="s">
        <v>155</v>
      </c>
      <c r="E113" t="b">
        <v>1</v>
      </c>
      <c r="F113" t="s">
        <v>465</v>
      </c>
      <c r="H113" s="1">
        <v>46000</v>
      </c>
      <c r="J113" s="1"/>
    </row>
    <row r="114" spans="1:10" x14ac:dyDescent="0.35">
      <c r="A114">
        <v>581</v>
      </c>
      <c r="B114" t="s">
        <v>268</v>
      </c>
      <c r="C114" t="s">
        <v>269</v>
      </c>
      <c r="D114" t="s">
        <v>38</v>
      </c>
      <c r="E114" t="b">
        <v>0</v>
      </c>
      <c r="F114" t="s">
        <v>462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270</v>
      </c>
      <c r="C115" t="s">
        <v>271</v>
      </c>
      <c r="D115" t="s">
        <v>38</v>
      </c>
      <c r="E115" t="b">
        <v>0</v>
      </c>
      <c r="F115" t="s">
        <v>463</v>
      </c>
      <c r="H115" s="1">
        <v>46000</v>
      </c>
      <c r="J115" s="1"/>
    </row>
    <row r="116" spans="1:10" x14ac:dyDescent="0.35">
      <c r="A116">
        <v>25</v>
      </c>
      <c r="B116" t="s">
        <v>29</v>
      </c>
      <c r="C116" t="s">
        <v>272</v>
      </c>
      <c r="D116" t="s">
        <v>38</v>
      </c>
      <c r="E116" t="b">
        <v>0</v>
      </c>
      <c r="F116" t="s">
        <v>462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273</v>
      </c>
      <c r="C117" t="s">
        <v>231</v>
      </c>
      <c r="D117" t="s">
        <v>155</v>
      </c>
      <c r="E117" t="b">
        <v>0</v>
      </c>
      <c r="F117" t="s">
        <v>463</v>
      </c>
      <c r="H117" s="1">
        <v>46000</v>
      </c>
      <c r="J117" s="1"/>
    </row>
    <row r="118" spans="1:10" x14ac:dyDescent="0.35">
      <c r="A118">
        <v>1144</v>
      </c>
      <c r="B118" t="s">
        <v>274</v>
      </c>
      <c r="C118" t="s">
        <v>275</v>
      </c>
      <c r="D118" t="s">
        <v>155</v>
      </c>
      <c r="E118" t="b">
        <v>0</v>
      </c>
      <c r="F118" t="s">
        <v>465</v>
      </c>
      <c r="H118" s="1">
        <v>46000</v>
      </c>
      <c r="J118" s="1"/>
    </row>
    <row r="119" spans="1:10" x14ac:dyDescent="0.35">
      <c r="A119">
        <v>415</v>
      </c>
      <c r="B119" t="s">
        <v>274</v>
      </c>
      <c r="C119" t="s">
        <v>276</v>
      </c>
      <c r="D119" t="s">
        <v>38</v>
      </c>
      <c r="E119" t="b">
        <v>0</v>
      </c>
      <c r="F119" t="s">
        <v>462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277</v>
      </c>
      <c r="C120" t="s">
        <v>278</v>
      </c>
      <c r="D120" t="s">
        <v>38</v>
      </c>
      <c r="E120" t="b">
        <v>0</v>
      </c>
      <c r="F120" t="s">
        <v>462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279</v>
      </c>
      <c r="C121" t="s">
        <v>176</v>
      </c>
      <c r="D121" t="s">
        <v>38</v>
      </c>
      <c r="E121" t="b">
        <v>0</v>
      </c>
      <c r="F121" t="s">
        <v>462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280</v>
      </c>
      <c r="C122" t="s">
        <v>281</v>
      </c>
      <c r="D122" t="s">
        <v>38</v>
      </c>
      <c r="E122" t="b">
        <v>1</v>
      </c>
      <c r="F122" t="s">
        <v>462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280</v>
      </c>
      <c r="C123" t="s">
        <v>234</v>
      </c>
      <c r="D123" t="s">
        <v>38</v>
      </c>
      <c r="E123" t="b">
        <v>0</v>
      </c>
      <c r="F123" t="s">
        <v>462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282</v>
      </c>
      <c r="C124" t="s">
        <v>283</v>
      </c>
      <c r="D124" t="s">
        <v>38</v>
      </c>
      <c r="E124" t="b">
        <v>0</v>
      </c>
      <c r="F124" t="s">
        <v>462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284</v>
      </c>
      <c r="C125" t="s">
        <v>231</v>
      </c>
      <c r="D125" t="s">
        <v>38</v>
      </c>
      <c r="E125" t="b">
        <v>0</v>
      </c>
      <c r="F125" t="s">
        <v>463</v>
      </c>
      <c r="H125" s="1">
        <v>46000</v>
      </c>
      <c r="J125" s="1"/>
    </row>
    <row r="126" spans="1:10" x14ac:dyDescent="0.35">
      <c r="A126">
        <v>1244</v>
      </c>
      <c r="B126" t="s">
        <v>285</v>
      </c>
      <c r="C126" t="s">
        <v>176</v>
      </c>
      <c r="D126" t="s">
        <v>38</v>
      </c>
      <c r="E126" t="b">
        <v>0</v>
      </c>
      <c r="F126" t="s">
        <v>462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285</v>
      </c>
      <c r="C127" t="s">
        <v>286</v>
      </c>
      <c r="D127" t="s">
        <v>38</v>
      </c>
      <c r="E127" t="b">
        <v>1</v>
      </c>
      <c r="F127" t="s">
        <v>463</v>
      </c>
      <c r="H127" s="1">
        <v>46000</v>
      </c>
      <c r="J127" s="1"/>
    </row>
    <row r="128" spans="1:10" x14ac:dyDescent="0.35">
      <c r="A128">
        <v>1296</v>
      </c>
      <c r="B128" t="s">
        <v>287</v>
      </c>
      <c r="C128" t="s">
        <v>231</v>
      </c>
      <c r="D128" t="s">
        <v>38</v>
      </c>
      <c r="E128" t="b">
        <v>0</v>
      </c>
      <c r="F128" t="s">
        <v>463</v>
      </c>
      <c r="H128" s="1">
        <v>46000</v>
      </c>
      <c r="J128" s="1"/>
    </row>
    <row r="129" spans="1:10" x14ac:dyDescent="0.35">
      <c r="A129">
        <v>1362</v>
      </c>
      <c r="B129" t="s">
        <v>288</v>
      </c>
      <c r="C129" t="s">
        <v>289</v>
      </c>
      <c r="D129" t="s">
        <v>38</v>
      </c>
      <c r="E129" t="b">
        <v>1</v>
      </c>
      <c r="F129" t="s">
        <v>462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290</v>
      </c>
      <c r="C130" t="s">
        <v>291</v>
      </c>
      <c r="D130" t="s">
        <v>38</v>
      </c>
      <c r="E130" t="b">
        <v>1</v>
      </c>
      <c r="F130" t="s">
        <v>463</v>
      </c>
      <c r="H130" s="1">
        <v>46000</v>
      </c>
      <c r="J130" s="1"/>
    </row>
    <row r="131" spans="1:10" x14ac:dyDescent="0.35">
      <c r="A131">
        <v>1198</v>
      </c>
      <c r="B131" t="s">
        <v>292</v>
      </c>
      <c r="C131" t="s">
        <v>293</v>
      </c>
      <c r="D131" t="s">
        <v>38</v>
      </c>
      <c r="E131" t="b">
        <v>0</v>
      </c>
      <c r="F131" t="s">
        <v>462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294</v>
      </c>
      <c r="C132" t="s">
        <v>89</v>
      </c>
      <c r="D132" t="s">
        <v>38</v>
      </c>
      <c r="E132" t="b">
        <v>1</v>
      </c>
      <c r="F132" t="s">
        <v>462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295</v>
      </c>
      <c r="C133" t="s">
        <v>296</v>
      </c>
      <c r="D133" t="s">
        <v>38</v>
      </c>
      <c r="E133" t="b">
        <v>0</v>
      </c>
      <c r="F133" t="s">
        <v>462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297</v>
      </c>
      <c r="C134" t="s">
        <v>40</v>
      </c>
      <c r="D134" t="s">
        <v>38</v>
      </c>
      <c r="E134" t="b">
        <v>0</v>
      </c>
      <c r="F134" t="s">
        <v>462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298</v>
      </c>
      <c r="C135" t="s">
        <v>6</v>
      </c>
      <c r="D135" t="s">
        <v>38</v>
      </c>
      <c r="E135" t="b">
        <v>0</v>
      </c>
      <c r="F135" t="s">
        <v>463</v>
      </c>
      <c r="H135" s="1">
        <v>46000</v>
      </c>
      <c r="J135" s="1"/>
    </row>
    <row r="136" spans="1:10" x14ac:dyDescent="0.35">
      <c r="A136">
        <v>1373</v>
      </c>
      <c r="B136" t="s">
        <v>299</v>
      </c>
      <c r="C136" t="s">
        <v>31</v>
      </c>
      <c r="D136" t="s">
        <v>38</v>
      </c>
      <c r="E136" t="b">
        <v>0</v>
      </c>
      <c r="F136" t="s">
        <v>462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300</v>
      </c>
      <c r="C137" t="s">
        <v>301</v>
      </c>
      <c r="D137" t="s">
        <v>38</v>
      </c>
      <c r="E137" t="b">
        <v>0</v>
      </c>
      <c r="F137" t="s">
        <v>462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302</v>
      </c>
      <c r="C138" t="s">
        <v>303</v>
      </c>
      <c r="D138" t="s">
        <v>38</v>
      </c>
      <c r="E138" t="b">
        <v>1</v>
      </c>
      <c r="F138" t="s">
        <v>463</v>
      </c>
      <c r="H138" s="1">
        <v>46000</v>
      </c>
      <c r="J138" s="1"/>
    </row>
    <row r="139" spans="1:10" x14ac:dyDescent="0.35">
      <c r="A139">
        <v>967</v>
      </c>
      <c r="B139" t="s">
        <v>304</v>
      </c>
      <c r="C139" t="s">
        <v>229</v>
      </c>
      <c r="D139" t="s">
        <v>38</v>
      </c>
      <c r="E139" t="b">
        <v>0</v>
      </c>
      <c r="F139" t="s">
        <v>462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305</v>
      </c>
      <c r="C140" t="s">
        <v>306</v>
      </c>
      <c r="D140" t="s">
        <v>38</v>
      </c>
      <c r="E140" t="b">
        <v>1</v>
      </c>
      <c r="F140" t="s">
        <v>462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305</v>
      </c>
      <c r="C141" t="s">
        <v>307</v>
      </c>
      <c r="D141" t="s">
        <v>38</v>
      </c>
      <c r="E141" t="b">
        <v>0</v>
      </c>
      <c r="F141" t="s">
        <v>462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308</v>
      </c>
      <c r="C142" t="s">
        <v>309</v>
      </c>
      <c r="D142" t="s">
        <v>38</v>
      </c>
      <c r="E142" t="b">
        <v>0</v>
      </c>
      <c r="F142" t="s">
        <v>463</v>
      </c>
      <c r="H142" s="1">
        <v>46000</v>
      </c>
      <c r="J142" s="1"/>
    </row>
    <row r="143" spans="1:10" x14ac:dyDescent="0.35">
      <c r="A143">
        <v>1349</v>
      </c>
      <c r="B143" t="s">
        <v>310</v>
      </c>
      <c r="C143" t="s">
        <v>311</v>
      </c>
      <c r="D143" t="s">
        <v>38</v>
      </c>
      <c r="E143" t="b">
        <v>0</v>
      </c>
      <c r="F143" t="s">
        <v>463</v>
      </c>
      <c r="H143" s="1">
        <v>46000</v>
      </c>
      <c r="J143" s="1"/>
    </row>
    <row r="144" spans="1:10" x14ac:dyDescent="0.35">
      <c r="A144">
        <v>1342</v>
      </c>
      <c r="B144" t="s">
        <v>312</v>
      </c>
      <c r="C144" t="s">
        <v>313</v>
      </c>
      <c r="D144" t="s">
        <v>38</v>
      </c>
      <c r="E144" t="b">
        <v>0</v>
      </c>
      <c r="F144" t="s">
        <v>462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314</v>
      </c>
      <c r="C145" t="s">
        <v>315</v>
      </c>
      <c r="D145" t="s">
        <v>38</v>
      </c>
      <c r="E145" t="b">
        <v>0</v>
      </c>
      <c r="F145" t="s">
        <v>462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316</v>
      </c>
      <c r="C146" t="s">
        <v>317</v>
      </c>
      <c r="D146" t="s">
        <v>38</v>
      </c>
      <c r="E146" t="b">
        <v>0</v>
      </c>
      <c r="F146" t="s">
        <v>462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318</v>
      </c>
      <c r="C147" t="s">
        <v>317</v>
      </c>
      <c r="D147" t="s">
        <v>38</v>
      </c>
      <c r="E147" t="b">
        <v>0</v>
      </c>
      <c r="F147" t="s">
        <v>462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272</v>
      </c>
      <c r="C148" t="s">
        <v>319</v>
      </c>
      <c r="D148" t="s">
        <v>38</v>
      </c>
      <c r="E148" t="b">
        <v>1</v>
      </c>
      <c r="F148" t="s">
        <v>463</v>
      </c>
      <c r="H148" s="1">
        <v>46000</v>
      </c>
      <c r="J148" s="1"/>
    </row>
    <row r="149" spans="1:10" x14ac:dyDescent="0.35">
      <c r="A149">
        <v>1282</v>
      </c>
      <c r="B149" t="s">
        <v>320</v>
      </c>
      <c r="C149" t="s">
        <v>59</v>
      </c>
      <c r="D149" t="s">
        <v>38</v>
      </c>
      <c r="E149" t="b">
        <v>0</v>
      </c>
      <c r="F149" t="s">
        <v>462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321</v>
      </c>
      <c r="C150" t="s">
        <v>322</v>
      </c>
      <c r="D150" t="s">
        <v>38</v>
      </c>
      <c r="E150" t="b">
        <v>1</v>
      </c>
      <c r="F150" t="s">
        <v>464</v>
      </c>
      <c r="H150" s="1">
        <v>46000</v>
      </c>
      <c r="J150" s="1"/>
    </row>
    <row r="151" spans="1:10" x14ac:dyDescent="0.35">
      <c r="A151">
        <v>747</v>
      </c>
      <c r="B151" t="s">
        <v>321</v>
      </c>
      <c r="C151" t="s">
        <v>29</v>
      </c>
      <c r="D151" t="s">
        <v>38</v>
      </c>
      <c r="E151" t="b">
        <v>0</v>
      </c>
      <c r="F151" t="s">
        <v>462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321</v>
      </c>
      <c r="C152" t="s">
        <v>211</v>
      </c>
      <c r="D152" t="s">
        <v>38</v>
      </c>
      <c r="E152" t="b">
        <v>1</v>
      </c>
      <c r="F152" t="s">
        <v>462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321</v>
      </c>
      <c r="C153" t="s">
        <v>238</v>
      </c>
      <c r="D153" t="s">
        <v>38</v>
      </c>
      <c r="E153" t="b">
        <v>1</v>
      </c>
      <c r="F153" t="s">
        <v>462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321</v>
      </c>
      <c r="C154" t="s">
        <v>323</v>
      </c>
      <c r="D154" t="s">
        <v>38</v>
      </c>
      <c r="E154" t="b">
        <v>0</v>
      </c>
      <c r="F154" t="s">
        <v>462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324</v>
      </c>
      <c r="C155" t="s">
        <v>31</v>
      </c>
      <c r="D155" t="s">
        <v>38</v>
      </c>
      <c r="E155" t="b">
        <v>0</v>
      </c>
      <c r="F155" t="s">
        <v>463</v>
      </c>
      <c r="H155" s="1">
        <v>46000</v>
      </c>
      <c r="J155" s="1"/>
    </row>
    <row r="156" spans="1:10" x14ac:dyDescent="0.35">
      <c r="A156">
        <v>900</v>
      </c>
      <c r="B156" t="s">
        <v>325</v>
      </c>
      <c r="C156" t="s">
        <v>74</v>
      </c>
      <c r="D156" t="s">
        <v>38</v>
      </c>
      <c r="E156" t="b">
        <v>0</v>
      </c>
      <c r="F156" t="s">
        <v>462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326</v>
      </c>
      <c r="C157" t="s">
        <v>258</v>
      </c>
      <c r="D157" t="s">
        <v>38</v>
      </c>
      <c r="E157" t="b">
        <v>0</v>
      </c>
      <c r="F157" t="s">
        <v>462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327</v>
      </c>
      <c r="C158" t="s">
        <v>317</v>
      </c>
      <c r="D158" t="s">
        <v>38</v>
      </c>
      <c r="E158" t="b">
        <v>0</v>
      </c>
      <c r="F158" t="s">
        <v>462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328</v>
      </c>
      <c r="C159" t="s">
        <v>329</v>
      </c>
      <c r="D159" t="s">
        <v>38</v>
      </c>
      <c r="E159" t="b">
        <v>0</v>
      </c>
      <c r="F159" t="s">
        <v>462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330</v>
      </c>
      <c r="C160" t="s">
        <v>331</v>
      </c>
      <c r="D160" t="s">
        <v>38</v>
      </c>
      <c r="E160" t="b">
        <v>0</v>
      </c>
      <c r="F160" t="s">
        <v>462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332</v>
      </c>
      <c r="C161" t="s">
        <v>57</v>
      </c>
      <c r="D161" t="s">
        <v>38</v>
      </c>
      <c r="E161" t="b">
        <v>0</v>
      </c>
      <c r="F161" t="s">
        <v>462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333</v>
      </c>
      <c r="C162" t="s">
        <v>334</v>
      </c>
      <c r="D162" t="s">
        <v>38</v>
      </c>
      <c r="E162" t="b">
        <v>0</v>
      </c>
      <c r="F162" t="s">
        <v>462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335</v>
      </c>
      <c r="C163" t="s">
        <v>44</v>
      </c>
      <c r="D163" t="s">
        <v>38</v>
      </c>
      <c r="E163" t="b">
        <v>0</v>
      </c>
      <c r="F163" t="s">
        <v>463</v>
      </c>
      <c r="H163" s="1">
        <v>46000</v>
      </c>
      <c r="J163" s="1"/>
    </row>
    <row r="164" spans="1:10" x14ac:dyDescent="0.35">
      <c r="A164">
        <v>1357</v>
      </c>
      <c r="B164" t="s">
        <v>336</v>
      </c>
      <c r="C164" t="s">
        <v>40</v>
      </c>
      <c r="D164" t="s">
        <v>38</v>
      </c>
      <c r="E164" t="b">
        <v>0</v>
      </c>
      <c r="F164" t="s">
        <v>462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336</v>
      </c>
      <c r="C165" t="s">
        <v>337</v>
      </c>
      <c r="D165" t="s">
        <v>38</v>
      </c>
      <c r="E165" t="b">
        <v>1</v>
      </c>
      <c r="F165" t="s">
        <v>462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336</v>
      </c>
      <c r="C166" t="s">
        <v>57</v>
      </c>
      <c r="D166" t="s">
        <v>38</v>
      </c>
      <c r="E166" t="b">
        <v>0</v>
      </c>
      <c r="F166" t="s">
        <v>465</v>
      </c>
      <c r="H166" s="1">
        <v>46000</v>
      </c>
      <c r="J166" s="1"/>
    </row>
    <row r="167" spans="1:10" x14ac:dyDescent="0.35">
      <c r="A167">
        <v>1360</v>
      </c>
      <c r="B167" t="s">
        <v>336</v>
      </c>
      <c r="C167" t="s">
        <v>338</v>
      </c>
      <c r="D167" t="s">
        <v>38</v>
      </c>
      <c r="E167" t="b">
        <v>1</v>
      </c>
      <c r="F167" t="s">
        <v>464</v>
      </c>
      <c r="H167" s="1">
        <v>46000</v>
      </c>
      <c r="J167" s="1"/>
    </row>
    <row r="168" spans="1:10" x14ac:dyDescent="0.35">
      <c r="A168">
        <v>1093</v>
      </c>
      <c r="B168" t="s">
        <v>339</v>
      </c>
      <c r="C168" t="s">
        <v>74</v>
      </c>
      <c r="D168" t="s">
        <v>38</v>
      </c>
      <c r="E168" t="b">
        <v>0</v>
      </c>
      <c r="F168" t="s">
        <v>463</v>
      </c>
      <c r="H168" s="1">
        <v>46000</v>
      </c>
      <c r="J168" s="1"/>
    </row>
    <row r="169" spans="1:10" x14ac:dyDescent="0.35">
      <c r="A169">
        <v>1107</v>
      </c>
      <c r="B169" t="s">
        <v>340</v>
      </c>
      <c r="C169" t="s">
        <v>341</v>
      </c>
      <c r="D169" t="s">
        <v>38</v>
      </c>
      <c r="E169" t="b">
        <v>1</v>
      </c>
      <c r="F169" t="s">
        <v>463</v>
      </c>
      <c r="H169" s="1">
        <v>46000</v>
      </c>
      <c r="J169" s="1"/>
    </row>
    <row r="170" spans="1:10" x14ac:dyDescent="0.35">
      <c r="A170">
        <v>35</v>
      </c>
      <c r="B170" t="s">
        <v>342</v>
      </c>
      <c r="C170" t="s">
        <v>343</v>
      </c>
      <c r="D170" t="s">
        <v>38</v>
      </c>
      <c r="E170" t="b">
        <v>0</v>
      </c>
      <c r="F170" t="s">
        <v>462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344</v>
      </c>
      <c r="C171" t="s">
        <v>72</v>
      </c>
      <c r="D171" t="s">
        <v>38</v>
      </c>
      <c r="E171" t="b">
        <v>0</v>
      </c>
      <c r="F171" t="s">
        <v>462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345</v>
      </c>
      <c r="C172" t="s">
        <v>346</v>
      </c>
      <c r="D172" t="s">
        <v>38</v>
      </c>
      <c r="E172" t="b">
        <v>0</v>
      </c>
      <c r="F172" t="s">
        <v>462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347</v>
      </c>
      <c r="C173" t="s">
        <v>323</v>
      </c>
      <c r="D173" t="s">
        <v>38</v>
      </c>
      <c r="E173" t="b">
        <v>0</v>
      </c>
      <c r="F173" t="s">
        <v>462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348</v>
      </c>
      <c r="C174" t="s">
        <v>315</v>
      </c>
      <c r="D174" t="s">
        <v>38</v>
      </c>
      <c r="E174" t="b">
        <v>0</v>
      </c>
      <c r="F174" t="s">
        <v>462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349</v>
      </c>
      <c r="C175" t="s">
        <v>350</v>
      </c>
      <c r="D175" t="s">
        <v>38</v>
      </c>
      <c r="E175" t="b">
        <v>0</v>
      </c>
      <c r="F175" t="s">
        <v>462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351</v>
      </c>
      <c r="C176" t="s">
        <v>31</v>
      </c>
      <c r="D176" t="s">
        <v>38</v>
      </c>
      <c r="E176" t="b">
        <v>0</v>
      </c>
      <c r="F176" t="s">
        <v>462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351</v>
      </c>
      <c r="C177" t="s">
        <v>84</v>
      </c>
      <c r="D177" t="s">
        <v>38</v>
      </c>
      <c r="E177" t="b">
        <v>0</v>
      </c>
      <c r="F177" t="s">
        <v>462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352</v>
      </c>
      <c r="C178" t="s">
        <v>65</v>
      </c>
      <c r="D178" t="s">
        <v>38</v>
      </c>
      <c r="E178" t="b">
        <v>0</v>
      </c>
      <c r="F178" t="s">
        <v>462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353</v>
      </c>
      <c r="C179" t="s">
        <v>354</v>
      </c>
      <c r="D179" t="s">
        <v>38</v>
      </c>
      <c r="E179" t="b">
        <v>0</v>
      </c>
      <c r="F179" t="s">
        <v>464</v>
      </c>
      <c r="H179" s="1">
        <v>46000</v>
      </c>
      <c r="J179" s="1"/>
    </row>
    <row r="180" spans="1:10" x14ac:dyDescent="0.35">
      <c r="A180">
        <v>1024</v>
      </c>
      <c r="B180" t="s">
        <v>353</v>
      </c>
      <c r="C180" t="s">
        <v>355</v>
      </c>
      <c r="D180" t="s">
        <v>38</v>
      </c>
      <c r="E180" t="b">
        <v>0</v>
      </c>
      <c r="F180" t="s">
        <v>465</v>
      </c>
      <c r="H180" s="1">
        <v>46000</v>
      </c>
      <c r="J180" s="1"/>
    </row>
    <row r="181" spans="1:10" x14ac:dyDescent="0.35">
      <c r="A181">
        <v>1023</v>
      </c>
      <c r="B181" t="s">
        <v>353</v>
      </c>
      <c r="C181" t="s">
        <v>47</v>
      </c>
      <c r="D181" t="s">
        <v>38</v>
      </c>
      <c r="E181" t="b">
        <v>0</v>
      </c>
      <c r="F181" t="s">
        <v>463</v>
      </c>
      <c r="H181" s="1">
        <v>46000</v>
      </c>
      <c r="J181" s="1"/>
    </row>
    <row r="182" spans="1:10" x14ac:dyDescent="0.35">
      <c r="A182">
        <v>1232</v>
      </c>
      <c r="B182" t="s">
        <v>353</v>
      </c>
      <c r="C182" t="s">
        <v>356</v>
      </c>
      <c r="D182" t="s">
        <v>38</v>
      </c>
      <c r="E182" t="b">
        <v>1</v>
      </c>
      <c r="F182" t="s">
        <v>462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357</v>
      </c>
      <c r="C183" t="s">
        <v>358</v>
      </c>
      <c r="D183" t="s">
        <v>38</v>
      </c>
      <c r="E183" t="b">
        <v>1</v>
      </c>
      <c r="F183" t="s">
        <v>462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359</v>
      </c>
      <c r="C184" t="s">
        <v>360</v>
      </c>
      <c r="D184" t="s">
        <v>38</v>
      </c>
      <c r="E184" t="b">
        <v>1</v>
      </c>
      <c r="F184" t="s">
        <v>463</v>
      </c>
      <c r="H184" s="1">
        <v>46000</v>
      </c>
      <c r="J184" s="1"/>
    </row>
    <row r="185" spans="1:10" x14ac:dyDescent="0.35">
      <c r="A185">
        <v>1191</v>
      </c>
      <c r="B185" t="s">
        <v>361</v>
      </c>
      <c r="C185" t="s">
        <v>231</v>
      </c>
      <c r="D185" t="s">
        <v>38</v>
      </c>
      <c r="E185" t="b">
        <v>0</v>
      </c>
      <c r="F185" t="s">
        <v>462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361</v>
      </c>
      <c r="C186" t="s">
        <v>362</v>
      </c>
      <c r="D186" t="s">
        <v>38</v>
      </c>
      <c r="E186" t="b">
        <v>0</v>
      </c>
      <c r="F186" t="s">
        <v>463</v>
      </c>
      <c r="H186" s="1">
        <v>46000</v>
      </c>
      <c r="J186" s="1"/>
    </row>
    <row r="187" spans="1:10" x14ac:dyDescent="0.35">
      <c r="A187">
        <v>1350</v>
      </c>
      <c r="B187" t="s">
        <v>363</v>
      </c>
      <c r="C187" t="s">
        <v>364</v>
      </c>
      <c r="D187" t="s">
        <v>38</v>
      </c>
      <c r="E187" t="b">
        <v>0</v>
      </c>
      <c r="F187" t="s">
        <v>463</v>
      </c>
      <c r="H187" s="1">
        <v>46000</v>
      </c>
      <c r="J187" s="1"/>
    </row>
    <row r="188" spans="1:10" x14ac:dyDescent="0.35">
      <c r="A188">
        <v>1352</v>
      </c>
      <c r="B188" t="s">
        <v>365</v>
      </c>
      <c r="C188" t="s">
        <v>40</v>
      </c>
      <c r="D188" t="s">
        <v>38</v>
      </c>
      <c r="E188" t="b">
        <v>0</v>
      </c>
      <c r="F188" t="s">
        <v>462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366</v>
      </c>
      <c r="C189" t="s">
        <v>367</v>
      </c>
      <c r="D189" t="s">
        <v>38</v>
      </c>
      <c r="E189" t="b">
        <v>0</v>
      </c>
      <c r="F189" t="s">
        <v>462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368</v>
      </c>
      <c r="C190" t="s">
        <v>369</v>
      </c>
      <c r="D190" t="s">
        <v>38</v>
      </c>
      <c r="E190" t="b">
        <v>0</v>
      </c>
      <c r="F190" t="s">
        <v>463</v>
      </c>
      <c r="H190" s="1">
        <v>46000</v>
      </c>
      <c r="J190" s="1"/>
    </row>
    <row r="191" spans="1:10" x14ac:dyDescent="0.35">
      <c r="A191">
        <v>914</v>
      </c>
      <c r="B191" t="s">
        <v>370</v>
      </c>
      <c r="C191" t="s">
        <v>230</v>
      </c>
      <c r="D191" t="s">
        <v>38</v>
      </c>
      <c r="E191" t="b">
        <v>0</v>
      </c>
      <c r="F191" t="s">
        <v>462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370</v>
      </c>
      <c r="C192" t="s">
        <v>59</v>
      </c>
      <c r="D192" t="s">
        <v>38</v>
      </c>
      <c r="E192" t="b">
        <v>0</v>
      </c>
      <c r="F192" t="s">
        <v>462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371</v>
      </c>
      <c r="C193" t="s">
        <v>185</v>
      </c>
      <c r="D193" t="s">
        <v>38</v>
      </c>
      <c r="E193" t="b">
        <v>0</v>
      </c>
      <c r="F193" t="s">
        <v>463</v>
      </c>
      <c r="H193" s="1">
        <v>46000</v>
      </c>
      <c r="J193" s="1"/>
    </row>
    <row r="194" spans="1:10" x14ac:dyDescent="0.35">
      <c r="A194">
        <v>1380</v>
      </c>
      <c r="B194" t="s">
        <v>372</v>
      </c>
      <c r="C194" t="s">
        <v>373</v>
      </c>
      <c r="D194" t="s">
        <v>38</v>
      </c>
      <c r="E194" t="b">
        <v>1</v>
      </c>
      <c r="F194" t="s">
        <v>462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374</v>
      </c>
      <c r="C195" t="s">
        <v>269</v>
      </c>
      <c r="D195" t="s">
        <v>38</v>
      </c>
      <c r="E195" t="b">
        <v>0</v>
      </c>
      <c r="F195" t="s">
        <v>462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375</v>
      </c>
      <c r="C196" t="s">
        <v>72</v>
      </c>
      <c r="D196" t="s">
        <v>38</v>
      </c>
      <c r="E196" t="b">
        <v>0</v>
      </c>
      <c r="F196" t="s">
        <v>462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375</v>
      </c>
      <c r="C197" t="s">
        <v>376</v>
      </c>
      <c r="D197" t="s">
        <v>38</v>
      </c>
      <c r="E197" t="b">
        <v>0</v>
      </c>
      <c r="F197" t="s">
        <v>462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375</v>
      </c>
      <c r="C198" t="s">
        <v>377</v>
      </c>
      <c r="D198" t="s">
        <v>38</v>
      </c>
      <c r="E198" t="b">
        <v>0</v>
      </c>
      <c r="F198" t="s">
        <v>462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375</v>
      </c>
      <c r="C199" t="s">
        <v>215</v>
      </c>
      <c r="D199" t="s">
        <v>38</v>
      </c>
      <c r="E199" t="b">
        <v>1</v>
      </c>
      <c r="F199" t="s">
        <v>462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375</v>
      </c>
      <c r="C200" t="s">
        <v>269</v>
      </c>
      <c r="D200" t="s">
        <v>38</v>
      </c>
      <c r="E200" t="b">
        <v>0</v>
      </c>
      <c r="F200" t="s">
        <v>462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375</v>
      </c>
      <c r="C201" t="s">
        <v>378</v>
      </c>
      <c r="D201" t="s">
        <v>38</v>
      </c>
      <c r="E201" t="b">
        <v>0</v>
      </c>
      <c r="F201" t="s">
        <v>462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379</v>
      </c>
      <c r="C202" t="s">
        <v>380</v>
      </c>
      <c r="D202" t="s">
        <v>38</v>
      </c>
      <c r="E202" t="b">
        <v>0</v>
      </c>
      <c r="F202" t="s">
        <v>463</v>
      </c>
      <c r="H202" s="1">
        <v>46000</v>
      </c>
      <c r="J202" s="1"/>
    </row>
    <row r="203" spans="1:10" x14ac:dyDescent="0.35">
      <c r="A203">
        <v>1382</v>
      </c>
      <c r="B203" t="s">
        <v>381</v>
      </c>
      <c r="C203" t="s">
        <v>382</v>
      </c>
      <c r="D203" t="s">
        <v>38</v>
      </c>
      <c r="E203" t="b">
        <v>0</v>
      </c>
      <c r="F203" t="s">
        <v>463</v>
      </c>
      <c r="H203" s="1">
        <v>46000</v>
      </c>
      <c r="J203" s="1"/>
    </row>
    <row r="204" spans="1:10" x14ac:dyDescent="0.35">
      <c r="A204">
        <v>1161</v>
      </c>
      <c r="B204" t="s">
        <v>383</v>
      </c>
      <c r="C204" t="s">
        <v>384</v>
      </c>
      <c r="D204" t="s">
        <v>38</v>
      </c>
      <c r="E204" t="b">
        <v>0</v>
      </c>
      <c r="F204" t="s">
        <v>463</v>
      </c>
      <c r="H204" s="1">
        <v>46000</v>
      </c>
      <c r="J204" s="1"/>
    </row>
    <row r="205" spans="1:10" x14ac:dyDescent="0.35">
      <c r="A205">
        <v>890</v>
      </c>
      <c r="B205" t="s">
        <v>385</v>
      </c>
      <c r="C205" t="s">
        <v>386</v>
      </c>
      <c r="D205" t="s">
        <v>155</v>
      </c>
      <c r="E205" t="b">
        <v>0</v>
      </c>
      <c r="F205" t="s">
        <v>462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387</v>
      </c>
      <c r="C206" t="s">
        <v>388</v>
      </c>
      <c r="D206" t="s">
        <v>38</v>
      </c>
      <c r="E206" t="b">
        <v>1</v>
      </c>
      <c r="F206" t="s">
        <v>463</v>
      </c>
      <c r="H206" s="1">
        <v>46000</v>
      </c>
      <c r="J206" s="1"/>
    </row>
    <row r="207" spans="1:10" x14ac:dyDescent="0.35">
      <c r="A207">
        <v>780</v>
      </c>
      <c r="B207" t="s">
        <v>389</v>
      </c>
      <c r="C207" t="s">
        <v>31</v>
      </c>
      <c r="D207" t="s">
        <v>38</v>
      </c>
      <c r="E207" t="b">
        <v>0</v>
      </c>
      <c r="F207" t="s">
        <v>462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390</v>
      </c>
      <c r="C208" t="s">
        <v>221</v>
      </c>
      <c r="D208" t="s">
        <v>155</v>
      </c>
      <c r="E208" t="b">
        <v>0</v>
      </c>
      <c r="F208" t="s">
        <v>462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391</v>
      </c>
      <c r="C209" t="s">
        <v>392</v>
      </c>
      <c r="D209" t="s">
        <v>38</v>
      </c>
      <c r="E209" t="b">
        <v>0</v>
      </c>
      <c r="F209" t="s">
        <v>462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309</v>
      </c>
      <c r="C210" t="s">
        <v>393</v>
      </c>
      <c r="D210" t="s">
        <v>38</v>
      </c>
      <c r="E210" t="b">
        <v>0</v>
      </c>
      <c r="F210" t="s">
        <v>463</v>
      </c>
      <c r="H210" s="1">
        <v>46000</v>
      </c>
      <c r="J210" s="1"/>
    </row>
    <row r="211" spans="1:10" x14ac:dyDescent="0.35">
      <c r="A211">
        <v>1341</v>
      </c>
      <c r="B211" t="s">
        <v>394</v>
      </c>
      <c r="C211" t="s">
        <v>74</v>
      </c>
      <c r="D211" t="s">
        <v>38</v>
      </c>
      <c r="E211" t="b">
        <v>0</v>
      </c>
      <c r="F211" t="s">
        <v>463</v>
      </c>
      <c r="H211" s="1">
        <v>46000</v>
      </c>
      <c r="J211" s="1"/>
    </row>
    <row r="212" spans="1:10" x14ac:dyDescent="0.35">
      <c r="A212">
        <v>945</v>
      </c>
      <c r="B212" t="s">
        <v>395</v>
      </c>
      <c r="C212" t="s">
        <v>57</v>
      </c>
      <c r="D212" t="s">
        <v>38</v>
      </c>
      <c r="E212" t="b">
        <v>0</v>
      </c>
      <c r="F212" t="s">
        <v>463</v>
      </c>
      <c r="H212" s="1">
        <v>46000</v>
      </c>
      <c r="J212" s="1"/>
    </row>
    <row r="213" spans="1:10" x14ac:dyDescent="0.35">
      <c r="A213">
        <v>813</v>
      </c>
      <c r="B213" t="s">
        <v>395</v>
      </c>
      <c r="C213" t="s">
        <v>360</v>
      </c>
      <c r="D213" t="s">
        <v>38</v>
      </c>
      <c r="E213" t="b">
        <v>1</v>
      </c>
      <c r="F213" t="s">
        <v>462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395</v>
      </c>
      <c r="C214" t="s">
        <v>396</v>
      </c>
      <c r="D214" t="s">
        <v>38</v>
      </c>
      <c r="E214" t="b">
        <v>0</v>
      </c>
      <c r="F214" t="s">
        <v>462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397</v>
      </c>
      <c r="C215" t="s">
        <v>398</v>
      </c>
      <c r="D215" t="s">
        <v>38</v>
      </c>
      <c r="E215" t="b">
        <v>0</v>
      </c>
      <c r="F215" t="s">
        <v>462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399</v>
      </c>
      <c r="C216" t="s">
        <v>400</v>
      </c>
      <c r="D216" t="s">
        <v>38</v>
      </c>
      <c r="E216" t="b">
        <v>1</v>
      </c>
      <c r="F216" t="s">
        <v>462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401</v>
      </c>
      <c r="C217" t="s">
        <v>236</v>
      </c>
      <c r="D217" t="s">
        <v>38</v>
      </c>
      <c r="E217" t="b">
        <v>0</v>
      </c>
      <c r="F217" t="s">
        <v>463</v>
      </c>
      <c r="H217" s="1">
        <v>46000</v>
      </c>
      <c r="J217" s="1"/>
    </row>
    <row r="218" spans="1:10" x14ac:dyDescent="0.35">
      <c r="A218">
        <v>1209</v>
      </c>
      <c r="B218" t="s">
        <v>402</v>
      </c>
      <c r="C218" t="s">
        <v>59</v>
      </c>
      <c r="D218" t="s">
        <v>155</v>
      </c>
      <c r="E218" t="b">
        <v>0</v>
      </c>
      <c r="F218" t="s">
        <v>462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404</v>
      </c>
      <c r="C219" t="s">
        <v>405</v>
      </c>
      <c r="D219" t="s">
        <v>155</v>
      </c>
      <c r="E219" t="b">
        <v>0</v>
      </c>
      <c r="F219" t="s">
        <v>462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406</v>
      </c>
      <c r="C220" t="s">
        <v>407</v>
      </c>
      <c r="D220" t="s">
        <v>38</v>
      </c>
      <c r="E220" t="b">
        <v>1</v>
      </c>
      <c r="F220" t="s">
        <v>463</v>
      </c>
      <c r="H220" s="1">
        <v>46000</v>
      </c>
      <c r="J220" s="1"/>
    </row>
    <row r="221" spans="1:10" x14ac:dyDescent="0.35">
      <c r="A221">
        <v>756</v>
      </c>
      <c r="B221" t="s">
        <v>406</v>
      </c>
      <c r="C221" t="s">
        <v>408</v>
      </c>
      <c r="D221" t="s">
        <v>38</v>
      </c>
      <c r="E221" t="b">
        <v>0</v>
      </c>
      <c r="F221" t="s">
        <v>463</v>
      </c>
      <c r="H221" s="1">
        <v>46000</v>
      </c>
      <c r="J221" s="1"/>
    </row>
    <row r="222" spans="1:10" x14ac:dyDescent="0.35">
      <c r="A222">
        <v>407</v>
      </c>
      <c r="B222" t="s">
        <v>406</v>
      </c>
      <c r="C222" t="s">
        <v>409</v>
      </c>
      <c r="D222" t="s">
        <v>38</v>
      </c>
      <c r="E222" t="b">
        <v>0</v>
      </c>
      <c r="F222" t="s">
        <v>462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410</v>
      </c>
      <c r="C223" t="s">
        <v>358</v>
      </c>
      <c r="D223" t="s">
        <v>38</v>
      </c>
      <c r="E223" t="b">
        <v>1</v>
      </c>
      <c r="F223" t="s">
        <v>462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411</v>
      </c>
      <c r="C224" t="s">
        <v>319</v>
      </c>
      <c r="D224" t="s">
        <v>38</v>
      </c>
      <c r="E224" t="b">
        <v>1</v>
      </c>
      <c r="F224" t="s">
        <v>463</v>
      </c>
      <c r="H224" s="1">
        <v>46000</v>
      </c>
      <c r="J224" s="1"/>
    </row>
    <row r="225" spans="1:10" x14ac:dyDescent="0.35">
      <c r="A225">
        <v>999</v>
      </c>
      <c r="B225" t="s">
        <v>411</v>
      </c>
      <c r="C225" t="s">
        <v>412</v>
      </c>
      <c r="D225" t="s">
        <v>38</v>
      </c>
      <c r="E225" t="b">
        <v>1</v>
      </c>
      <c r="F225" t="s">
        <v>463</v>
      </c>
      <c r="H225" s="1">
        <v>46000</v>
      </c>
      <c r="J225" s="1"/>
    </row>
    <row r="226" spans="1:10" x14ac:dyDescent="0.35">
      <c r="A226">
        <v>998</v>
      </c>
      <c r="B226" t="s">
        <v>411</v>
      </c>
      <c r="C226" t="s">
        <v>413</v>
      </c>
      <c r="D226" t="s">
        <v>38</v>
      </c>
      <c r="E226" t="b">
        <v>1</v>
      </c>
      <c r="F226" t="s">
        <v>462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411</v>
      </c>
      <c r="C227" t="s">
        <v>49</v>
      </c>
      <c r="D227" t="s">
        <v>38</v>
      </c>
      <c r="E227" t="b">
        <v>0</v>
      </c>
      <c r="F227" t="s">
        <v>462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411</v>
      </c>
      <c r="C228" t="s">
        <v>414</v>
      </c>
      <c r="D228" t="s">
        <v>38</v>
      </c>
      <c r="E228" t="b">
        <v>1</v>
      </c>
      <c r="F228" t="s">
        <v>462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415</v>
      </c>
      <c r="C229" t="s">
        <v>416</v>
      </c>
      <c r="D229" t="s">
        <v>38</v>
      </c>
      <c r="E229" t="b">
        <v>1</v>
      </c>
      <c r="F229" t="s">
        <v>462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417</v>
      </c>
      <c r="C230" t="s">
        <v>45</v>
      </c>
      <c r="D230" t="s">
        <v>38</v>
      </c>
      <c r="E230" t="b">
        <v>0</v>
      </c>
      <c r="F230" t="s">
        <v>462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418</v>
      </c>
      <c r="C231" t="s">
        <v>264</v>
      </c>
      <c r="D231" t="s">
        <v>38</v>
      </c>
      <c r="E231" t="b">
        <v>1</v>
      </c>
      <c r="F231" t="s">
        <v>464</v>
      </c>
      <c r="H231" s="1">
        <v>46000</v>
      </c>
      <c r="J231" s="1"/>
    </row>
    <row r="232" spans="1:10" x14ac:dyDescent="0.35">
      <c r="A232">
        <v>707</v>
      </c>
      <c r="B232" t="s">
        <v>419</v>
      </c>
      <c r="C232" t="s">
        <v>183</v>
      </c>
      <c r="D232" t="s">
        <v>38</v>
      </c>
      <c r="E232" t="b">
        <v>0</v>
      </c>
      <c r="F232" t="s">
        <v>462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420</v>
      </c>
      <c r="C233" t="s">
        <v>28</v>
      </c>
      <c r="D233" t="s">
        <v>38</v>
      </c>
      <c r="E233" t="b">
        <v>0</v>
      </c>
      <c r="F233" t="s">
        <v>462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421</v>
      </c>
      <c r="C234" t="s">
        <v>309</v>
      </c>
      <c r="D234" t="s">
        <v>38</v>
      </c>
      <c r="E234" t="b">
        <v>0</v>
      </c>
      <c r="F234" t="s">
        <v>463</v>
      </c>
      <c r="H234" s="1">
        <v>46000</v>
      </c>
      <c r="J234" s="1"/>
    </row>
    <row r="235" spans="1:10" x14ac:dyDescent="0.35">
      <c r="A235">
        <v>1378</v>
      </c>
      <c r="B235" t="s">
        <v>422</v>
      </c>
      <c r="C235" t="s">
        <v>423</v>
      </c>
      <c r="D235" t="s">
        <v>38</v>
      </c>
      <c r="E235" t="b">
        <v>0</v>
      </c>
      <c r="F235" t="s">
        <v>463</v>
      </c>
      <c r="H235" s="1">
        <v>46000</v>
      </c>
      <c r="J235" s="1"/>
    </row>
    <row r="236" spans="1:10" x14ac:dyDescent="0.35">
      <c r="A236">
        <v>1254</v>
      </c>
      <c r="B236" t="s">
        <v>424</v>
      </c>
      <c r="C236" t="s">
        <v>59</v>
      </c>
      <c r="D236" t="s">
        <v>38</v>
      </c>
      <c r="E236" t="b">
        <v>0</v>
      </c>
      <c r="F236" t="s">
        <v>462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425</v>
      </c>
      <c r="C237" t="s">
        <v>426</v>
      </c>
      <c r="D237" t="s">
        <v>38</v>
      </c>
      <c r="E237" t="b">
        <v>0</v>
      </c>
      <c r="F237" t="s">
        <v>464</v>
      </c>
      <c r="H237" s="1">
        <v>46000</v>
      </c>
      <c r="J237" s="1"/>
    </row>
    <row r="238" spans="1:10" x14ac:dyDescent="0.35">
      <c r="A238">
        <v>1200</v>
      </c>
      <c r="B238" t="s">
        <v>427</v>
      </c>
      <c r="C238" t="s">
        <v>428</v>
      </c>
      <c r="D238" t="s">
        <v>38</v>
      </c>
      <c r="E238" t="b">
        <v>0</v>
      </c>
      <c r="F238" t="s">
        <v>462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271</v>
      </c>
      <c r="C239" t="s">
        <v>213</v>
      </c>
      <c r="D239" t="s">
        <v>38</v>
      </c>
      <c r="E239" t="b">
        <v>1</v>
      </c>
      <c r="F239" t="s">
        <v>463</v>
      </c>
      <c r="H239" s="1">
        <v>46000</v>
      </c>
      <c r="J239" s="1"/>
    </row>
    <row r="240" spans="1:10" x14ac:dyDescent="0.35">
      <c r="A240">
        <v>1140</v>
      </c>
      <c r="B240" t="s">
        <v>429</v>
      </c>
      <c r="C240" t="s">
        <v>317</v>
      </c>
      <c r="D240" t="s">
        <v>38</v>
      </c>
      <c r="E240" t="b">
        <v>0</v>
      </c>
      <c r="F240" t="s">
        <v>463</v>
      </c>
      <c r="H240" s="1">
        <v>46000</v>
      </c>
      <c r="J240" s="1"/>
    </row>
    <row r="241" spans="1:10" x14ac:dyDescent="0.35">
      <c r="A241">
        <v>989</v>
      </c>
      <c r="B241" t="s">
        <v>430</v>
      </c>
      <c r="C241" t="s">
        <v>87</v>
      </c>
      <c r="D241" t="s">
        <v>38</v>
      </c>
      <c r="E241" t="b">
        <v>0</v>
      </c>
      <c r="F241" t="s">
        <v>462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431</v>
      </c>
      <c r="C242" t="s">
        <v>204</v>
      </c>
      <c r="D242" t="s">
        <v>38</v>
      </c>
      <c r="E242" t="b">
        <v>0</v>
      </c>
      <c r="F242" t="s">
        <v>463</v>
      </c>
      <c r="H242" s="1">
        <v>46000</v>
      </c>
      <c r="J242" s="1"/>
    </row>
    <row r="243" spans="1:10" x14ac:dyDescent="0.35">
      <c r="A243">
        <v>875</v>
      </c>
      <c r="B243" t="s">
        <v>431</v>
      </c>
      <c r="C243" t="s">
        <v>432</v>
      </c>
      <c r="D243" t="s">
        <v>38</v>
      </c>
      <c r="E243" t="b">
        <v>0</v>
      </c>
      <c r="F243" t="s">
        <v>463</v>
      </c>
      <c r="H243" s="1">
        <v>46000</v>
      </c>
      <c r="J243" s="1"/>
    </row>
    <row r="244" spans="1:10" x14ac:dyDescent="0.35">
      <c r="A244">
        <v>62</v>
      </c>
      <c r="B244" t="s">
        <v>431</v>
      </c>
      <c r="C244" t="s">
        <v>31</v>
      </c>
      <c r="D244" t="s">
        <v>38</v>
      </c>
      <c r="E244" t="b">
        <v>0</v>
      </c>
      <c r="F244" t="s">
        <v>462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433</v>
      </c>
      <c r="C245" t="s">
        <v>434</v>
      </c>
      <c r="D245" t="s">
        <v>38</v>
      </c>
      <c r="E245" t="b">
        <v>1</v>
      </c>
      <c r="F245" t="s">
        <v>462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435</v>
      </c>
      <c r="C246" t="s">
        <v>271</v>
      </c>
      <c r="D246" t="s">
        <v>38</v>
      </c>
      <c r="E246" t="b">
        <v>0</v>
      </c>
      <c r="F246" t="s">
        <v>463</v>
      </c>
      <c r="H246" s="1">
        <v>46000</v>
      </c>
      <c r="J246" s="1"/>
    </row>
    <row r="247" spans="1:10" x14ac:dyDescent="0.35">
      <c r="A247">
        <v>744</v>
      </c>
      <c r="B247" t="s">
        <v>436</v>
      </c>
      <c r="C247" t="s">
        <v>437</v>
      </c>
      <c r="D247" t="s">
        <v>38</v>
      </c>
      <c r="E247" t="b">
        <v>0</v>
      </c>
      <c r="F247" t="s">
        <v>462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438</v>
      </c>
      <c r="C248" t="s">
        <v>261</v>
      </c>
      <c r="D248" t="s">
        <v>38</v>
      </c>
      <c r="E248" t="b">
        <v>1</v>
      </c>
      <c r="F248" t="s">
        <v>462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439</v>
      </c>
      <c r="C249" t="s">
        <v>29</v>
      </c>
      <c r="D249" t="s">
        <v>38</v>
      </c>
      <c r="E249" t="b">
        <v>0</v>
      </c>
      <c r="F249" t="s">
        <v>463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449</v>
      </c>
      <c r="B1" t="s">
        <v>450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D14" sqref="D14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446</v>
      </c>
      <c r="B1" s="3" t="s">
        <v>3</v>
      </c>
      <c r="C1" s="36" t="s">
        <v>4</v>
      </c>
      <c r="D1" s="5" t="s">
        <v>5</v>
      </c>
      <c r="E1" s="6" t="s">
        <v>483</v>
      </c>
      <c r="F1" s="3" t="s">
        <v>6</v>
      </c>
      <c r="G1" s="5" t="s">
        <v>7</v>
      </c>
      <c r="H1" s="5" t="s">
        <v>443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482</v>
      </c>
      <c r="N1" s="5" t="s">
        <v>441</v>
      </c>
      <c r="O1" s="4" t="s">
        <v>440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452</v>
      </c>
      <c r="E3"/>
      <c r="F3">
        <v>19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451</v>
      </c>
      <c r="E6"/>
      <c r="F6">
        <v>10</v>
      </c>
      <c r="G6" t="s">
        <v>454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453</v>
      </c>
      <c r="E8"/>
      <c r="F8" s="39">
        <f>5+5</f>
        <v>10</v>
      </c>
      <c r="G8" t="s">
        <v>455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467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469</v>
      </c>
      <c r="E14" t="s">
        <v>485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470</v>
      </c>
      <c r="E15" t="s">
        <v>484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471</v>
      </c>
      <c r="E16" t="s">
        <v>101</v>
      </c>
      <c r="F16">
        <v>10</v>
      </c>
      <c r="G16" t="s">
        <v>457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472</v>
      </c>
      <c r="E17" t="s">
        <v>129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473</v>
      </c>
      <c r="E18" t="s">
        <v>486</v>
      </c>
      <c r="F18">
        <v>10</v>
      </c>
      <c r="G18" t="s">
        <v>458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472</v>
      </c>
      <c r="E19" t="s">
        <v>129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474</v>
      </c>
      <c r="E20" t="s">
        <v>103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473</v>
      </c>
      <c r="E21" t="s">
        <v>486</v>
      </c>
      <c r="F21">
        <v>10</v>
      </c>
      <c r="G21" t="s">
        <v>458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469</v>
      </c>
      <c r="E22" t="s">
        <v>485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475</v>
      </c>
      <c r="E23" t="s">
        <v>484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471</v>
      </c>
      <c r="E24" t="s">
        <v>101</v>
      </c>
      <c r="F24">
        <v>9.4</v>
      </c>
      <c r="G24" t="s">
        <v>457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474</v>
      </c>
      <c r="E25" t="s">
        <v>103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456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468</v>
      </c>
      <c r="F27" s="7">
        <v>0.88</v>
      </c>
      <c r="G27" s="8" t="s">
        <v>459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466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9">
    <cfRule type="expression" dxfId="86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161</v>
      </c>
      <c r="B1" s="33" t="s">
        <v>447</v>
      </c>
      <c r="C1" s="34" t="s">
        <v>448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workbookViewId="0">
      <selection activeCell="I77" sqref="I77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92</v>
      </c>
      <c r="B1" s="33" t="s">
        <v>93</v>
      </c>
      <c r="C1" s="33" t="s">
        <v>478</v>
      </c>
      <c r="D1" s="33" t="s">
        <v>159</v>
      </c>
    </row>
    <row r="2" spans="1:8" ht="14.25" x14ac:dyDescent="0.45">
      <c r="A2" t="s">
        <v>94</v>
      </c>
      <c r="B2" t="s">
        <v>95</v>
      </c>
      <c r="C2" s="46" t="str">
        <f t="shared" ref="C2:C57" si="0">IF(ISBLANK(B2), IF(ISBLANK(A2),"",A2), _xlfn.CONCAT(A2," (",B2,")"))</f>
        <v>Carl Dyson (Aerologic)</v>
      </c>
      <c r="H2" t="s">
        <v>142</v>
      </c>
    </row>
    <row r="3" spans="1:8" ht="14.25" x14ac:dyDescent="0.45">
      <c r="A3" t="s">
        <v>96</v>
      </c>
      <c r="B3" t="s">
        <v>97</v>
      </c>
      <c r="C3" s="46" t="str">
        <f t="shared" si="0"/>
        <v>Tommy Nolan (Ashby ICC)</v>
      </c>
      <c r="H3" t="s">
        <v>143</v>
      </c>
    </row>
    <row r="4" spans="1:8" ht="14.25" x14ac:dyDescent="0.45">
      <c r="A4" t="s">
        <v>507</v>
      </c>
      <c r="B4" t="s">
        <v>98</v>
      </c>
      <c r="C4" s="46" t="str">
        <f t="shared" si="0"/>
        <v>Jayne Mumford (W) (Cov Tri)</v>
      </c>
      <c r="D4" t="s">
        <v>14</v>
      </c>
      <c r="H4" t="s">
        <v>504</v>
      </c>
    </row>
    <row r="5" spans="1:8" ht="14.25" x14ac:dyDescent="0.45">
      <c r="A5" t="s">
        <v>99</v>
      </c>
      <c r="B5" t="s">
        <v>98</v>
      </c>
      <c r="C5" s="46" t="str">
        <f t="shared" si="0"/>
        <v>Simon Clarke (Cov Tri)</v>
      </c>
    </row>
    <row r="6" spans="1:8" ht="14.25" x14ac:dyDescent="0.45">
      <c r="A6" t="s">
        <v>490</v>
      </c>
      <c r="B6" t="s">
        <v>485</v>
      </c>
      <c r="C6" s="46" t="str">
        <f t="shared" si="0"/>
        <v>Andy Thomas (HCRC)</v>
      </c>
    </row>
    <row r="7" spans="1:8" ht="14.25" x14ac:dyDescent="0.45">
      <c r="A7" t="s">
        <v>491</v>
      </c>
      <c r="B7" t="s">
        <v>485</v>
      </c>
      <c r="C7" s="46" t="str">
        <f t="shared" si="0"/>
        <v>Colin Parkinson (SWRC) (HCRC)</v>
      </c>
    </row>
    <row r="8" spans="1:8" ht="14.25" x14ac:dyDescent="0.45">
      <c r="A8" t="s">
        <v>488</v>
      </c>
      <c r="B8" t="s">
        <v>485</v>
      </c>
      <c r="C8" s="46" t="str">
        <f t="shared" si="0"/>
        <v>Joe Murray (M I Racing) (HCRC)</v>
      </c>
    </row>
    <row r="9" spans="1:8" ht="14.25" x14ac:dyDescent="0.45">
      <c r="A9" t="s">
        <v>492</v>
      </c>
      <c r="B9" t="s">
        <v>485</v>
      </c>
      <c r="C9" s="46" t="str">
        <f t="shared" si="0"/>
        <v>Mick Wills (M I Racing) (HCRC)</v>
      </c>
    </row>
    <row r="10" spans="1:8" ht="14.25" x14ac:dyDescent="0.45">
      <c r="A10" t="s">
        <v>494</v>
      </c>
      <c r="B10" t="s">
        <v>101</v>
      </c>
      <c r="C10" s="46" t="str">
        <f t="shared" si="0"/>
        <v>Andy King (KCC)</v>
      </c>
    </row>
    <row r="11" spans="1:8" ht="14.25" x14ac:dyDescent="0.45">
      <c r="A11" t="s">
        <v>100</v>
      </c>
      <c r="B11" t="s">
        <v>101</v>
      </c>
      <c r="C11" s="46" t="str">
        <f t="shared" si="0"/>
        <v>Evan Collett Jnr (KCC)</v>
      </c>
    </row>
    <row r="12" spans="1:8" ht="14.25" x14ac:dyDescent="0.45">
      <c r="A12" t="s">
        <v>493</v>
      </c>
      <c r="B12" t="s">
        <v>101</v>
      </c>
      <c r="C12" s="46" t="str">
        <f t="shared" si="0"/>
        <v>Josh Brown (KCC)</v>
      </c>
    </row>
    <row r="13" spans="1:8" ht="14.25" x14ac:dyDescent="0.45">
      <c r="A13" t="s">
        <v>102</v>
      </c>
      <c r="B13" t="s">
        <v>103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104</v>
      </c>
      <c r="B14" t="s">
        <v>103</v>
      </c>
      <c r="C14" s="46" t="str">
        <f t="shared" si="0"/>
        <v>Mat Mabe (LFCC)</v>
      </c>
    </row>
    <row r="15" spans="1:8" ht="14.25" x14ac:dyDescent="0.45">
      <c r="A15" t="s">
        <v>105</v>
      </c>
      <c r="B15" t="s">
        <v>103</v>
      </c>
      <c r="C15" s="46" t="str">
        <f t="shared" si="0"/>
        <v>Matt Finch (LFCC)</v>
      </c>
    </row>
    <row r="16" spans="1:8" ht="14.25" x14ac:dyDescent="0.45">
      <c r="A16" t="s">
        <v>106</v>
      </c>
      <c r="B16" t="s">
        <v>103</v>
      </c>
      <c r="C16" s="46" t="str">
        <f t="shared" si="0"/>
        <v>Morris Mabe (LFCC)</v>
      </c>
    </row>
    <row r="17" spans="1:4" ht="14.25" x14ac:dyDescent="0.45">
      <c r="A17" t="s">
        <v>107</v>
      </c>
      <c r="B17" t="s">
        <v>103</v>
      </c>
      <c r="C17" s="46" t="str">
        <f t="shared" si="0"/>
        <v>Sam Nettel (LFCC)</v>
      </c>
    </row>
    <row r="18" spans="1:4" ht="14.25" x14ac:dyDescent="0.45">
      <c r="A18" t="s">
        <v>108</v>
      </c>
      <c r="B18" t="s">
        <v>103</v>
      </c>
      <c r="C18" s="46" t="str">
        <f t="shared" si="0"/>
        <v>Talles Medevives (LFCC)</v>
      </c>
    </row>
    <row r="19" spans="1:4" ht="14.25" x14ac:dyDescent="0.45">
      <c r="A19" t="s">
        <v>109</v>
      </c>
      <c r="B19" t="s">
        <v>110</v>
      </c>
      <c r="C19" s="46" t="str">
        <f t="shared" si="0"/>
        <v>Dean Tacey (LRC)</v>
      </c>
    </row>
    <row r="20" spans="1:4" ht="14.25" x14ac:dyDescent="0.45">
      <c r="A20" t="s">
        <v>111</v>
      </c>
      <c r="B20" t="s">
        <v>112</v>
      </c>
      <c r="C20" s="46" t="str">
        <f t="shared" si="0"/>
        <v>Chris Booth (MOCC)</v>
      </c>
    </row>
    <row r="21" spans="1:4" ht="14.25" x14ac:dyDescent="0.45">
      <c r="A21" t="s">
        <v>113</v>
      </c>
      <c r="B21" t="s">
        <v>112</v>
      </c>
      <c r="C21" s="46" t="str">
        <f t="shared" si="0"/>
        <v>David Cooper (MOCC)</v>
      </c>
    </row>
    <row r="22" spans="1:4" ht="14.25" x14ac:dyDescent="0.45">
      <c r="A22" t="s">
        <v>114</v>
      </c>
      <c r="B22" t="s">
        <v>112</v>
      </c>
      <c r="C22" s="46" t="str">
        <f t="shared" si="0"/>
        <v>Jamie Haines (MOCC)</v>
      </c>
    </row>
    <row r="23" spans="1:4" ht="14.25" x14ac:dyDescent="0.45">
      <c r="A23" t="s">
        <v>508</v>
      </c>
      <c r="B23" t="s">
        <v>112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502</v>
      </c>
      <c r="B24" t="s">
        <v>503</v>
      </c>
      <c r="C24" s="46" t="str">
        <f t="shared" si="0"/>
        <v>Ed Tarelli (Race Hub)</v>
      </c>
      <c r="D24" s="46"/>
    </row>
    <row r="25" spans="1:4" ht="14.25" x14ac:dyDescent="0.45">
      <c r="A25" t="s">
        <v>115</v>
      </c>
      <c r="B25" t="s">
        <v>116</v>
      </c>
      <c r="C25" s="46" t="str">
        <f t="shared" si="0"/>
        <v>Lewis Cooper (RAF Tri)</v>
      </c>
    </row>
    <row r="26" spans="1:4" ht="14.25" x14ac:dyDescent="0.45">
      <c r="A26" t="s">
        <v>117</v>
      </c>
      <c r="B26" t="s">
        <v>486</v>
      </c>
      <c r="C26" s="46" t="str">
        <f t="shared" si="0"/>
        <v>Alex Whitmore (Ratae)</v>
      </c>
    </row>
    <row r="27" spans="1:4" ht="14.25" x14ac:dyDescent="0.45">
      <c r="A27" t="s">
        <v>118</v>
      </c>
      <c r="B27" t="s">
        <v>486</v>
      </c>
      <c r="C27" s="46" t="str">
        <f t="shared" si="0"/>
        <v>Brian Lincoln (Ratae)</v>
      </c>
    </row>
    <row r="28" spans="1:4" ht="14.25" x14ac:dyDescent="0.45">
      <c r="A28" t="s">
        <v>119</v>
      </c>
      <c r="B28" t="s">
        <v>486</v>
      </c>
      <c r="C28" s="46" t="str">
        <f t="shared" si="0"/>
        <v>Chris Bonsor (Ratae)</v>
      </c>
    </row>
    <row r="29" spans="1:4" ht="14.25" x14ac:dyDescent="0.45">
      <c r="A29" t="s">
        <v>120</v>
      </c>
      <c r="B29" t="s">
        <v>486</v>
      </c>
      <c r="C29" s="46" t="str">
        <f t="shared" si="0"/>
        <v>Chris Spray (Ratae)</v>
      </c>
    </row>
    <row r="30" spans="1:4" ht="14.25" x14ac:dyDescent="0.45">
      <c r="A30" t="s">
        <v>505</v>
      </c>
      <c r="B30" t="s">
        <v>486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121</v>
      </c>
      <c r="B31" t="s">
        <v>486</v>
      </c>
      <c r="C31" s="46" t="str">
        <f t="shared" si="0"/>
        <v>Ed Watson (Ratae)</v>
      </c>
    </row>
    <row r="32" spans="1:4" ht="14.25" x14ac:dyDescent="0.45">
      <c r="A32" t="s">
        <v>501</v>
      </c>
      <c r="B32" t="s">
        <v>486</v>
      </c>
      <c r="C32" s="46" t="str">
        <f t="shared" si="0"/>
        <v>Jonathon Clarke (Ratae)</v>
      </c>
      <c r="D32" s="46"/>
    </row>
    <row r="33" spans="1:4" ht="14.25" x14ac:dyDescent="0.45">
      <c r="A33" t="s">
        <v>506</v>
      </c>
      <c r="B33" t="s">
        <v>486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122</v>
      </c>
      <c r="B34" t="s">
        <v>486</v>
      </c>
      <c r="C34" s="46" t="str">
        <f t="shared" si="0"/>
        <v>Mark Marmoy (Ratae)</v>
      </c>
    </row>
    <row r="35" spans="1:4" ht="14.25" x14ac:dyDescent="0.45">
      <c r="A35" t="s">
        <v>123</v>
      </c>
      <c r="B35" t="s">
        <v>486</v>
      </c>
      <c r="C35" s="46" t="str">
        <f t="shared" si="0"/>
        <v>Mark Newton (Ratae)</v>
      </c>
    </row>
    <row r="36" spans="1:4" ht="14.25" x14ac:dyDescent="0.45">
      <c r="A36" t="s">
        <v>124</v>
      </c>
      <c r="B36" t="s">
        <v>486</v>
      </c>
      <c r="C36" s="46" t="str">
        <f t="shared" si="0"/>
        <v>Marshall Briggs (Ratae)</v>
      </c>
    </row>
    <row r="37" spans="1:4" ht="14.25" x14ac:dyDescent="0.45">
      <c r="A37" t="s">
        <v>125</v>
      </c>
      <c r="B37" t="s">
        <v>486</v>
      </c>
      <c r="C37" s="46" t="str">
        <f t="shared" si="0"/>
        <v>Paul Eden (Ratae)</v>
      </c>
    </row>
    <row r="38" spans="1:4" ht="14.25" x14ac:dyDescent="0.45">
      <c r="A38" t="s">
        <v>126</v>
      </c>
      <c r="B38" t="s">
        <v>486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127</v>
      </c>
      <c r="B39" t="s">
        <v>486</v>
      </c>
      <c r="C39" s="46" t="str">
        <f t="shared" si="0"/>
        <v>Steve Pearce (Ratae)</v>
      </c>
    </row>
    <row r="40" spans="1:4" ht="14.25" x14ac:dyDescent="0.45">
      <c r="A40" t="s">
        <v>128</v>
      </c>
      <c r="B40" t="s">
        <v>129</v>
      </c>
      <c r="C40" s="46" t="str">
        <f t="shared" si="0"/>
        <v>Adam Wells (RFW)</v>
      </c>
    </row>
    <row r="41" spans="1:4" ht="14.25" x14ac:dyDescent="0.45">
      <c r="A41" t="s">
        <v>130</v>
      </c>
      <c r="B41" t="s">
        <v>129</v>
      </c>
      <c r="C41" s="46" t="str">
        <f t="shared" si="0"/>
        <v>Alex Borrowman (RFW)</v>
      </c>
    </row>
    <row r="42" spans="1:4" ht="14.25" x14ac:dyDescent="0.45">
      <c r="A42" t="s">
        <v>495</v>
      </c>
      <c r="B42" t="s">
        <v>129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131</v>
      </c>
      <c r="B43" t="s">
        <v>129</v>
      </c>
      <c r="C43" s="46" t="str">
        <f t="shared" si="0"/>
        <v>Chris Fowler (RFW)</v>
      </c>
    </row>
    <row r="44" spans="1:4" ht="14.25" x14ac:dyDescent="0.45">
      <c r="A44" t="s">
        <v>496</v>
      </c>
      <c r="B44" t="s">
        <v>129</v>
      </c>
      <c r="C44" s="46" t="str">
        <f t="shared" si="0"/>
        <v>Dan Hempkin (RFW)</v>
      </c>
    </row>
    <row r="45" spans="1:4" ht="14.25" x14ac:dyDescent="0.45">
      <c r="A45" t="s">
        <v>497</v>
      </c>
      <c r="B45" t="s">
        <v>129</v>
      </c>
      <c r="C45" s="46" t="str">
        <f t="shared" si="0"/>
        <v>David Hill (RFW)</v>
      </c>
    </row>
    <row r="46" spans="1:4" ht="14.25" x14ac:dyDescent="0.45">
      <c r="A46" t="s">
        <v>132</v>
      </c>
      <c r="B46" t="s">
        <v>129</v>
      </c>
      <c r="C46" s="46" t="str">
        <f t="shared" si="0"/>
        <v>Ethan Mitchell-Clarke (RFW)</v>
      </c>
    </row>
    <row r="47" spans="1:4" ht="14.25" x14ac:dyDescent="0.45">
      <c r="A47" t="s">
        <v>498</v>
      </c>
      <c r="B47" t="s">
        <v>129</v>
      </c>
      <c r="C47" s="46" t="str">
        <f t="shared" si="0"/>
        <v>Giles Cooper (RFW)</v>
      </c>
    </row>
    <row r="48" spans="1:4" ht="14.25" x14ac:dyDescent="0.45">
      <c r="A48" t="s">
        <v>499</v>
      </c>
      <c r="B48" t="s">
        <v>129</v>
      </c>
      <c r="C48" s="46" t="str">
        <f t="shared" si="0"/>
        <v>Gregg Payne (RFW)</v>
      </c>
    </row>
    <row r="49" spans="1:4" ht="14.25" x14ac:dyDescent="0.45">
      <c r="A49" t="s">
        <v>133</v>
      </c>
      <c r="B49" t="s">
        <v>129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134</v>
      </c>
      <c r="B50" t="s">
        <v>129</v>
      </c>
      <c r="C50" s="46" t="str">
        <f t="shared" si="0"/>
        <v>Michael Carter (RFW)</v>
      </c>
    </row>
    <row r="51" spans="1:4" ht="14.25" x14ac:dyDescent="0.45">
      <c r="A51" t="s">
        <v>125</v>
      </c>
      <c r="B51" t="s">
        <v>129</v>
      </c>
      <c r="C51" s="46" t="str">
        <f t="shared" si="0"/>
        <v>Paul Eden (RFW)</v>
      </c>
    </row>
    <row r="52" spans="1:4" ht="14.25" x14ac:dyDescent="0.45">
      <c r="A52" t="s">
        <v>489</v>
      </c>
      <c r="B52" t="s">
        <v>129</v>
      </c>
      <c r="C52" s="46" t="str">
        <f t="shared" si="0"/>
        <v>Paul Russell (RFW)</v>
      </c>
    </row>
    <row r="53" spans="1:4" ht="14.25" x14ac:dyDescent="0.45">
      <c r="A53" t="s">
        <v>500</v>
      </c>
      <c r="B53" t="s">
        <v>129</v>
      </c>
      <c r="C53" s="46" t="str">
        <f t="shared" si="0"/>
        <v>Paul Ryan (RFW)</v>
      </c>
    </row>
    <row r="54" spans="1:4" ht="14.25" x14ac:dyDescent="0.45">
      <c r="A54" t="s">
        <v>135</v>
      </c>
      <c r="B54" t="s">
        <v>129</v>
      </c>
      <c r="C54" s="46" t="str">
        <f t="shared" si="0"/>
        <v>Phil Wilkinson (RFW)</v>
      </c>
    </row>
    <row r="55" spans="1:4" ht="14.25" x14ac:dyDescent="0.45">
      <c r="A55" t="s">
        <v>136</v>
      </c>
      <c r="B55" t="s">
        <v>137</v>
      </c>
      <c r="C55" s="46" t="str">
        <f t="shared" si="0"/>
        <v>Adrian James (Rugby RCC)</v>
      </c>
    </row>
    <row r="56" spans="1:4" ht="14.25" x14ac:dyDescent="0.45">
      <c r="A56" t="s">
        <v>138</v>
      </c>
      <c r="B56" t="s">
        <v>139</v>
      </c>
      <c r="C56" s="46" t="str">
        <f t="shared" si="0"/>
        <v>Carl Shaw (Speedhub)</v>
      </c>
    </row>
    <row r="57" spans="1:4" ht="14.25" x14ac:dyDescent="0.45">
      <c r="A57" t="s">
        <v>140</v>
      </c>
      <c r="B57" t="s">
        <v>141</v>
      </c>
      <c r="C57" s="46" t="str">
        <f t="shared" si="0"/>
        <v>Oliver Searle (St Ives CC)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5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J10" sqref="J10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 t="s">
        <v>522</v>
      </c>
      <c r="B2" s="41">
        <f>IF(A2="","",_xlfn.XLOOKUP(A2,ClubNames,ClubNumbers,_xlfn.XLOOKUP(A2,RoundRobinRiderNames,RoundRobinRiderDecoratedNames,A2)))</f>
        <v>1107</v>
      </c>
      <c r="C2" s="17">
        <v>0</v>
      </c>
      <c r="D2" s="18">
        <v>27</v>
      </c>
      <c r="E2" s="18">
        <v>9</v>
      </c>
      <c r="F2" s="18" t="s">
        <v>529</v>
      </c>
      <c r="G2" s="18"/>
      <c r="H2" s="19" t="str">
        <f>IF($B2="","",IF($J2="X",B2,CONCATENATE(VLOOKUP(B2,Competitors!$A$2:$I$650,3, FALSE)," ",VLOOKUP(B2,Competitors!$A$2:$I$650,2,FALSE))))</f>
        <v>Milly Pinnock</v>
      </c>
      <c r="I2" s="20">
        <f>IF(LEFT($F2,1)="D",UPPER($F2),(C2*3600+D2*60+E2)/86400)</f>
        <v>1.8854166666666668E-2</v>
      </c>
      <c r="J2" t="str">
        <f>IF(OR(B2="",ISNUMBER(B2)),"","X")</f>
        <v/>
      </c>
    </row>
    <row r="3" spans="1:10" ht="15" x14ac:dyDescent="0.4">
      <c r="A3" s="40" t="s">
        <v>509</v>
      </c>
      <c r="B3" s="41">
        <f>IF(A3="","",_xlfn.XLOOKUP(A3,ClubNames,ClubNumbers,_xlfn.XLOOKUP(A3,RoundRobinRiderNames,RoundRobinRiderDecoratedNames,A3)))</f>
        <v>747</v>
      </c>
      <c r="C3" s="17">
        <v>0</v>
      </c>
      <c r="D3" s="18">
        <v>23</v>
      </c>
      <c r="E3" s="18">
        <v>33</v>
      </c>
      <c r="F3" s="18"/>
      <c r="G3" s="18"/>
      <c r="H3" s="19" t="str">
        <f>IF($B3="","",IF($J3="X",B3,CONCATENATE(VLOOKUP(B3,Competitors!$A$2:$I$650,3, FALSE)," ",VLOOKUP(B3,Competitors!$A$2:$I$650,2,FALSE))))</f>
        <v>James Moore</v>
      </c>
      <c r="I3" s="20">
        <f>IF(LEFT($F3,1)="D",UPPER($F3),(C3*3600+D3*60+E3)/86400)</f>
        <v>1.6354166666666666E-2</v>
      </c>
      <c r="J3" t="str">
        <f>IF(OR(B3="",ISNUMBER(B3)),"","X")</f>
        <v/>
      </c>
    </row>
    <row r="4" spans="1:10" ht="15" x14ac:dyDescent="0.4">
      <c r="A4" s="40" t="s">
        <v>127</v>
      </c>
      <c r="B4" s="41" t="str">
        <f>IF(A4="","",_xlfn.XLOOKUP(A4,ClubNames,ClubNumbers,_xlfn.XLOOKUP(A4,RoundRobinRiderNames,RoundRobinRiderDecoratedNames,A4)))</f>
        <v>Steve Pearce (Ratae)</v>
      </c>
      <c r="C4" s="17">
        <v>0</v>
      </c>
      <c r="D4" s="18">
        <v>26</v>
      </c>
      <c r="E4" s="18">
        <v>21</v>
      </c>
      <c r="F4" s="18" t="s">
        <v>529</v>
      </c>
      <c r="G4" s="18"/>
      <c r="H4" s="19" t="str">
        <f>IF($B4="","",IF($J4="X",B4,CONCATENATE(VLOOKUP(B4,Competitors!$A$2:$I$650,3, FALSE)," ",VLOOKUP(B4,Competitors!$A$2:$I$650,2,FALSE))))</f>
        <v>Steve Pearce (Ratae)</v>
      </c>
      <c r="I4" s="20">
        <f>IF(LEFT($F4,1)="D",UPPER($F4),(C4*3600+D4*60+E4)/86400)</f>
        <v>1.8298611111111113E-2</v>
      </c>
      <c r="J4" t="str">
        <f>IF(OR(B4="",ISNUMBER(B4)),"","X")</f>
        <v>X</v>
      </c>
    </row>
    <row r="5" spans="1:10" ht="15" x14ac:dyDescent="0.4">
      <c r="A5" s="40" t="s">
        <v>133</v>
      </c>
      <c r="B5" s="41" t="str">
        <f>IF(A5="","",_xlfn.XLOOKUP(A5,ClubNames,ClubNumbers,_xlfn.XLOOKUP(A5,RoundRobinRiderNames,RoundRobinRiderDecoratedNames,A5)))</f>
        <v>Lynne Scofield (RFW)</v>
      </c>
      <c r="C5" s="17">
        <v>0</v>
      </c>
      <c r="D5" s="18">
        <v>29</v>
      </c>
      <c r="E5" s="18">
        <v>25</v>
      </c>
      <c r="F5" s="18"/>
      <c r="G5" s="18"/>
      <c r="H5" s="19" t="str">
        <f>IF($B5="","",IF($J5="X",B5,CONCATENATE(VLOOKUP(B5,Competitors!$A$2:$I$650,3, FALSE)," ",VLOOKUP(B5,Competitors!$A$2:$I$650,2,FALSE))))</f>
        <v>Lynne Scofield (RFW)</v>
      </c>
      <c r="I5" s="20">
        <f>IF(LEFT($F5,1)="D",UPPER($F5),(C5*3600+D5*60+E5)/86400)</f>
        <v>2.042824074074074E-2</v>
      </c>
      <c r="J5" t="str">
        <f>IF(OR(B5="",ISNUMBER(B5)),"","X")</f>
        <v>X</v>
      </c>
    </row>
    <row r="6" spans="1:10" ht="15" x14ac:dyDescent="0.4">
      <c r="A6" s="40" t="s">
        <v>123</v>
      </c>
      <c r="B6" s="41" t="str">
        <f>IF(A6="","",_xlfn.XLOOKUP(A6,ClubNames,ClubNumbers,_xlfn.XLOOKUP(A6,RoundRobinRiderNames,RoundRobinRiderDecoratedNames,A6)))</f>
        <v>Mark Newton (Ratae)</v>
      </c>
      <c r="C6" s="17">
        <v>0</v>
      </c>
      <c r="D6" s="18">
        <v>26</v>
      </c>
      <c r="E6" s="18">
        <v>11</v>
      </c>
      <c r="F6" s="18"/>
      <c r="G6" s="18"/>
      <c r="H6" s="19" t="str">
        <f>IF($B6="","",IF($J6="X",B6,CONCATENATE(VLOOKUP(B6,Competitors!$A$2:$I$650,3, FALSE)," ",VLOOKUP(B6,Competitors!$A$2:$I$650,2,FALSE))))</f>
        <v>Mark Newton (Ratae)</v>
      </c>
      <c r="I6" s="20">
        <f>IF(LEFT($F6,1)="D",UPPER($F6),(C6*3600+D6*60+E6)/86400)</f>
        <v>1.818287037037037E-2</v>
      </c>
      <c r="J6" t="str">
        <f>IF(OR(B6="",ISNUMBER(B6)),"","X")</f>
        <v>X</v>
      </c>
    </row>
    <row r="7" spans="1:10" ht="15" x14ac:dyDescent="0.4">
      <c r="A7" s="40" t="s">
        <v>121</v>
      </c>
      <c r="B7" s="41" t="str">
        <f>IF(A7="","",_xlfn.XLOOKUP(A7,ClubNames,ClubNumbers,_xlfn.XLOOKUP(A7,RoundRobinRiderNames,RoundRobinRiderDecoratedNames,A7)))</f>
        <v>Ed Watson (Ratae)</v>
      </c>
      <c r="C7" s="17">
        <v>0</v>
      </c>
      <c r="D7" s="18">
        <v>25</v>
      </c>
      <c r="E7" s="18">
        <v>30</v>
      </c>
      <c r="F7" s="18"/>
      <c r="G7" s="18"/>
      <c r="H7" s="19" t="str">
        <f>IF($B7="","",IF($J7="X",B7,CONCATENATE(VLOOKUP(B7,Competitors!$A$2:$I$650,3, FALSE)," ",VLOOKUP(B7,Competitors!$A$2:$I$650,2,FALSE))))</f>
        <v>Ed Watson (Ratae)</v>
      </c>
      <c r="I7" s="20">
        <f>IF(LEFT($F7,1)="D",UPPER($F7),(C7*3600+D7*60+E7)/86400)</f>
        <v>1.7708333333333333E-2</v>
      </c>
      <c r="J7" t="str">
        <f>IF(OR(B7="",ISNUMBER(B7)),"","X")</f>
        <v>X</v>
      </c>
    </row>
    <row r="8" spans="1:10" ht="15" x14ac:dyDescent="0.4">
      <c r="A8" s="40" t="s">
        <v>514</v>
      </c>
      <c r="B8" s="41">
        <f>IF(A8="","",_xlfn.XLOOKUP(A8,ClubNames,ClubNumbers,_xlfn.XLOOKUP(A8,RoundRobinRiderNames,RoundRobinRiderDecoratedNames,A8)))</f>
        <v>203</v>
      </c>
      <c r="C8" s="17">
        <v>0</v>
      </c>
      <c r="D8" s="18">
        <v>26</v>
      </c>
      <c r="E8" s="18">
        <v>0</v>
      </c>
      <c r="F8" s="18"/>
      <c r="G8" s="18"/>
      <c r="H8" s="19" t="str">
        <f>IF($B8="","",IF($J8="X",B8,CONCATENATE(VLOOKUP(B8,Competitors!$A$2:$I$650,3, FALSE)," ",VLOOKUP(B8,Competitors!$A$2:$I$650,2,FALSE))))</f>
        <v>Adrian Killworth</v>
      </c>
      <c r="I8" s="20">
        <f>IF(LEFT($F8,1)="D",UPPER($F8),(C8*3600+D8*60+E8)/86400)</f>
        <v>1.8055555555555554E-2</v>
      </c>
      <c r="J8" t="str">
        <f>IF(OR(B8="",ISNUMBER(B8)),"","X")</f>
        <v/>
      </c>
    </row>
    <row r="9" spans="1:10" ht="15" x14ac:dyDescent="0.4">
      <c r="A9" s="40" t="s">
        <v>527</v>
      </c>
      <c r="B9" s="41">
        <f>IF(A9="","",_xlfn.XLOOKUP(A9,ClubNames,ClubNumbers,_xlfn.XLOOKUP(A9,RoundRobinRiderNames,RoundRobinRiderDecoratedNames,A9)))</f>
        <v>7</v>
      </c>
      <c r="C9" s="17">
        <v>0</v>
      </c>
      <c r="D9" s="18">
        <v>32</v>
      </c>
      <c r="E9" s="18">
        <v>48</v>
      </c>
      <c r="F9" s="18" t="s">
        <v>529</v>
      </c>
      <c r="G9" s="18"/>
      <c r="H9" s="19" t="str">
        <f>IF($B9="","",IF($J9="X",B9,CONCATENATE(VLOOKUP(B9,Competitors!$A$2:$I$650,3, FALSE)," ",VLOOKUP(B9,Competitors!$A$2:$I$650,2,FALSE))))</f>
        <v>Vic Barnett</v>
      </c>
      <c r="I9" s="20">
        <f>IF(LEFT($F9,1)="D",UPPER($F9),(C9*3600+D9*60+E9)/86400)</f>
        <v>2.2777777777777779E-2</v>
      </c>
      <c r="J9" t="str">
        <f>IF(OR(B9="",ISNUMBER(B9)),"","X")</f>
        <v/>
      </c>
    </row>
    <row r="10" spans="1:10" ht="15" x14ac:dyDescent="0.4">
      <c r="A10" s="40" t="s">
        <v>513</v>
      </c>
      <c r="B10" s="41">
        <f>IF(A10="","",_xlfn.XLOOKUP(A10,ClubNames,ClubNumbers,_xlfn.XLOOKUP(A10,RoundRobinRiderNames,RoundRobinRiderDecoratedNames,A10)))</f>
        <v>1192</v>
      </c>
      <c r="C10" s="17">
        <v>0</v>
      </c>
      <c r="D10" s="18">
        <v>25</v>
      </c>
      <c r="E10" s="18">
        <v>41</v>
      </c>
      <c r="F10" s="18"/>
      <c r="G10" s="18"/>
      <c r="H10" s="19" t="str">
        <f>IF($B10="","",IF($J10="X",B10,CONCATENATE(VLOOKUP(B10,Competitors!$A$2:$I$650,3, FALSE)," ",VLOOKUP(B10,Competitors!$A$2:$I$650,2,FALSE))))</f>
        <v>Dale Norris</v>
      </c>
      <c r="I10" s="20">
        <f>IF(LEFT($F10,1)="D",UPPER($F10),(C10*3600+D10*60+E10)/86400)</f>
        <v>1.7835648148148149E-2</v>
      </c>
      <c r="J10" t="str">
        <f>IF(OR(B10="",ISNUMBER(B10)),"","X")</f>
        <v/>
      </c>
    </row>
    <row r="11" spans="1:10" ht="15" x14ac:dyDescent="0.4">
      <c r="A11" s="40" t="s">
        <v>512</v>
      </c>
      <c r="B11" s="41">
        <f>IF(A11="","",_xlfn.XLOOKUP(A11,ClubNames,ClubNumbers,_xlfn.XLOOKUP(A11,RoundRobinRiderNames,RoundRobinRiderDecoratedNames,A11)))</f>
        <v>415</v>
      </c>
      <c r="C11" s="17">
        <v>0</v>
      </c>
      <c r="D11" s="18">
        <v>25</v>
      </c>
      <c r="E11" s="18">
        <v>21</v>
      </c>
      <c r="F11" s="18" t="s">
        <v>529</v>
      </c>
      <c r="G11" s="18"/>
      <c r="H11" s="19" t="str">
        <f>IF($B11="","",IF($J11="X",B11,CONCATENATE(VLOOKUP(B11,Competitors!$A$2:$I$650,3, FALSE)," ",VLOOKUP(B11,Competitors!$A$2:$I$650,2,FALSE))))</f>
        <v>Nik Kershaw</v>
      </c>
      <c r="I11" s="20">
        <f>IF(LEFT($F11,1)="D",UPPER($F11),(C11*3600+D11*60+E11)/86400)</f>
        <v>1.7604166666666667E-2</v>
      </c>
      <c r="J11" t="str">
        <f>IF(OR(B11="",ISNUMBER(B11)),"","X")</f>
        <v/>
      </c>
    </row>
    <row r="12" spans="1:10" ht="15" x14ac:dyDescent="0.4">
      <c r="A12" s="40" t="s">
        <v>516</v>
      </c>
      <c r="B12" s="41">
        <f>IF(A12="","",_xlfn.XLOOKUP(A12,ClubNames,ClubNumbers,_xlfn.XLOOKUP(A12,RoundRobinRiderNames,RoundRobinRiderDecoratedNames,A12)))</f>
        <v>1383</v>
      </c>
      <c r="C12" s="17">
        <v>0</v>
      </c>
      <c r="D12" s="18">
        <v>26</v>
      </c>
      <c r="E12" s="18">
        <v>9</v>
      </c>
      <c r="F12" s="18"/>
      <c r="G12" s="18"/>
      <c r="H12" s="19" t="str">
        <f>IF($B12="","",IF($J12="X",B12,CONCATENATE(VLOOKUP(B12,Competitors!$A$2:$I$650,3, FALSE)," ",VLOOKUP(B12,Competitors!$A$2:$I$650,2,FALSE))))</f>
        <v>Evan Collett</v>
      </c>
      <c r="I12" s="20">
        <f>IF(LEFT($F12,1)="D",UPPER($F12),(C12*3600+D12*60+E12)/86400)</f>
        <v>1.8159722222222223E-2</v>
      </c>
      <c r="J12" t="str">
        <f>IF(OR(B12="",ISNUMBER(B12)),"","X")</f>
        <v/>
      </c>
    </row>
    <row r="13" spans="1:10" ht="15" x14ac:dyDescent="0.4">
      <c r="A13" s="40" t="s">
        <v>117</v>
      </c>
      <c r="B13" s="41" t="str">
        <f>IF(A13="","",_xlfn.XLOOKUP(A13,ClubNames,ClubNumbers,_xlfn.XLOOKUP(A13,RoundRobinRiderNames,RoundRobinRiderDecoratedNames,A13)))</f>
        <v>Alex Whitmore (Ratae)</v>
      </c>
      <c r="C13" s="17">
        <v>0</v>
      </c>
      <c r="D13" s="18">
        <v>22</v>
      </c>
      <c r="E13" s="18">
        <v>58</v>
      </c>
      <c r="F13" s="18" t="s">
        <v>529</v>
      </c>
      <c r="G13" s="18"/>
      <c r="H13" s="19" t="str">
        <f>IF($B13="","",IF($J13="X",B13,CONCATENATE(VLOOKUP(B13,Competitors!$A$2:$I$650,3, FALSE)," ",VLOOKUP(B13,Competitors!$A$2:$I$650,2,FALSE))))</f>
        <v>Alex Whitmore (Ratae)</v>
      </c>
      <c r="I13" s="20">
        <f>IF(LEFT($F13,1)="D",UPPER($F13),(C13*3600+D13*60+E13)/86400)</f>
        <v>1.5949074074074074E-2</v>
      </c>
      <c r="J13" t="str">
        <f>IF(OR(B13="",ISNUMBER(B13)),"","X")</f>
        <v>X</v>
      </c>
    </row>
    <row r="14" spans="1:10" ht="15" x14ac:dyDescent="0.4">
      <c r="A14" s="40" t="s">
        <v>118</v>
      </c>
      <c r="B14" s="41" t="str">
        <f>IF(A14="","",_xlfn.XLOOKUP(A14,ClubNames,ClubNumbers,_xlfn.XLOOKUP(A14,RoundRobinRiderNames,RoundRobinRiderDecoratedNames,A14)))</f>
        <v>Brian Lincoln (Ratae)</v>
      </c>
      <c r="C14" s="17">
        <v>0</v>
      </c>
      <c r="D14" s="18">
        <v>30</v>
      </c>
      <c r="E14" s="18">
        <v>24</v>
      </c>
      <c r="F14" s="18" t="s">
        <v>529</v>
      </c>
      <c r="G14" s="18"/>
      <c r="H14" s="19" t="str">
        <f>IF($B14="","",IF($J14="X",B14,CONCATENATE(VLOOKUP(B14,Competitors!$A$2:$I$650,3, FALSE)," ",VLOOKUP(B14,Competitors!$A$2:$I$650,2,FALSE))))</f>
        <v>Brian Lincoln (Ratae)</v>
      </c>
      <c r="I14" s="20">
        <f>IF(LEFT($F14,1)="D",UPPER($F14),(C14*3600+D14*60+E14)/86400)</f>
        <v>2.1111111111111112E-2</v>
      </c>
      <c r="J14" t="str">
        <f>IF(OR(B14="",ISNUMBER(B14)),"","X")</f>
        <v>X</v>
      </c>
    </row>
    <row r="15" spans="1:10" ht="15" x14ac:dyDescent="0.4">
      <c r="A15" s="40" t="s">
        <v>124</v>
      </c>
      <c r="B15" s="41" t="str">
        <f>IF(A15="","",_xlfn.XLOOKUP(A15,ClubNames,ClubNumbers,_xlfn.XLOOKUP(A15,RoundRobinRiderNames,RoundRobinRiderDecoratedNames,A15)))</f>
        <v>Marshall Briggs (Ratae)</v>
      </c>
      <c r="C15" s="17">
        <v>0</v>
      </c>
      <c r="D15" s="18">
        <v>27</v>
      </c>
      <c r="E15" s="18">
        <v>23</v>
      </c>
      <c r="F15" s="18"/>
      <c r="G15" s="18"/>
      <c r="H15" s="19" t="str">
        <f>IF($B15="","",IF($J15="X",B15,CONCATENATE(VLOOKUP(B15,Competitors!$A$2:$I$650,3, FALSE)," ",VLOOKUP(B15,Competitors!$A$2:$I$650,2,FALSE))))</f>
        <v>Marshall Briggs (Ratae)</v>
      </c>
      <c r="I15" s="20">
        <f>IF(LEFT($F15,1)="D",UPPER($F15),(C15*3600+D15*60+E15)/86400)</f>
        <v>1.9016203703703705E-2</v>
      </c>
      <c r="J15" t="str">
        <f>IF(OR(B15="",ISNUMBER(B15)),"","X")</f>
        <v>X</v>
      </c>
    </row>
    <row r="16" spans="1:10" ht="15" x14ac:dyDescent="0.4">
      <c r="A16" s="40" t="s">
        <v>120</v>
      </c>
      <c r="B16" s="41" t="str">
        <f>IF(A16="","",_xlfn.XLOOKUP(A16,ClubNames,ClubNumbers,_xlfn.XLOOKUP(A16,RoundRobinRiderNames,RoundRobinRiderDecoratedNames,A16)))</f>
        <v>Chris Spray (Ratae)</v>
      </c>
      <c r="C16" s="17">
        <v>0</v>
      </c>
      <c r="D16" s="18">
        <v>25</v>
      </c>
      <c r="E16" s="18">
        <v>6</v>
      </c>
      <c r="F16" s="18"/>
      <c r="G16" s="18"/>
      <c r="H16" s="19" t="str">
        <f>IF($B16="","",IF($J16="X",B16,CONCATENATE(VLOOKUP(B16,Competitors!$A$2:$I$650,3, FALSE)," ",VLOOKUP(B16,Competitors!$A$2:$I$650,2,FALSE))))</f>
        <v>Chris Spray (Ratae)</v>
      </c>
      <c r="I16" s="20">
        <f>IF(LEFT($F16,1)="D",UPPER($F16),(C16*3600+D16*60+E16)/86400)</f>
        <v>1.7430555555555557E-2</v>
      </c>
      <c r="J16" t="str">
        <f>IF(OR(B16="",ISNUMBER(B16)),"","X")</f>
        <v>X</v>
      </c>
    </row>
    <row r="17" spans="1:10" ht="15" x14ac:dyDescent="0.4">
      <c r="A17" s="40" t="s">
        <v>521</v>
      </c>
      <c r="B17" s="41">
        <f>IF(A17="","",_xlfn.XLOOKUP(A17,ClubNames,ClubNumbers,_xlfn.XLOOKUP(A17,RoundRobinRiderNames,RoundRobinRiderDecoratedNames,A17)))</f>
        <v>1237</v>
      </c>
      <c r="C17" s="17">
        <v>0</v>
      </c>
      <c r="D17" s="18">
        <v>27</v>
      </c>
      <c r="E17" s="18">
        <v>6</v>
      </c>
      <c r="F17" s="18" t="s">
        <v>529</v>
      </c>
      <c r="G17" s="18"/>
      <c r="H17" s="19" t="str">
        <f>IF($B17="","",IF($J17="X",B17,CONCATENATE(VLOOKUP(B17,Competitors!$A$2:$I$650,3, FALSE)," ",VLOOKUP(B17,Competitors!$A$2:$I$650,2,FALSE))))</f>
        <v>John Abbott</v>
      </c>
      <c r="I17" s="20">
        <f>IF(LEFT($F17,1)="D",UPPER($F17),(C17*3600+D17*60+E17)/86400)</f>
        <v>1.8819444444444444E-2</v>
      </c>
      <c r="J17" t="str">
        <f>IF(OR(B17="",ISNUMBER(B17)),"","X")</f>
        <v/>
      </c>
    </row>
    <row r="18" spans="1:10" ht="15" x14ac:dyDescent="0.4">
      <c r="A18" s="40" t="s">
        <v>526</v>
      </c>
      <c r="B18" s="41">
        <f>IF(A18="","",_xlfn.XLOOKUP(A18,ClubNames,ClubNumbers,_xlfn.XLOOKUP(A18,RoundRobinRiderNames,RoundRobinRiderDecoratedNames,A18)))</f>
        <v>1386</v>
      </c>
      <c r="C18" s="17">
        <v>0</v>
      </c>
      <c r="D18" s="18">
        <v>28</v>
      </c>
      <c r="E18" s="18">
        <v>57</v>
      </c>
      <c r="F18" s="18" t="s">
        <v>529</v>
      </c>
      <c r="G18" s="18"/>
      <c r="H18" s="19" t="str">
        <f>IF($B18="","",IF($J18="X",B18,CONCATENATE(VLOOKUP(B18,Competitors!$A$2:$I$650,3, FALSE)," ",VLOOKUP(B18,Competitors!$A$2:$I$650,2,FALSE))))</f>
        <v>Mea Moore</v>
      </c>
      <c r="I18" s="20">
        <f>IF(LEFT($F18,1)="D",UPPER($F18),(C18*3600+D18*60+E18)/86400)</f>
        <v>2.0104166666666666E-2</v>
      </c>
      <c r="J18" t="str">
        <f>IF(OR(B18="",ISNUMBER(B18)),"","X")</f>
        <v/>
      </c>
    </row>
    <row r="19" spans="1:10" ht="15" x14ac:dyDescent="0.4">
      <c r="A19" s="40" t="s">
        <v>528</v>
      </c>
      <c r="B19" s="41">
        <f>IF(A19="","",_xlfn.XLOOKUP(A19,ClubNames,ClubNumbers,_xlfn.XLOOKUP(A19,RoundRobinRiderNames,RoundRobinRiderDecoratedNames,A19)))</f>
        <v>935</v>
      </c>
      <c r="C19" s="17">
        <v>0</v>
      </c>
      <c r="D19" s="18">
        <v>32</v>
      </c>
      <c r="E19" s="18">
        <v>57</v>
      </c>
      <c r="F19" s="18"/>
      <c r="G19" s="18"/>
      <c r="H19" s="19" t="str">
        <f>IF($B19="","",IF($J19="X",B19,CONCATENATE(VLOOKUP(B19,Competitors!$A$2:$I$650,3, FALSE)," ",VLOOKUP(B19,Competitors!$A$2:$I$650,2,FALSE))))</f>
        <v>Sophie Ward</v>
      </c>
      <c r="I19" s="20">
        <f>IF(LEFT($F19,1)="D",UPPER($F19),(C19*3600+D19*60+E19)/86400)</f>
        <v>2.2881944444444444E-2</v>
      </c>
      <c r="J19" t="str">
        <f>IF(OR(B19="",ISNUMBER(B19)),"","X")</f>
        <v/>
      </c>
    </row>
    <row r="20" spans="1:10" ht="15" x14ac:dyDescent="0.4">
      <c r="A20" s="40" t="s">
        <v>128</v>
      </c>
      <c r="B20" s="41" t="str">
        <f>IF(A20="","",_xlfn.XLOOKUP(A20,ClubNames,ClubNumbers,_xlfn.XLOOKUP(A20,RoundRobinRiderNames,RoundRobinRiderDecoratedNames,A20)))</f>
        <v>Adam Wells (RFW)</v>
      </c>
      <c r="C20" s="17">
        <v>0</v>
      </c>
      <c r="D20" s="18">
        <v>23</v>
      </c>
      <c r="E20" s="18">
        <v>29</v>
      </c>
      <c r="F20" s="18"/>
      <c r="G20" s="18"/>
      <c r="H20" s="19" t="str">
        <f>IF($B20="","",IF($J20="X",B20,CONCATENATE(VLOOKUP(B20,Competitors!$A$2:$I$650,3, FALSE)," ",VLOOKUP(B20,Competitors!$A$2:$I$650,2,FALSE))))</f>
        <v>Adam Wells (RFW)</v>
      </c>
      <c r="I20" s="20">
        <f>IF(LEFT($F20,1)="D",UPPER($F20),(C20*3600+D20*60+E20)/86400)</f>
        <v>1.6307870370370372E-2</v>
      </c>
      <c r="J20" t="str">
        <f>IF(OR(B20="",ISNUMBER(B20)),"","X")</f>
        <v>X</v>
      </c>
    </row>
    <row r="21" spans="1:10" ht="15" x14ac:dyDescent="0.4">
      <c r="A21" s="40" t="s">
        <v>519</v>
      </c>
      <c r="B21" s="41">
        <f>IF(A21="","",_xlfn.XLOOKUP(A21,ClubNames,ClubNumbers,_xlfn.XLOOKUP(A21,RoundRobinRiderNames,RoundRobinRiderDecoratedNames,A21)))</f>
        <v>846</v>
      </c>
      <c r="C21" s="17">
        <v>0</v>
      </c>
      <c r="D21" s="18">
        <v>26</v>
      </c>
      <c r="E21" s="18">
        <v>53</v>
      </c>
      <c r="F21" s="18"/>
      <c r="G21" s="18"/>
      <c r="H21" s="19" t="str">
        <f>IF($B21="","",IF($J21="X",B21,CONCATENATE(VLOOKUP(B21,Competitors!$A$2:$I$650,3, FALSE)," ",VLOOKUP(B21,Competitors!$A$2:$I$650,2,FALSE))))</f>
        <v>Roger Kockelbergh</v>
      </c>
      <c r="I21" s="20">
        <f>IF(LEFT($F21,1)="D",UPPER($F21),(C21*3600+D21*60+E21)/86400)</f>
        <v>1.8668981481481481E-2</v>
      </c>
      <c r="J21" t="str">
        <f>IF(OR(B21="",ISNUMBER(B21)),"","X")</f>
        <v/>
      </c>
    </row>
    <row r="22" spans="1:10" ht="15" x14ac:dyDescent="0.4">
      <c r="A22" s="40" t="s">
        <v>515</v>
      </c>
      <c r="B22" s="41">
        <f>IF(A22="","",_xlfn.XLOOKUP(A22,ClubNames,ClubNumbers,_xlfn.XLOOKUP(A22,RoundRobinRiderNames,RoundRobinRiderDecoratedNames,A22)))</f>
        <v>1254</v>
      </c>
      <c r="C22" s="17">
        <v>0</v>
      </c>
      <c r="D22" s="18">
        <v>26</v>
      </c>
      <c r="E22" s="18">
        <v>4</v>
      </c>
      <c r="F22" s="18"/>
      <c r="G22" s="18"/>
      <c r="H22" s="19" t="str">
        <f>IF($B22="","",IF($J22="X",B22,CONCATENATE(VLOOKUP(B22,Competitors!$A$2:$I$650,3, FALSE)," ",VLOOKUP(B22,Competitors!$A$2:$I$650,2,FALSE))))</f>
        <v>Paul White</v>
      </c>
      <c r="I22" s="20">
        <f>IF(LEFT($F22,1)="D",UPPER($F22),(C22*3600+D22*60+E22)/86400)</f>
        <v>1.8101851851851852E-2</v>
      </c>
      <c r="J22" t="str">
        <f>IF(OR(B22="",ISNUMBER(B22)),"","X")</f>
        <v/>
      </c>
    </row>
    <row r="23" spans="1:10" ht="15" x14ac:dyDescent="0.4">
      <c r="A23" s="40" t="s">
        <v>523</v>
      </c>
      <c r="B23" s="41">
        <f>IF(A23="","",_xlfn.XLOOKUP(A23,ClubNames,ClubNumbers,_xlfn.XLOOKUP(A23,RoundRobinRiderNames,RoundRobinRiderDecoratedNames,A23)))</f>
        <v>1326</v>
      </c>
      <c r="C23" s="17">
        <v>0</v>
      </c>
      <c r="D23" s="18">
        <v>27</v>
      </c>
      <c r="E23" s="18">
        <v>16</v>
      </c>
      <c r="F23" s="18" t="s">
        <v>529</v>
      </c>
      <c r="G23" s="18"/>
      <c r="H23" s="19" t="str">
        <f>IF($B23="","",IF($J23="X",B23,CONCATENATE(VLOOKUP(B23,Competitors!$A$2:$I$650,3, FALSE)," ",VLOOKUP(B23,Competitors!$A$2:$I$650,2,FALSE))))</f>
        <v>Laoise Bennis</v>
      </c>
      <c r="I23" s="20">
        <f>IF(LEFT($F23,1)="D",UPPER($F23),(C23*3600+D23*60+E23)/86400)</f>
        <v>1.8935185185185187E-2</v>
      </c>
      <c r="J23" t="str">
        <f>IF(OR(B23="",ISNUMBER(B23)),"","X")</f>
        <v/>
      </c>
    </row>
    <row r="24" spans="1:10" ht="15" x14ac:dyDescent="0.4">
      <c r="A24" s="40" t="s">
        <v>520</v>
      </c>
      <c r="B24" s="41">
        <f>IF(A24="","",_xlfn.XLOOKUP(A24,ClubNames,ClubNumbers,_xlfn.XLOOKUP(A24,RoundRobinRiderNames,RoundRobinRiderDecoratedNames,A24)))</f>
        <v>1385</v>
      </c>
      <c r="C24" s="17">
        <v>0</v>
      </c>
      <c r="D24" s="18">
        <v>27</v>
      </c>
      <c r="E24" s="18">
        <v>5</v>
      </c>
      <c r="F24" s="18" t="s">
        <v>529</v>
      </c>
      <c r="G24" s="18"/>
      <c r="H24" s="19" t="str">
        <f>IF($B24="","",IF($J24="X",B24,CONCATENATE(VLOOKUP(B24,Competitors!$A$2:$I$650,3, FALSE)," ",VLOOKUP(B24,Competitors!$A$2:$I$650,2,FALSE))))</f>
        <v>Miles Marr</v>
      </c>
      <c r="I24" s="20">
        <f>IF(LEFT($F24,1)="D",UPPER($F24),(C24*3600+D24*60+E24)/86400)</f>
        <v>1.8807870370370371E-2</v>
      </c>
      <c r="J24" t="str">
        <f>IF(OR(B24="",ISNUMBER(B24)),"","X")</f>
        <v/>
      </c>
    </row>
    <row r="25" spans="1:10" ht="15" x14ac:dyDescent="0.4">
      <c r="A25" s="40" t="s">
        <v>518</v>
      </c>
      <c r="B25" s="41">
        <f>IF(A25="","",_xlfn.XLOOKUP(A25,ClubNames,ClubNumbers,_xlfn.XLOOKUP(A25,RoundRobinRiderNames,RoundRobinRiderDecoratedNames,A25)))</f>
        <v>1109</v>
      </c>
      <c r="C25" s="17">
        <v>0</v>
      </c>
      <c r="D25" s="18">
        <v>26</v>
      </c>
      <c r="E25" s="18">
        <v>49</v>
      </c>
      <c r="F25" s="18"/>
      <c r="G25" s="18"/>
      <c r="H25" s="19" t="str">
        <f>IF($B25="","",IF($J25="X",B25,CONCATENATE(VLOOKUP(B25,Competitors!$A$2:$I$650,3, FALSE)," ",VLOOKUP(B25,Competitors!$A$2:$I$650,2,FALSE))))</f>
        <v>Stuart Haycox</v>
      </c>
      <c r="I25" s="20">
        <f>IF(LEFT($F25,1)="D",UPPER($F25),(C25*3600+D25*60+E25)/86400)</f>
        <v>1.8622685185185187E-2</v>
      </c>
      <c r="J25" t="str">
        <f>IF(OR(B25="",ISNUMBER(B25)),"","X")</f>
        <v/>
      </c>
    </row>
    <row r="26" spans="1:10" ht="15" x14ac:dyDescent="0.4">
      <c r="A26" s="40" t="s">
        <v>511</v>
      </c>
      <c r="B26" s="41">
        <f>IF(A26="","",_xlfn.XLOOKUP(A26,ClubNames,ClubNumbers,_xlfn.XLOOKUP(A26,RoundRobinRiderNames,RoundRobinRiderDecoratedNames,A26)))</f>
        <v>1055</v>
      </c>
      <c r="C26" s="17">
        <v>0</v>
      </c>
      <c r="D26" s="18">
        <v>25</v>
      </c>
      <c r="E26" s="18">
        <v>19</v>
      </c>
      <c r="F26" s="18"/>
      <c r="G26" s="18"/>
      <c r="H26" s="19" t="str">
        <f>IF($B26="","",IF($J26="X",B26,CONCATENATE(VLOOKUP(B26,Competitors!$A$2:$I$650,3, FALSE)," ",VLOOKUP(B26,Competitors!$A$2:$I$650,2,FALSE))))</f>
        <v>Austin Smith</v>
      </c>
      <c r="I26" s="20">
        <f>IF(LEFT($F26,1)="D",UPPER($F26),(C26*3600+D26*60+E26)/86400)</f>
        <v>1.758101851851852E-2</v>
      </c>
      <c r="J26" t="str">
        <f>IF(OR(B26="",ISNUMBER(B26)),"","X")</f>
        <v/>
      </c>
    </row>
    <row r="27" spans="1:10" ht="15" x14ac:dyDescent="0.4">
      <c r="A27" s="40" t="s">
        <v>105</v>
      </c>
      <c r="B27" s="41" t="str">
        <f>IF(A27="","",_xlfn.XLOOKUP(A27,ClubNames,ClubNumbers,_xlfn.XLOOKUP(A27,RoundRobinRiderNames,RoundRobinRiderDecoratedNames,A27)))</f>
        <v>Matt Finch (LFCC)</v>
      </c>
      <c r="C27" s="17">
        <v>0</v>
      </c>
      <c r="D27" s="18">
        <v>30</v>
      </c>
      <c r="E27" s="18">
        <v>33</v>
      </c>
      <c r="F27" s="18" t="s">
        <v>529</v>
      </c>
      <c r="G27" s="18"/>
      <c r="H27" s="19" t="str">
        <f>IF($B27="","",IF($J27="X",B27,CONCATENATE(VLOOKUP(B27,Competitors!$A$2:$I$650,3, FALSE)," ",VLOOKUP(B27,Competitors!$A$2:$I$650,2,FALSE))))</f>
        <v>Matt Finch (LFCC)</v>
      </c>
      <c r="I27" s="20">
        <f>IF(LEFT($F27,1)="D",UPPER($F27),(C27*3600+D27*60+E27)/86400)</f>
        <v>2.1215277777777777E-2</v>
      </c>
      <c r="J27" t="str">
        <f>IF(OR(B27="",ISNUMBER(B27)),"","X")</f>
        <v>X</v>
      </c>
    </row>
    <row r="28" spans="1:10" ht="15" x14ac:dyDescent="0.4">
      <c r="A28" s="40" t="s">
        <v>135</v>
      </c>
      <c r="B28" s="41" t="str">
        <f>IF(A28="","",_xlfn.XLOOKUP(A28,ClubNames,ClubNumbers,_xlfn.XLOOKUP(A28,RoundRobinRiderNames,RoundRobinRiderDecoratedNames,A28)))</f>
        <v>Phil Wilkinson (RFW)</v>
      </c>
      <c r="C28" s="17">
        <v>0</v>
      </c>
      <c r="D28" s="18">
        <v>23</v>
      </c>
      <c r="E28" s="18">
        <v>39</v>
      </c>
      <c r="F28" s="18"/>
      <c r="G28" s="18"/>
      <c r="H28" s="19" t="str">
        <f>IF($B28="","",IF($J28="X",B28,CONCATENATE(VLOOKUP(B28,Competitors!$A$2:$I$650,3, FALSE)," ",VLOOKUP(B28,Competitors!$A$2:$I$650,2,FALSE))))</f>
        <v>Phil Wilkinson (RFW)</v>
      </c>
      <c r="I28" s="20">
        <f>IF(LEFT($F28,1)="D",UPPER($F28),(C28*3600+D28*60+E28)/86400)</f>
        <v>1.6423611111111111E-2</v>
      </c>
      <c r="J28" t="str">
        <f>IF(OR(B28="",ISNUMBER(B28)),"","X")</f>
        <v>X</v>
      </c>
    </row>
    <row r="29" spans="1:10" ht="15" x14ac:dyDescent="0.4">
      <c r="A29" s="40" t="s">
        <v>125</v>
      </c>
      <c r="B29" s="41" t="str">
        <f>IF(A29="","",_xlfn.XLOOKUP(A29,ClubNames,ClubNumbers,_xlfn.XLOOKUP(A29,RoundRobinRiderNames,RoundRobinRiderDecoratedNames,A29)))</f>
        <v>Paul Eden (Ratae)</v>
      </c>
      <c r="C29" s="17">
        <v>0</v>
      </c>
      <c r="D29" s="18">
        <v>30</v>
      </c>
      <c r="E29" s="18">
        <v>38</v>
      </c>
      <c r="F29" s="18"/>
      <c r="G29" s="18"/>
      <c r="H29" s="19" t="str">
        <f>IF($B29="","",IF($J29="X",B29,CONCATENATE(VLOOKUP(B29,Competitors!$A$2:$I$650,3, FALSE)," ",VLOOKUP(B29,Competitors!$A$2:$I$650,2,FALSE))))</f>
        <v>Paul Eden (Ratae)</v>
      </c>
      <c r="I29" s="20">
        <f>IF(LEFT($F29,1)="D",UPPER($F29),(C29*3600+D29*60+E29)/86400)</f>
        <v>2.1273148148148149E-2</v>
      </c>
      <c r="J29" t="str">
        <f>IF(OR(B29="",ISNUMBER(B29)),"","X")</f>
        <v>X</v>
      </c>
    </row>
    <row r="30" spans="1:10" ht="15" x14ac:dyDescent="0.4">
      <c r="A30" s="40" t="s">
        <v>525</v>
      </c>
      <c r="B30" s="41">
        <f>IF(A30="","",_xlfn.XLOOKUP(A30,ClubNames,ClubNumbers,_xlfn.XLOOKUP(A30,RoundRobinRiderNames,RoundRobinRiderDecoratedNames,A30)))</f>
        <v>616</v>
      </c>
      <c r="C30" s="17">
        <v>0</v>
      </c>
      <c r="D30" s="18">
        <v>28</v>
      </c>
      <c r="E30" s="18">
        <v>18</v>
      </c>
      <c r="F30" s="18"/>
      <c r="G30" s="18"/>
      <c r="H30" s="19" t="str">
        <f>IF($B30="","",IF($J30="X",B30,CONCATENATE(VLOOKUP(B30,Competitors!$A$2:$I$650,3, FALSE)," ",VLOOKUP(B30,Competitors!$A$2:$I$650,2,FALSE))))</f>
        <v>Simon Ward</v>
      </c>
      <c r="I30" s="20">
        <f>IF(LEFT($F30,1)="D",UPPER($F30),(C30*3600+D30*60+E30)/86400)</f>
        <v>1.9652777777777779E-2</v>
      </c>
      <c r="J30" t="str">
        <f>IF(OR(B30="",ISNUMBER(B30)),"","X")</f>
        <v/>
      </c>
    </row>
    <row r="31" spans="1:10" ht="15" x14ac:dyDescent="0.4">
      <c r="A31" s="40" t="s">
        <v>517</v>
      </c>
      <c r="B31" s="41">
        <f>IF(A31="","",_xlfn.XLOOKUP(A31,ClubNames,ClubNumbers,_xlfn.XLOOKUP(A31,RoundRobinRiderNames,RoundRobinRiderDecoratedNames,A31)))</f>
        <v>1112</v>
      </c>
      <c r="C31" s="17">
        <v>0</v>
      </c>
      <c r="D31" s="18">
        <v>26</v>
      </c>
      <c r="E31" s="18">
        <v>47</v>
      </c>
      <c r="F31" s="18"/>
      <c r="G31" s="18"/>
      <c r="H31" s="19" t="str">
        <f>IF($B31="","",IF($J31="X",B31,CONCATENATE(VLOOKUP(B31,Competitors!$A$2:$I$650,3, FALSE)," ",VLOOKUP(B31,Competitors!$A$2:$I$650,2,FALSE))))</f>
        <v>Gary Ashwell</v>
      </c>
      <c r="I31" s="20">
        <f>IF(LEFT($F31,1)="D",UPPER($F31),(C31*3600+D31*60+E31)/86400)</f>
        <v>1.8599537037037036E-2</v>
      </c>
      <c r="J31" t="str">
        <f>IF(OR(B31="",ISNUMBER(B31)),"","X")</f>
        <v/>
      </c>
    </row>
    <row r="32" spans="1:10" ht="15" x14ac:dyDescent="0.4">
      <c r="A32" s="40" t="s">
        <v>510</v>
      </c>
      <c r="B32" s="41">
        <f>IF(A32="","",_xlfn.XLOOKUP(A32,ClubNames,ClubNumbers,_xlfn.XLOOKUP(A32,RoundRobinRiderNames,RoundRobinRiderDecoratedNames,A32)))</f>
        <v>1144</v>
      </c>
      <c r="C32" s="17">
        <v>0</v>
      </c>
      <c r="D32" s="18">
        <v>23</v>
      </c>
      <c r="E32" s="18">
        <v>56</v>
      </c>
      <c r="F32" s="18" t="s">
        <v>529</v>
      </c>
      <c r="G32" s="18"/>
      <c r="H32" s="19" t="str">
        <f>IF($B32="","",IF($J32="X",B32,CONCATENATE(VLOOKUP(B32,Competitors!$A$2:$I$650,3, FALSE)," ",VLOOKUP(B32,Competitors!$A$2:$I$650,2,FALSE))))</f>
        <v>Jamie Kershaw</v>
      </c>
      <c r="I32" s="20">
        <f>IF(LEFT($F32,1)="D",UPPER($F32),(C32*3600+D32*60+E32)/86400)</f>
        <v>1.6620370370370369E-2</v>
      </c>
      <c r="J32" t="str">
        <f>IF(OR(B32="",ISNUMBER(B32)),"","X")</f>
        <v/>
      </c>
    </row>
    <row r="33" spans="1:10" ht="15" x14ac:dyDescent="0.4">
      <c r="A33" s="40" t="s">
        <v>524</v>
      </c>
      <c r="B33" s="41">
        <f>IF(A33="","",_xlfn.XLOOKUP(A33,ClubNames,ClubNumbers,_xlfn.XLOOKUP(A33,RoundRobinRiderNames,RoundRobinRiderDecoratedNames,A33)))</f>
        <v>1195</v>
      </c>
      <c r="C33" s="17">
        <v>0</v>
      </c>
      <c r="D33" s="18">
        <v>27</v>
      </c>
      <c r="E33" s="18">
        <v>51</v>
      </c>
      <c r="F33" s="18" t="s">
        <v>529</v>
      </c>
      <c r="G33" s="18"/>
      <c r="H33" s="19" t="str">
        <f>IF($B33="","",IF($J33="X",B33,CONCATENATE(VLOOKUP(B33,Competitors!$A$2:$I$650,3, FALSE)," ",VLOOKUP(B33,Competitors!$A$2:$I$650,2,FALSE))))</f>
        <v>Charlie Hardwicke</v>
      </c>
      <c r="I33" s="20">
        <f>IF(LEFT($F33,1)="D",UPPER($F33),(C33*3600+D33*60+E33)/86400)</f>
        <v>1.9340277777777779E-2</v>
      </c>
      <c r="J33" t="str">
        <f>IF(OR(B33="",ISNUMBER(B33)),"","X")</f>
        <v/>
      </c>
    </row>
    <row r="34" spans="1:10" ht="15" x14ac:dyDescent="0.4">
      <c r="A34" s="40"/>
      <c r="B34" s="41" t="str">
        <f t="shared" ref="B34:B65" si="0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ref="I3:I66" si="1">IF(LEFT($F34,1)="D",UPPER($F34),(C34*3600+D34*60+E34)/86400)</f>
        <v>0</v>
      </c>
      <c r="J34" t="str">
        <f t="shared" ref="J3:J66" si="2">IF(OR(B34="",ISNUMBER(B34)),"","X")</f>
        <v/>
      </c>
    </row>
    <row r="35" spans="1:10" ht="15" x14ac:dyDescent="0.4">
      <c r="A35" s="40"/>
      <c r="B35" s="41" t="str">
        <f t="shared" si="0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0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0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0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0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0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0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0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0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0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0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0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0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0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0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0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0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0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0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0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0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0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0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0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0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0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0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0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0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0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0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3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3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1" t="str">
        <f t="shared" si="3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1" t="str">
        <f t="shared" si="3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1" t="str">
        <f t="shared" si="3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1" t="str">
        <f t="shared" si="3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1" t="str">
        <f t="shared" si="3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1" t="str">
        <f t="shared" si="3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1" t="str">
        <f t="shared" si="3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1" t="str">
        <f t="shared" si="3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1" t="str">
        <f t="shared" si="3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1" t="str">
        <f t="shared" si="3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1" t="str">
        <f t="shared" si="3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1" t="str">
        <f t="shared" si="3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1" t="str">
        <f t="shared" si="3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1" t="str">
        <f t="shared" si="3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1" t="str">
        <f t="shared" si="3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1" t="str">
        <f t="shared" si="3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1" t="str">
        <f t="shared" si="3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1" t="str">
        <f t="shared" si="3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1" t="str">
        <f t="shared" si="3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1" t="str">
        <f t="shared" si="3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1" t="str">
        <f t="shared" si="3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1" t="str">
        <f t="shared" si="3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1" t="str">
        <f t="shared" si="3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1" t="str">
        <f t="shared" si="3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1" t="str">
        <f t="shared" si="3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1" t="str">
        <f t="shared" si="3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1" t="str">
        <f t="shared" si="3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1" t="str">
        <f t="shared" si="3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1" t="str">
        <f t="shared" si="3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1" t="str">
        <f t="shared" si="3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1" t="str">
        <f t="shared" ref="B98:B129" si="6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1" t="str">
        <f t="shared" si="6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1" t="str">
        <f t="shared" si="6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1" t="str">
        <f t="shared" si="6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sortState xmlns:xlrd2="http://schemas.microsoft.com/office/spreadsheetml/2017/richdata2" ref="A2:K33">
    <sortCondition ref="K2:K33"/>
  </sortState>
  <conditionalFormatting sqref="E34:E101">
    <cfRule type="expression" dxfId="84" priority="4">
      <formula>TEXT($C$104,"@")="Y"</formula>
    </cfRule>
  </conditionalFormatting>
  <conditionalFormatting sqref="H2:I101">
    <cfRule type="expression" dxfId="83" priority="3">
      <formula>$J2="X"</formula>
    </cfRule>
  </conditionalFormatting>
  <conditionalFormatting sqref="I2:I101">
    <cfRule type="expression" dxfId="82" priority="2">
      <formula>TEXT($C$104,"@")="Y"</formula>
    </cfRule>
  </conditionalFormatting>
  <conditionalFormatting sqref="E2:E33">
    <cfRule type="expression" dxfId="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81" priority="3">
      <formula>TEXT($C$104,"@")="Y"</formula>
    </cfRule>
  </conditionalFormatting>
  <conditionalFormatting sqref="H2:I101">
    <cfRule type="expression" dxfId="80" priority="2">
      <formula>$J2="X"</formula>
    </cfRule>
  </conditionalFormatting>
  <conditionalFormatting sqref="I2:I101">
    <cfRule type="expression" dxfId="7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78" priority="3">
      <formula>TEXT($C$104,"@")="Y"</formula>
    </cfRule>
  </conditionalFormatting>
  <conditionalFormatting sqref="H2:I101">
    <cfRule type="expression" dxfId="77" priority="2">
      <formula>$J2="X"</formula>
    </cfRule>
  </conditionalFormatting>
  <conditionalFormatting sqref="I2:I101">
    <cfRule type="expression" dxfId="7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3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3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3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3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3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3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3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3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3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3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3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3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3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3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3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3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3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3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3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3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3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3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3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3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3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3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3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3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3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3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3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3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3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3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3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3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3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3" t="str">
        <f t="shared" ref="B98:B129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75" priority="3">
      <formula>TEXT($C$104,"@")="Y"</formula>
    </cfRule>
  </conditionalFormatting>
  <conditionalFormatting sqref="H2:I101">
    <cfRule type="expression" dxfId="74" priority="2">
      <formula>$J2="X"</formula>
    </cfRule>
  </conditionalFormatting>
  <conditionalFormatting sqref="I2:I101">
    <cfRule type="expression" dxfId="7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6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72" priority="3">
      <formula>TEXT($C$104,"@")="Y"</formula>
    </cfRule>
  </conditionalFormatting>
  <conditionalFormatting sqref="H2:I101">
    <cfRule type="expression" dxfId="71" priority="2">
      <formula>$J2="X"</formula>
    </cfRule>
  </conditionalFormatting>
  <conditionalFormatting sqref="I2:I101">
    <cfRule type="expression" dxfId="7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69" priority="3">
      <formula>TEXT($C$104,"@")="Y"</formula>
    </cfRule>
  </conditionalFormatting>
  <conditionalFormatting sqref="H2:I101">
    <cfRule type="expression" dxfId="68" priority="2">
      <formula>$J2="X"</formula>
    </cfRule>
  </conditionalFormatting>
  <conditionalFormatting sqref="I2:I101">
    <cfRule type="expression" dxfId="6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66" priority="3">
      <formula>TEXT($C$104,"@")="Y"</formula>
    </cfRule>
  </conditionalFormatting>
  <conditionalFormatting sqref="H2:I101">
    <cfRule type="expression" dxfId="65" priority="2">
      <formula>$J2="X"</formula>
    </cfRule>
  </conditionalFormatting>
  <conditionalFormatting sqref="I2:I101">
    <cfRule type="expression" dxfId="6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63" priority="3">
      <formula>TEXT($C$104,"@")="Y"</formula>
    </cfRule>
  </conditionalFormatting>
  <conditionalFormatting sqref="H2:I101">
    <cfRule type="expression" dxfId="62" priority="2">
      <formula>$J2="X"</formula>
    </cfRule>
  </conditionalFormatting>
  <conditionalFormatting sqref="I2:I101">
    <cfRule type="expression" dxfId="6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60" priority="3">
      <formula>TEXT($C$104,"@")="Y"</formula>
    </cfRule>
  </conditionalFormatting>
  <conditionalFormatting sqref="H2:I101">
    <cfRule type="expression" dxfId="59" priority="2">
      <formula>$J2="X"</formula>
    </cfRule>
  </conditionalFormatting>
  <conditionalFormatting sqref="I2:I101">
    <cfRule type="expression" dxfId="5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57" priority="3">
      <formula>TEXT($C$104,"@")="Y"</formula>
    </cfRule>
  </conditionalFormatting>
  <conditionalFormatting sqref="H2:I101">
    <cfRule type="expression" dxfId="56" priority="2">
      <formula>$J2="X"</formula>
    </cfRule>
  </conditionalFormatting>
  <conditionalFormatting sqref="I2:I101">
    <cfRule type="expression" dxfId="5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54" priority="3">
      <formula>TEXT($C$104,"@")="Y"</formula>
    </cfRule>
  </conditionalFormatting>
  <conditionalFormatting sqref="H2:I101">
    <cfRule type="expression" dxfId="53" priority="2">
      <formula>$J2="X"</formula>
    </cfRule>
  </conditionalFormatting>
  <conditionalFormatting sqref="I2:I101">
    <cfRule type="expression" dxfId="5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51" priority="3">
      <formula>TEXT($C$104,"@")="Y"</formula>
    </cfRule>
  </conditionalFormatting>
  <conditionalFormatting sqref="H2:I101">
    <cfRule type="expression" dxfId="50" priority="2">
      <formula>$J2="X"</formula>
    </cfRule>
  </conditionalFormatting>
  <conditionalFormatting sqref="I2:I101">
    <cfRule type="expression" dxfId="4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48" priority="3">
      <formula>TEXT($C$104,"@")="Y"</formula>
    </cfRule>
  </conditionalFormatting>
  <conditionalFormatting sqref="H2:I101">
    <cfRule type="expression" dxfId="47" priority="2">
      <formula>$J2="X"</formula>
    </cfRule>
  </conditionalFormatting>
  <conditionalFormatting sqref="I2:I101">
    <cfRule type="expression" dxfId="4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45" priority="3">
      <formula>TEXT($C$104,"@")="Y"</formula>
    </cfRule>
  </conditionalFormatting>
  <conditionalFormatting sqref="H2:I101">
    <cfRule type="expression" dxfId="44" priority="2">
      <formula>$J2="X"</formula>
    </cfRule>
  </conditionalFormatting>
  <conditionalFormatting sqref="I2:I101">
    <cfRule type="expression" dxfId="4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42" priority="3">
      <formula>TEXT($C$104,"@")="Y"</formula>
    </cfRule>
  </conditionalFormatting>
  <conditionalFormatting sqref="H2:I101">
    <cfRule type="expression" dxfId="41" priority="2">
      <formula>$J2="X"</formula>
    </cfRule>
  </conditionalFormatting>
  <conditionalFormatting sqref="I2:I101">
    <cfRule type="expression" dxfId="4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39" priority="3">
      <formula>TEXT($C$104,"@")="Y"</formula>
    </cfRule>
  </conditionalFormatting>
  <conditionalFormatting sqref="H2:I101">
    <cfRule type="expression" dxfId="38" priority="2">
      <formula>$J2="X"</formula>
    </cfRule>
  </conditionalFormatting>
  <conditionalFormatting sqref="I2:I101">
    <cfRule type="expression" dxfId="3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36" priority="3">
      <formula>TEXT($C$104,"@")="Y"</formula>
    </cfRule>
  </conditionalFormatting>
  <conditionalFormatting sqref="H2:I101">
    <cfRule type="expression" dxfId="35" priority="2">
      <formula>$J2="X"</formula>
    </cfRule>
  </conditionalFormatting>
  <conditionalFormatting sqref="I2:I101">
    <cfRule type="expression" dxfId="3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33" priority="3">
      <formula>TEXT($C$104,"@")="Y"</formula>
    </cfRule>
  </conditionalFormatting>
  <conditionalFormatting sqref="H2:I101">
    <cfRule type="expression" dxfId="32" priority="2">
      <formula>$J2="X"</formula>
    </cfRule>
  </conditionalFormatting>
  <conditionalFormatting sqref="I2:I101">
    <cfRule type="expression" dxfId="3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30" priority="3">
      <formula>TEXT($C$104,"@")="Y"</formula>
    </cfRule>
  </conditionalFormatting>
  <conditionalFormatting sqref="H2:I101">
    <cfRule type="expression" dxfId="29" priority="2">
      <formula>$J2="X"</formula>
    </cfRule>
  </conditionalFormatting>
  <conditionalFormatting sqref="I2:I101">
    <cfRule type="expression" dxfId="2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27" priority="3">
      <formula>TEXT($C$104,"@")="Y"</formula>
    </cfRule>
  </conditionalFormatting>
  <conditionalFormatting sqref="H2:I101">
    <cfRule type="expression" dxfId="26" priority="2">
      <formula>$J2="X"</formula>
    </cfRule>
  </conditionalFormatting>
  <conditionalFormatting sqref="I2:I101">
    <cfRule type="expression" dxfId="2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24" priority="3">
      <formula>TEXT($C$104,"@")="Y"</formula>
    </cfRule>
  </conditionalFormatting>
  <conditionalFormatting sqref="H2:I101">
    <cfRule type="expression" dxfId="23" priority="2">
      <formula>$J2="X"</formula>
    </cfRule>
  </conditionalFormatting>
  <conditionalFormatting sqref="I2:I101">
    <cfRule type="expression" dxfId="2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29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21" priority="3">
      <formula>TEXT($C$104,"@")="Y"</formula>
    </cfRule>
  </conditionalFormatting>
  <conditionalFormatting sqref="H2:I101">
    <cfRule type="expression" dxfId="20" priority="2">
      <formula>$J2="X"</formula>
    </cfRule>
  </conditionalFormatting>
  <conditionalFormatting sqref="I2:I101">
    <cfRule type="expression" dxfId="1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18" priority="3">
      <formula>TEXT($C$104,"@")="Y"</formula>
    </cfRule>
  </conditionalFormatting>
  <conditionalFormatting sqref="H2:I101">
    <cfRule type="expression" dxfId="17" priority="2">
      <formula>$J2="X"</formula>
    </cfRule>
  </conditionalFormatting>
  <conditionalFormatting sqref="I2:I101">
    <cfRule type="expression" dxfId="1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15" priority="3">
      <formula>TEXT($C$104,"@")="Y"</formula>
    </cfRule>
  </conditionalFormatting>
  <conditionalFormatting sqref="H2:I101">
    <cfRule type="expression" dxfId="14" priority="2">
      <formula>$J2="X"</formula>
    </cfRule>
  </conditionalFormatting>
  <conditionalFormatting sqref="I2:I101">
    <cfRule type="expression" dxfId="1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12" priority="3">
      <formula>TEXT($C$104,"@")="Y"</formula>
    </cfRule>
  </conditionalFormatting>
  <conditionalFormatting sqref="H2:I101">
    <cfRule type="expression" dxfId="11" priority="2">
      <formula>$J2="X"</formula>
    </cfRule>
  </conditionalFormatting>
  <conditionalFormatting sqref="I2:I101">
    <cfRule type="expression" dxfId="1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445</v>
      </c>
      <c r="C104" t="str">
        <f ca="1">_xlfn.XLOOKUP(C103,Calendar!N:N,Calendar!H:H,"Event is not in calendar")</f>
        <v>Y</v>
      </c>
    </row>
  </sheetData>
  <conditionalFormatting sqref="E2:E101">
    <cfRule type="expression" dxfId="9" priority="3">
      <formula>TEXT($C$104,"@")="Y"</formula>
    </cfRule>
  </conditionalFormatting>
  <conditionalFormatting sqref="H2:I101">
    <cfRule type="expression" dxfId="8" priority="2">
      <formula>$J2="X"</formula>
    </cfRule>
  </conditionalFormatting>
  <conditionalFormatting sqref="I2:I101">
    <cfRule type="expression" dxfId="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445</v>
      </c>
      <c r="C104" t="str">
        <f ca="1">_xlfn.XLOOKUP(C103,Calendar!N:N,Calendar!H:H,"Event is not in calendar")</f>
        <v/>
      </c>
    </row>
  </sheetData>
  <conditionalFormatting sqref="E2:E101">
    <cfRule type="expression" dxfId="6" priority="3">
      <formula>TEXT($C$104,"@")="Y"</formula>
    </cfRule>
  </conditionalFormatting>
  <conditionalFormatting sqref="H2:I101">
    <cfRule type="expression" dxfId="5" priority="2">
      <formula>$J2="X"</formula>
    </cfRule>
  </conditionalFormatting>
  <conditionalFormatting sqref="I2:I101">
    <cfRule type="expression" dxfId="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487</v>
      </c>
      <c r="B1" s="10" t="s">
        <v>164</v>
      </c>
      <c r="C1" s="11" t="s">
        <v>144</v>
      </c>
      <c r="D1" s="12" t="s">
        <v>2</v>
      </c>
      <c r="E1" s="13" t="s">
        <v>25</v>
      </c>
      <c r="F1" s="14" t="s">
        <v>145</v>
      </c>
      <c r="G1" s="14" t="s">
        <v>146</v>
      </c>
      <c r="H1" s="15" t="s">
        <v>92</v>
      </c>
      <c r="I1" s="16" t="s">
        <v>147</v>
      </c>
      <c r="J1" t="s">
        <v>163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29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444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445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3" priority="3">
      <formula>TEXT($C$104,"@")="Y"</formula>
    </cfRule>
  </conditionalFormatting>
  <conditionalFormatting sqref="H2:I101">
    <cfRule type="expression" dxfId="2" priority="2">
      <formula>$J2="X"</formula>
    </cfRule>
  </conditionalFormatting>
  <conditionalFormatting sqref="I2:I101">
    <cfRule type="expression" dxfId="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13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2026-02-27T08:28:45Z</dcterms:modified>
</cp:coreProperties>
</file>