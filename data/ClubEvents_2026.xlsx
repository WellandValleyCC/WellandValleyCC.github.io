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73D1D1DC-E3D3-4BA7-B872-C54D9A2324F5}" xr6:coauthVersionLast="47" xr6:coauthVersionMax="47" xr10:uidLastSave="{00000000-0000-0000-0000-000000000000}"/>
  <bookViews>
    <workbookView xWindow="0" yWindow="0" windowWidth="14400" windowHeight="17280" firstSheet="15" activeTab="18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0407_competitors_2026" sheetId="39" r:id="rId6"/>
    <sheet name="0407_competitors_2026b" sheetId="40" r:id="rId7"/>
    <sheet name="0409_competitors_2026" sheetId="41" r:id="rId8"/>
    <sheet name="0413_competitors_2026" sheetId="42" r:id="rId9"/>
    <sheet name="NameLookup" sheetId="33" r:id="rId10"/>
    <sheet name="Calendar" sheetId="2" r:id="rId11"/>
    <sheet name="Leagues" sheetId="32" r:id="rId12"/>
    <sheet name="RoundRobinRiders" sheetId="4" r:id="rId13"/>
    <sheet name="Event_01" sheetId="5" r:id="rId14"/>
    <sheet name="Event_02" sheetId="6" r:id="rId15"/>
    <sheet name="Event_03" sheetId="7" r:id="rId16"/>
    <sheet name="Event_04" sheetId="8" r:id="rId17"/>
    <sheet name="Event_05" sheetId="9" r:id="rId18"/>
    <sheet name="Event_06" sheetId="10" r:id="rId19"/>
    <sheet name="Event_07" sheetId="11" r:id="rId20"/>
    <sheet name="Event_08" sheetId="12" r:id="rId21"/>
    <sheet name="Event_09" sheetId="13" r:id="rId22"/>
    <sheet name="Event_10" sheetId="14" r:id="rId23"/>
    <sheet name="Event_11" sheetId="15" r:id="rId24"/>
    <sheet name="Event_12" sheetId="16" r:id="rId25"/>
    <sheet name="Event_13" sheetId="17" r:id="rId26"/>
    <sheet name="Event_14" sheetId="18" r:id="rId27"/>
    <sheet name="Event_15" sheetId="19" r:id="rId28"/>
    <sheet name="Event_16" sheetId="20" r:id="rId29"/>
    <sheet name="Event_17" sheetId="21" r:id="rId30"/>
    <sheet name="Event_18" sheetId="22" r:id="rId31"/>
    <sheet name="Event_19" sheetId="23" r:id="rId32"/>
    <sheet name="Event_20" sheetId="24" r:id="rId33"/>
    <sheet name="Event_21" sheetId="25" r:id="rId34"/>
    <sheet name="Event_22" sheetId="26" r:id="rId35"/>
    <sheet name="Event_23" sheetId="27" r:id="rId36"/>
    <sheet name="Event_24" sheetId="28" r:id="rId37"/>
    <sheet name="Event_25" sheetId="29" r:id="rId38"/>
    <sheet name="Event_26" sheetId="30" r:id="rId39"/>
    <sheet name="Event_27" sheetId="34" r:id="rId40"/>
    <sheet name="Event_28" sheetId="35" r:id="rId41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0" i="4" l="1"/>
  <c r="C61" i="4"/>
  <c r="C59" i="4"/>
  <c r="B12" i="9"/>
  <c r="C58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9"/>
  <c r="B2" i="10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 s="1"/>
  <c r="A4" i="33"/>
  <c r="B4" i="33" s="1"/>
  <c r="A5" i="33"/>
  <c r="B5" i="33" s="1"/>
  <c r="A6" i="33"/>
  <c r="B6" i="33" s="1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 s="1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 s="1"/>
  <c r="A31" i="33"/>
  <c r="B31" i="33" s="1"/>
  <c r="A32" i="33"/>
  <c r="B32" i="33" s="1"/>
  <c r="A33" i="33"/>
  <c r="B33" i="33" s="1"/>
  <c r="A34" i="33"/>
  <c r="B34" i="33" s="1"/>
  <c r="A35" i="33"/>
  <c r="B35" i="33" s="1"/>
  <c r="A36" i="33"/>
  <c r="B36" i="33" s="1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 s="1"/>
  <c r="A52" i="33"/>
  <c r="B52" i="33" s="1"/>
  <c r="A53" i="33"/>
  <c r="B53" i="33" s="1"/>
  <c r="A54" i="33"/>
  <c r="B54" i="33" s="1"/>
  <c r="A55" i="33"/>
  <c r="B55" i="33" s="1"/>
  <c r="A56" i="33"/>
  <c r="B56" i="33" s="1"/>
  <c r="A57" i="33"/>
  <c r="B57" i="33" s="1"/>
  <c r="A58" i="33"/>
  <c r="B58" i="33" s="1"/>
  <c r="A59" i="33"/>
  <c r="B59" i="33" s="1"/>
  <c r="A60" i="33"/>
  <c r="B60" i="33" s="1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 s="1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 s="1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 s="1"/>
  <c r="A92" i="33"/>
  <c r="B92" i="33" s="1"/>
  <c r="A93" i="33"/>
  <c r="B93" i="33"/>
  <c r="A94" i="33"/>
  <c r="B94" i="33"/>
  <c r="A95" i="33"/>
  <c r="B95" i="33" s="1"/>
  <c r="A96" i="33"/>
  <c r="B96" i="33" s="1"/>
  <c r="A97" i="33"/>
  <c r="B97" i="33" s="1"/>
  <c r="A98" i="33"/>
  <c r="B98" i="33" s="1"/>
  <c r="A99" i="33"/>
  <c r="B99" i="33" s="1"/>
  <c r="A100" i="33"/>
  <c r="B100" i="33" s="1"/>
  <c r="A101" i="33"/>
  <c r="B101" i="33" s="1"/>
  <c r="A102" i="33"/>
  <c r="B102" i="33" s="1"/>
  <c r="A103" i="33"/>
  <c r="B103" i="33" s="1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 s="1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 s="1"/>
  <c r="A181" i="33"/>
  <c r="B181" i="33" s="1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 s="1"/>
  <c r="A211" i="33"/>
  <c r="B211" i="33" s="1"/>
  <c r="A212" i="33"/>
  <c r="B212" i="33" s="1"/>
  <c r="A213" i="33"/>
  <c r="B213" i="33" s="1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J18" i="8" l="1"/>
  <c r="H18" i="8" s="1"/>
  <c r="J22" i="8"/>
  <c r="H22" i="8" s="1"/>
  <c r="J21" i="8"/>
  <c r="H21" i="8" s="1"/>
  <c r="J12" i="8"/>
  <c r="H12" i="8" s="1"/>
  <c r="J23" i="8"/>
  <c r="H23" i="8" s="1"/>
  <c r="J26" i="8"/>
  <c r="H26" i="8" s="1"/>
  <c r="J34" i="8"/>
  <c r="H34" i="8" s="1"/>
  <c r="J15" i="8"/>
  <c r="H15" i="8" s="1"/>
  <c r="J5" i="8"/>
  <c r="H5" i="8" s="1"/>
  <c r="J14" i="8"/>
  <c r="H14" i="8" s="1"/>
  <c r="J24" i="8"/>
  <c r="H24" i="8" s="1"/>
  <c r="J11" i="8"/>
  <c r="H11" i="8" s="1"/>
  <c r="J20" i="8"/>
  <c r="H20" i="8" s="1"/>
  <c r="J30" i="8"/>
  <c r="H30" i="8" s="1"/>
  <c r="J19" i="8"/>
  <c r="H19" i="8" s="1"/>
  <c r="J35" i="8"/>
  <c r="H35" i="8" s="1"/>
  <c r="J17" i="8"/>
  <c r="H17" i="8" s="1"/>
  <c r="J6" i="8"/>
  <c r="H6" i="8" s="1"/>
  <c r="B32" i="7"/>
  <c r="J32" i="7" s="1"/>
  <c r="H32" i="7" s="1"/>
  <c r="J8" i="7"/>
  <c r="H8" i="7" s="1"/>
  <c r="J19" i="7"/>
  <c r="H19" i="7" s="1"/>
  <c r="J9" i="7"/>
  <c r="H9" i="7" s="1"/>
  <c r="J10" i="7"/>
  <c r="H10" i="7" s="1"/>
  <c r="J2" i="7"/>
  <c r="H2" i="7" s="1"/>
  <c r="J21" i="7"/>
  <c r="J22" i="7"/>
  <c r="J30" i="7"/>
  <c r="H30" i="7" s="1"/>
  <c r="J12" i="7"/>
  <c r="H12" i="7" s="1"/>
  <c r="J3" i="7"/>
  <c r="J29" i="7"/>
  <c r="H29" i="7" s="1"/>
  <c r="J23" i="7"/>
  <c r="H23" i="7" s="1"/>
  <c r="J24" i="7"/>
  <c r="J17" i="7"/>
  <c r="H17" i="7" s="1"/>
  <c r="J15" i="7"/>
  <c r="H15" i="7" s="1"/>
  <c r="J16" i="7"/>
  <c r="H16" i="7" s="1"/>
  <c r="J6" i="7"/>
  <c r="J7" i="7"/>
  <c r="H7" i="7" s="1"/>
  <c r="J27" i="7"/>
  <c r="H27" i="7" s="1"/>
  <c r="J18" i="7"/>
  <c r="J13" i="7"/>
  <c r="J5" i="7"/>
  <c r="H5" i="7" s="1"/>
  <c r="J26" i="7"/>
  <c r="H26" i="7" s="1"/>
  <c r="J6" i="6"/>
  <c r="H6" i="6" s="1"/>
  <c r="J10" i="6"/>
  <c r="H10" i="6" s="1"/>
  <c r="J2" i="6"/>
  <c r="H2" i="6" s="1"/>
  <c r="J8" i="6"/>
  <c r="H8" i="6" s="1"/>
  <c r="J4" i="28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J11" i="6"/>
  <c r="H11" i="6" s="1"/>
  <c r="J17" i="6"/>
  <c r="H17" i="6" s="1"/>
  <c r="J20" i="6"/>
  <c r="H20" i="6" s="1"/>
  <c r="J23" i="6"/>
  <c r="H23" i="6" s="1"/>
  <c r="H26" i="6"/>
  <c r="J26" i="6"/>
  <c r="J3" i="6"/>
  <c r="H3" i="6" s="1"/>
  <c r="J4" i="6"/>
  <c r="H4" i="6" s="1"/>
  <c r="J5" i="6"/>
  <c r="H5" i="6" s="1"/>
  <c r="J7" i="6"/>
  <c r="H7" i="6" s="1"/>
  <c r="J12" i="6"/>
  <c r="H12" i="6" s="1"/>
  <c r="J14" i="6"/>
  <c r="H14" i="6" s="1"/>
  <c r="J18" i="6"/>
  <c r="H18" i="6" s="1"/>
  <c r="J21" i="6"/>
  <c r="H21" i="6" s="1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J9" i="6"/>
  <c r="H9" i="6" s="1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3" i="6"/>
  <c r="H13" i="6" s="1"/>
  <c r="J15" i="6"/>
  <c r="H15" i="6" s="1"/>
  <c r="J16" i="6"/>
  <c r="H16" i="6" s="1"/>
  <c r="J19" i="6"/>
  <c r="H19" i="6" s="1"/>
  <c r="J22" i="6"/>
  <c r="H22" i="6" s="1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4" i="7"/>
  <c r="H4" i="7" s="1"/>
  <c r="J14" i="7"/>
  <c r="H14" i="7" s="1"/>
  <c r="J20" i="7"/>
  <c r="H20" i="7" s="1"/>
  <c r="J28" i="7"/>
  <c r="H28" i="7" s="1"/>
  <c r="J31" i="7"/>
  <c r="H31" i="7"/>
  <c r="J33" i="7"/>
  <c r="H33" i="7" s="1"/>
  <c r="J34" i="7"/>
  <c r="H34" i="7"/>
  <c r="J35" i="7"/>
  <c r="H35" i="7" s="1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25" i="8"/>
  <c r="H25" i="8" s="1"/>
  <c r="J27" i="8"/>
  <c r="H27" i="8" s="1"/>
  <c r="J32" i="8"/>
  <c r="H32" i="8" s="1"/>
  <c r="J33" i="8"/>
  <c r="H33" i="8" s="1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 s="1"/>
  <c r="J4" i="9"/>
  <c r="H4" i="9" s="1"/>
  <c r="J5" i="9"/>
  <c r="H5" i="9" s="1"/>
  <c r="J6" i="9"/>
  <c r="H6" i="9" s="1"/>
  <c r="J7" i="9"/>
  <c r="H7" i="9" s="1"/>
  <c r="J8" i="9"/>
  <c r="H8" i="9" s="1"/>
  <c r="J9" i="9"/>
  <c r="H9" i="9" s="1"/>
  <c r="J10" i="9"/>
  <c r="H10" i="9" s="1"/>
  <c r="J11" i="9"/>
  <c r="H11" i="9" s="1"/>
  <c r="J12" i="9"/>
  <c r="H12" i="9" s="1"/>
  <c r="J13" i="9"/>
  <c r="H13" i="9" s="1"/>
  <c r="J14" i="9"/>
  <c r="H14" i="9" s="1"/>
  <c r="J15" i="9"/>
  <c r="H15" i="9" s="1"/>
  <c r="J16" i="9"/>
  <c r="H16" i="9" s="1"/>
  <c r="J17" i="9"/>
  <c r="H17" i="9" s="1"/>
  <c r="J18" i="9"/>
  <c r="H18" i="9" s="1"/>
  <c r="J19" i="9"/>
  <c r="H19" i="9" s="1"/>
  <c r="J20" i="9"/>
  <c r="H20" i="9" s="1"/>
  <c r="J21" i="9"/>
  <c r="H21" i="9" s="1"/>
  <c r="J22" i="9"/>
  <c r="H22" i="9" s="1"/>
  <c r="J23" i="9"/>
  <c r="H23" i="9" s="1"/>
  <c r="J24" i="9"/>
  <c r="H24" i="9" s="1"/>
  <c r="J25" i="9"/>
  <c r="H25" i="9" s="1"/>
  <c r="J26" i="9"/>
  <c r="H26" i="9" s="1"/>
  <c r="J27" i="9"/>
  <c r="H27" i="9" s="1"/>
  <c r="J28" i="9"/>
  <c r="H28" i="9" s="1"/>
  <c r="J29" i="9"/>
  <c r="H29" i="9" s="1"/>
  <c r="J30" i="9"/>
  <c r="H30" i="9" s="1"/>
  <c r="J31" i="9"/>
  <c r="H31" i="9" s="1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 s="1"/>
  <c r="J4" i="10"/>
  <c r="H4" i="10" s="1"/>
  <c r="J5" i="10"/>
  <c r="H5" i="10" s="1"/>
  <c r="J6" i="10"/>
  <c r="H6" i="10" s="1"/>
  <c r="J7" i="10"/>
  <c r="H7" i="10" s="1"/>
  <c r="J8" i="10"/>
  <c r="H8" i="10" s="1"/>
  <c r="J9" i="10"/>
  <c r="H9" i="10" s="1"/>
  <c r="J10" i="10"/>
  <c r="H10" i="10" s="1"/>
  <c r="J11" i="10"/>
  <c r="H11" i="10"/>
  <c r="J12" i="10"/>
  <c r="H12" i="10" s="1"/>
  <c r="J13" i="10"/>
  <c r="H13" i="10"/>
  <c r="J14" i="10"/>
  <c r="H14" i="10" s="1"/>
  <c r="J15" i="10"/>
  <c r="H15" i="10" s="1"/>
  <c r="J16" i="10"/>
  <c r="H16" i="10" s="1"/>
  <c r="J17" i="10"/>
  <c r="H17" i="10" s="1"/>
  <c r="J18" i="10"/>
  <c r="H18" i="10" s="1"/>
  <c r="J19" i="10"/>
  <c r="H19" i="10" s="1"/>
  <c r="J20" i="10"/>
  <c r="H20" i="10" s="1"/>
  <c r="J21" i="10"/>
  <c r="H21" i="10" s="1"/>
  <c r="J22" i="10"/>
  <c r="H22" i="10" s="1"/>
  <c r="J23" i="10"/>
  <c r="H23" i="10" s="1"/>
  <c r="J24" i="10"/>
  <c r="H24" i="10" s="1"/>
  <c r="J25" i="10"/>
  <c r="H25" i="10" s="1"/>
  <c r="J26" i="10"/>
  <c r="H26" i="10" s="1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8"/>
  <c r="H2" i="8" s="1"/>
  <c r="J2" i="9"/>
  <c r="H2" i="9" s="1"/>
  <c r="J2" i="10"/>
  <c r="H2" i="10" s="1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H36" i="7" s="1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H3" i="8" s="1"/>
  <c r="J4" i="8"/>
  <c r="H4" i="8" s="1"/>
  <c r="J7" i="8"/>
  <c r="H7" i="8" s="1"/>
  <c r="J8" i="8"/>
  <c r="H8" i="8" s="1"/>
  <c r="J9" i="8"/>
  <c r="H9" i="8" s="1"/>
  <c r="J10" i="8"/>
  <c r="H10" i="8" s="1"/>
  <c r="J13" i="8"/>
  <c r="H13" i="8" s="1"/>
  <c r="J16" i="8"/>
  <c r="H16" i="8" s="1"/>
  <c r="J28" i="8"/>
  <c r="H28" i="8" s="1"/>
  <c r="J29" i="8"/>
  <c r="H29" i="8" s="1"/>
  <c r="J31" i="8"/>
  <c r="H31" i="8" s="1"/>
  <c r="J36" i="8"/>
  <c r="H36" i="8" s="1"/>
  <c r="J37" i="8"/>
  <c r="H37" i="8" s="1"/>
  <c r="J38" i="8"/>
  <c r="H38" i="8" s="1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H24" i="7" l="1"/>
  <c r="J11" i="7"/>
  <c r="H11" i="7" s="1"/>
  <c r="H22" i="7"/>
  <c r="H21" i="7"/>
  <c r="H6" i="7"/>
  <c r="J25" i="7"/>
  <c r="H25" i="7" s="1"/>
  <c r="H3" i="7"/>
  <c r="H18" i="7"/>
  <c r="H13" i="7"/>
  <c r="N4" i="2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<sst xmlns="http://schemas.openxmlformats.org/spreadsheetml/2006/main" count="7679" uniqueCount="540">
  <si>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</si>
  <si>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</si>
  <si>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</si>
  <si>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</si>
  <si>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</si>
  <si>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</si>
  <si>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</si>
  <si>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</si>
  <si>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</si>
  <si>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</si>
  <si>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</si>
  <si>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</si>
  <si>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</si>
  <si>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</si>
  <si>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</si>
  <si>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</si>
  <si>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</si>
  <si>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</si>
  <si>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</si>
  <si>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</si>
  <si>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</si>
  <si>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</si>
  <si>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</si>
  <si>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</si>
  <si>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</si>
  <si>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</si>
  <si>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</si>
  <si>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</si>
  <si>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</si>
  <si>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</si>
  <si>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</si>
  <si>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</si>
  <si>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</si>
  <si>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</si>
  <si>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</si>
  <si>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</si>
  <si>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</si>
  <si>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</si>
  <si>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</si>
  <si>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</si>
  <si>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</si>
  <si>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</si>
  <si>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</si>
  <si>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</si>
  <si>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</si>
  <si>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</si>
  <si>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</si>
  <si>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</si>
  <si>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</si>
  <si>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</si>
  <si>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</si>
  <si>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</si>
  <si>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</si>
  <si>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</si>
  <si>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</si>
  <si>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</si>
  <si>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</si>
  <si>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</si>
  <si>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</si>
  <si>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</si>
  <si>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</si>
  <si>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</si>
  <si>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</si>
  <si>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</si>
  <si>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</si>
  <si>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</si>
  <si>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</si>
  <si>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</si>
  <si>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</si>
  <si>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</si>
  <si>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</si>
  <si>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</si>
  <si>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</si>
  <si>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</si>
  <si>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</si>
  <si>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</si>
  <si>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</si>
  <si>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</si>
  <si>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</si>
  <si>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</si>
  <si>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</si>
  <si>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</si>
  <si>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</si>
  <si>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</si>
  <si>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</si>
  <si>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</si>
  <si>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</si>
  <si>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</si>
  <si>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</si>
  <si>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</si>
  <si>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</si>
  <si>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</si>
  <si>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</si>
  <si>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</si>
  <si>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</si>
  <si>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</si>
  <si>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</si>
  <si>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</si>
  <si>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</si>
  <si>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</si>
  <si>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</si>
  <si>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</si>
  <si>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</si>
  <si>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</si>
  <si>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</si>
  <si>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</si>
  <si>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</si>
  <si>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</si>
  <si>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</si>
  <si>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</si>
  <si>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</si>
  <si>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</si>
  <si>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</si>
  <si>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</si>
  <si>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</si>
  <si>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</si>
  <si>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</si>
  <si>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</si>
  <si>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</si>
  <si>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</si>
  <si>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</si>
  <si>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</si>
  <si>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</si>
  <si>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</si>
  <si>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</si>
  <si>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</si>
  <si>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</si>
  <si>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</si>
  <si>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</si>
  <si>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</si>
  <si>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</si>
  <si>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</si>
  <si>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</si>
  <si>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</si>
  <si>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</si>
  <si>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</si>
  <si>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</si>
  <si>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</si>
  <si>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</si>
  <si>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</si>
  <si>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</si>
  <si>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</si>
  <si>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</si>
  <si>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</si>
  <si>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</si>
  <si>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</si>
  <si>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</si>
  <si>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</si>
  <si>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</si>
  <si>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</si>
  <si>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</si>
  <si>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</si>
  <si>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</si>
  <si>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</si>
  <si>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</si>
  <si>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</si>
  <si>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</si>
  <si>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</si>
  <si>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</si>
  <si>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</si>
  <si>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</si>
  <si>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</si>
  <si>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</si>
  <si>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</si>
  <si>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</si>
  <si>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</si>
  <si>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</si>
  <si>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</si>
  <si>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</si>
  <si>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</si>
  <si>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</si>
  <si>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</si>
  <si>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</si>
  <si>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</si>
  <si>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</si>
  <si>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</si>
  <si>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</si>
  <si>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</si>
  <si>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</si>
  <si>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</si>
  <si>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</si>
  <si>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</si>
  <si>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</si>
  <si>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</si>
  <si>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</si>
  <si>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</si>
  <si>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</si>
  <si>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</si>
  <si>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</si>
  <si>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</si>
  <si>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</si>
  <si>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</si>
  <si>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</si>
  <si>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</si>
  <si>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</si>
  <si>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</si>
  <si>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</si>
  <si>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</si>
  <si>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</si>
  <si>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</si>
  <si>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</si>
  <si>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</si>
  <si>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</si>
  <si>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</si>
  <si>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</si>
  <si>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</si>
  <si>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</si>
  <si>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</si>
  <si>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</si>
  <si>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</si>
  <si>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</si>
  <si>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</si>
  <si>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</si>
  <si>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</si>
  <si>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</si>
  <si>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</si>
  <si>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</si>
  <si>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</si>
  <si>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</si>
  <si>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</si>
  <si>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</si>
  <si>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</si>
  <si>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</si>
  <si>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</si>
  <si>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</si>
  <si>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</si>
  <si>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</si>
  <si>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</si>
  <si>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</si>
  <si>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</si>
  <si>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</si>
  <si>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</si>
  <si>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</si>
  <si>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</si>
  <si>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</si>
  <si>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</si>
  <si>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</si>
  <si>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</si>
  <si>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</si>
  <si>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</si>
  <si>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</si>
  <si>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</si>
  <si>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</si>
  <si>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</si>
  <si>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</si>
  <si>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</si>
  <si>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</si>
  <si>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</si>
  <si>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</si>
  <si>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</si>
  <si>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</si>
  <si>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</si>
  <si>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</si>
  <si>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</si>
  <si>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</si>
  <si>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</si>
  <si>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</si>
  <si>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</si>
  <si>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</si>
  <si>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</si>
  <si>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</si>
  <si>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</si>
  <si>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</si>
  <si>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</si>
  <si>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</si>
  <si>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</si>
  <si>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</si>
  <si>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</si>
  <si>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</si>
  <si>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</si>
  <si>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</si>
  <si>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</si>
  <si>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</si>
  <si>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</si>
  <si>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</si>
  <si>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</si>
  <si>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</si>
  <si>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</si>
  <si>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</si>
  <si>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</si>
  <si>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</si>
  <si>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</si>
  <si>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</si>
  <si>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</si>
  <si>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</si>
  <si>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</si>
  <si>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</si>
  <si>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</si>
  <si>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</si>
  <si>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</si>
  <si>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</si>
  <si>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</si>
  <si>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</si>
  <si>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</si>
  <si>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</si>
  <si>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</si>
  <si>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</si>
  <si>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</si>
  <si>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</si>
  <si>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</si>
  <si>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</si>
  <si>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</si>
  <si>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</si>
  <si>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</si>
  <si>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</si>
  <si>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</si>
  <si>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</si>
  <si>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</si>
  <si>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</si>
  <si>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</si>
  <si>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</si>
  <si>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</si>
  <si>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</si>
  <si>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</si>
  <si>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</si>
  <si>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</si>
  <si>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</si>
  <si>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</si>
  <si>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</si>
  <si>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</si>
  <si>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</si>
  <si>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</si>
  <si>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</si>
  <si>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</si>
  <si>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</si>
  <si>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</si>
  <si>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</si>
  <si>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</si>
  <si>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</si>
  <si>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</si>
  <si>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</si>
  <si>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</si>
  <si>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</si>
  <si>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</si>
  <si>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</si>
  <si>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</si>
  <si>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</si>
  <si>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</si>
  <si>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</si>
  <si>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</si>
  <si>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</si>
  <si>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</si>
  <si>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</si>
  <si>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</si>
  <si>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</si>
  <si>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</si>
  <si>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</si>
  <si>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</si>
  <si>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</si>
  <si>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</si>
  <si>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</si>
  <si>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</si>
  <si>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</si>
  <si>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</si>
  <si>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</si>
  <si>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</si>
  <si>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</si>
  <si>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</si>
  <si>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</si>
  <si>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</si>
  <si>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</si>
  <si>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</si>
  <si>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</si>
  <si>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</si>
  <si>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</si>
  <si>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</si>
  <si>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</si>
  <si>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</si>
  <si>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</si>
  <si>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</si>
  <si>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</si>
  <si>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</si>
  <si>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</si>
  <si>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</si>
  <si>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</si>
  <si>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</si>
  <si>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</si>
  <si>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</si>
  <si>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</si>
  <si>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</si>
  <si>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</si>
  <si>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</si>
  <si>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</si>
  <si>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</si>
  <si>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</si>
  <si>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</si>
  <si>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</si>
  <si>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</si>
  <si>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</si>
  <si>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</si>
  <si>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</si>
  <si>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</si>
  <si>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</si>
  <si>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</si>
  <si>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</si>
  <si>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</si>
  <si>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</si>
  <si>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</si>
  <si>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</si>
  <si>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</si>
  <si>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</si>
  <si>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</si>
  <si>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</si>
  <si>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</si>
  <si>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</si>
  <si>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</si>
  <si>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</si>
  <si>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</si>
  <si>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</si>
  <si>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</si>
  <si>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</si>
  <si>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</si>
  <si>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</si>
  <si>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</si>
  <si>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</si>
  <si>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</si>
  <si>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</si>
  <si>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</si>
  <si>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</si>
  <si>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</si>
  <si>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</si>
  <si>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</si>
  <si>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</si>
  <si>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</si>
  <si>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</si>
  <si>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</si>
  <si>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</si>
  <si>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</si>
  <si>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</si>
  <si>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</si>
  <si>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</si>
  <si>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</si>
  <si>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</si>
  <si>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</si>
  <si>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</si>
  <si>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</si>
  <si>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</si>
  <si>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</si>
  <si>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</si>
  <si>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</si>
  <si>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</si>
  <si>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</si>
  <si>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</si>
  <si>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</si>
  <si>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</si>
  <si>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</si>
  <si>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</si>
  <si>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</si>
  <si>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</si>
  <si>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</si>
  <si>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</si>
  <si>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</si>
  <si>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</si>
  <si>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</si>
  <si>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</si>
  <si>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</si>
  <si>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</si>
  <si>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</si>
  <si>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</si>
  <si>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</si>
  <si>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</si>
  <si>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</si>
  <si>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</si>
  <si>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</si>
  <si>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</si>
  <si>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</si>
  <si>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</si>
  <si>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</si>
  <si>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</si>
  <si>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</si>
  <si>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</si>
  <si>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</si>
  <si>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</si>
  <si>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</si>
  <si>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</si>
  <si>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</si>
  <si>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</si>
  <si>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</si>
  <si>
    <t>Millie Lenehan</t>
  </si>
  <si>
    <t>Austin Smith</t>
  </si>
  <si>
    <t>Ruby Isaac</t>
  </si>
  <si>
    <t>Gary Ashwell</t>
  </si>
  <si>
    <t>Richard Hardwicke</t>
  </si>
  <si>
    <t>Jason Williams</t>
  </si>
  <si>
    <t>Ethan Marsh</t>
  </si>
  <si>
    <t>Marsh</t>
  </si>
  <si>
    <t>Ian Murdey</t>
  </si>
  <si>
    <t>Hudson Hendry</t>
  </si>
  <si>
    <t>Medbourne 20mile Hardride TT</t>
  </si>
  <si>
    <t>dns</t>
  </si>
  <si>
    <t>Jonathan Durnin</t>
  </si>
  <si>
    <t>Ray Taylor</t>
  </si>
  <si>
    <t>Jonathan Robinson</t>
  </si>
  <si>
    <t>Paul White</t>
  </si>
  <si>
    <t>Jamie Kershaw</t>
  </si>
  <si>
    <t>Josh van Nierop</t>
  </si>
  <si>
    <t>Chris Hyde</t>
  </si>
  <si>
    <t>Hans van Nierop</t>
  </si>
  <si>
    <t>Dale Norris</t>
  </si>
  <si>
    <t>Nik Kershaw</t>
  </si>
  <si>
    <t>Julian Twynham</t>
  </si>
  <si>
    <t>John Abbott</t>
  </si>
  <si>
    <t>Roger Kockelbergh</t>
  </si>
  <si>
    <t>Andy Poulton</t>
  </si>
  <si>
    <t>White</t>
  </si>
  <si>
    <t>Twynham</t>
  </si>
  <si>
    <t>Stephenson</t>
  </si>
  <si>
    <t>McGraw</t>
  </si>
  <si>
    <t>Lucas</t>
  </si>
  <si>
    <t>dnf</t>
  </si>
  <si>
    <t>Stuart Haycox</t>
  </si>
  <si>
    <t>Chris Bonsor (Ratae)</t>
  </si>
  <si>
    <t>Lynne Scofield (RFW)</t>
  </si>
  <si>
    <t>Phil Wilkinson (RFW)</t>
  </si>
  <si>
    <t>Steve Pearce (Ratae)</t>
  </si>
  <si>
    <t>Chris Spray (Ratae)</t>
  </si>
  <si>
    <t>Mark Newton (Ratae)</t>
  </si>
  <si>
    <t>Carl Dyson (Aerologic)</t>
  </si>
  <si>
    <t>Brian Lincoln (Ratae)</t>
  </si>
  <si>
    <t>Marshall Briggs (Ratae)</t>
  </si>
  <si>
    <t>Tarelli</t>
  </si>
  <si>
    <t>Denis</t>
  </si>
  <si>
    <t>Graham</t>
  </si>
  <si>
    <t>Dickens</t>
  </si>
  <si>
    <t>Gill</t>
  </si>
  <si>
    <t>Lesley Allden</t>
  </si>
  <si>
    <t>Jennifer Hulme</t>
  </si>
  <si>
    <t>Adrian Killworth</t>
  </si>
  <si>
    <t>Laura Davison</t>
  </si>
  <si>
    <t>Charlie Hardwicke</t>
  </si>
  <si>
    <t>Jax Roberts</t>
  </si>
  <si>
    <t>Jax</t>
  </si>
  <si>
    <t>Roberts</t>
  </si>
  <si>
    <t>Lesley Allden (Ratae)</t>
  </si>
  <si>
    <t>Paul Eden (Ratae)</t>
  </si>
  <si>
    <t>Pamela Moore</t>
  </si>
  <si>
    <t>John Capel</t>
  </si>
  <si>
    <t>Linda Thames</t>
  </si>
  <si>
    <t>Coalville Wheelers</t>
  </si>
  <si>
    <t>DNF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</si>
</sst>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2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12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2" fillId="0" borderId="0"/>
  </cellStyleXfs>
  <cellXfs count="63">
    <xf numFmtId="0" fontId="0" fillId="0" borderId="0" xfId="0"/>
    <xf numFmtId="14" fontId="0" fillId="0" borderId="0" xfId="0" applyNumberFormat="1"/>
    <xf numFmtId="16" fontId="15" fillId="2" borderId="0" xfId="2" applyNumberFormat="1" applyFont="1" applyFill="1" applyAlignment="1">
      <alignment horizontal="center"/>
    </xf>
    <xf numFmtId="0" fontId="15" fillId="2" borderId="0" xfId="2" applyFont="1" applyFill="1" applyAlignment="1">
      <alignment horizontal="center"/>
    </xf>
    <xf numFmtId="16" fontId="15" fillId="2" borderId="0" xfId="2" applyNumberFormat="1" applyFont="1" applyFill="1"/>
    <xf numFmtId="0" fontId="15" fillId="2" borderId="0" xfId="2" applyFont="1" applyFill="1"/>
    <xf numFmtId="0" fontId="15" fillId="2" borderId="0" xfId="3" applyFont="1" applyFill="1" applyAlignment="1">
      <alignment horizontal="center" vertical="center" wrapText="1"/>
    </xf>
    <xf numFmtId="0" fontId="14" fillId="0" borderId="0" xfId="2" applyAlignment="1">
      <alignment horizontal="center"/>
    </xf>
    <xf numFmtId="0" fontId="14" fillId="0" borderId="0" xfId="2"/>
    <xf numFmtId="0" fontId="0" fillId="3" borderId="0" xfId="0" applyFill="1"/>
    <xf numFmtId="0" fontId="16" fillId="2" borderId="1" xfId="0" applyFont="1" applyFill="1" applyBorder="1" applyAlignment="1">
      <alignment wrapText="1"/>
    </xf>
    <xf numFmtId="0" fontId="16" fillId="2" borderId="2" xfId="0" applyFont="1" applyFill="1" applyBorder="1" applyAlignment="1">
      <alignment horizontal="center"/>
    </xf>
    <xf numFmtId="0" fontId="16" fillId="2" borderId="3" xfId="0" applyFont="1" applyFill="1" applyBorder="1" applyAlignment="1">
      <alignment horizontal="center"/>
    </xf>
    <xf numFmtId="0" fontId="16" fillId="2" borderId="4" xfId="0" applyFont="1" applyFill="1" applyBorder="1" applyAlignment="1">
      <alignment horizontal="center"/>
    </xf>
    <xf numFmtId="0" fontId="17" fillId="2" borderId="5" xfId="0" applyFont="1" applyFill="1" applyBorder="1" applyAlignment="1">
      <alignment horizontal="center" vertical="center" wrapText="1"/>
    </xf>
    <xf numFmtId="0" fontId="16" fillId="2" borderId="6" xfId="0" applyFont="1" applyFill="1" applyBorder="1"/>
    <xf numFmtId="0" fontId="16" fillId="2" borderId="6" xfId="0" applyFont="1" applyFill="1" applyBorder="1" applyAlignment="1">
      <alignment horizontal="left"/>
    </xf>
    <xf numFmtId="0" fontId="18" fillId="4" borderId="6" xfId="0" applyFont="1" applyFill="1" applyBorder="1" applyAlignment="1">
      <alignment horizontal="center"/>
    </xf>
    <xf numFmtId="164" fontId="18" fillId="4" borderId="6" xfId="0" applyNumberFormat="1" applyFont="1" applyFill="1" applyBorder="1" applyAlignment="1">
      <alignment horizontal="center"/>
    </xf>
    <xf numFmtId="0" fontId="18" fillId="0" borderId="6" xfId="0" applyFont="1" applyBorder="1"/>
    <xf numFmtId="165" fontId="18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8" fillId="0" borderId="6" xfId="0" applyFont="1" applyBorder="1" applyAlignment="1">
      <alignment horizontal="left"/>
    </xf>
    <xf numFmtId="166" fontId="18" fillId="4" borderId="6" xfId="0" applyNumberFormat="1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14" fillId="0" borderId="0" xfId="3" applyAlignment="1">
      <alignment horizontal="center"/>
    </xf>
    <xf numFmtId="14" fontId="14" fillId="0" borderId="0" xfId="0" applyNumberFormat="1" applyFont="1"/>
    <xf numFmtId="0" fontId="0" fillId="0" borderId="0" xfId="0" applyAlignment="1">
      <alignment horizontal="center"/>
    </xf>
    <xf numFmtId="0" fontId="18" fillId="7" borderId="6" xfId="0" applyFont="1" applyFill="1" applyBorder="1" applyAlignment="1">
      <alignment horizontal="center"/>
    </xf>
    <xf numFmtId="164" fontId="18" fillId="7" borderId="6" xfId="0" applyNumberFormat="1" applyFont="1" applyFill="1" applyBorder="1" applyAlignment="1">
      <alignment horizontal="center"/>
    </xf>
    <xf numFmtId="166" fontId="18" fillId="7" borderId="6" xfId="0" applyNumberFormat="1" applyFont="1" applyFill="1" applyBorder="1" applyAlignment="1">
      <alignment horizontal="center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15" fillId="2" borderId="0" xfId="2" applyNumberFormat="1" applyFont="1" applyFill="1"/>
    <xf numFmtId="167" fontId="14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8" fillId="0" borderId="6" xfId="0" applyFont="1" applyBorder="1" applyAlignment="1">
      <alignment horizontal="center"/>
    </xf>
    <xf numFmtId="0" fontId="19" fillId="0" borderId="6" xfId="0" applyFont="1" applyBorder="1" applyAlignment="1">
      <alignment horizontal="center"/>
    </xf>
    <xf numFmtId="0" fontId="18" fillId="0" borderId="7" xfId="0" applyFont="1" applyBorder="1" applyAlignment="1">
      <alignment horizontal="center"/>
    </xf>
    <xf numFmtId="0" fontId="0" fillId="0" borderId="0" xfId="0" quotePrefix="1"/>
    <xf numFmtId="0" fontId="11" fillId="0" borderId="0" xfId="0" applyFont="1"/>
    <xf numFmtId="0" fontId="10" fillId="0" borderId="0" xfId="0" applyFont="1"/>
    <xf numFmtId="0" fontId="9" fillId="0" borderId="0" xfId="8"/>
    <xf numFmtId="14" fontId="9" fillId="0" borderId="0" xfId="8" applyNumberFormat="1"/>
    <xf numFmtId="0" fontId="8" fillId="0" borderId="0" xfId="9"/>
    <xf numFmtId="14" fontId="8" fillId="0" borderId="0" xfId="9" applyNumberFormat="1"/>
    <xf numFmtId="0" fontId="7" fillId="0" borderId="0" xfId="10"/>
    <xf numFmtId="14" fontId="7" fillId="0" borderId="0" xfId="10" applyNumberFormat="1"/>
    <xf numFmtId="0" fontId="6" fillId="0" borderId="0" xfId="11"/>
    <xf numFmtId="14" fontId="6" fillId="0" borderId="0" xfId="11" applyNumberFormat="1"/>
    <xf numFmtId="0" fontId="5" fillId="0" borderId="0" xfId="12"/>
    <xf numFmtId="14" fontId="5" fillId="0" borderId="0" xfId="12" applyNumberFormat="1"/>
    <xf numFmtId="0" fontId="4" fillId="0" borderId="0" xfId="13"/>
    <xf numFmtId="14" fontId="4" fillId="0" borderId="0" xfId="13" applyNumberFormat="1"/>
    <xf numFmtId="0" fontId="3" fillId="0" borderId="0" xfId="0" applyFont="1"/>
    <xf numFmtId="0" fontId="2" fillId="0" borderId="0" xfId="14"/>
    <xf numFmtId="14" fontId="2" fillId="0" borderId="0" xfId="14" applyNumberFormat="1"/>
    <xf numFmtId="0" fontId="1" fillId="0" borderId="0" xfId="0" applyFont="1"/>
  </cellXfs>
  <cellStyles count="15">
    <cellStyle name="Normal" xfId="0" builtinId="0"/>
    <cellStyle name="Normal 10" xfId="5" xr:uid="{53160EDD-86B8-4CB4-9708-F662E5A12BC2}"/>
    <cellStyle name="Normal 11" xfId="14" xr:uid="{23D49939-8DAF-4390-A43A-4F1BD9346163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  <cellStyle name="Normal 7" xfId="11" xr:uid="{D28ECA11-780F-4679-81CF-2A4396B3EA15}"/>
    <cellStyle name="Normal 8" xfId="12" xr:uid="{97B83FC5-4499-40EC-BA6F-AE69082F7C5A}"/>
    <cellStyle name="Normal 9" xfId="13" xr:uid="{0891DB9E-C6CF-4F12-953C-D3007C0906D2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377</v>
      </c>
    </row>
    <row r="9" spans="1:3" x14ac:dyDescent="0.35">
      <c r="C9" t="s">
        <v>378</v>
      </c>
    </row>
    <row r="10" spans="1:3" x14ac:dyDescent="0.35">
      <c r="A10" s="1">
        <v>46046</v>
      </c>
      <c r="B10" s="1" t="s">
        <v>0</v>
      </c>
      <c r="C10" t="s">
        <v>380</v>
      </c>
    </row>
    <row r="11" spans="1:3" x14ac:dyDescent="0.35">
      <c r="C11" s="44" t="s">
        <v>381</v>
      </c>
    </row>
    <row r="12" spans="1:3" x14ac:dyDescent="0.35">
      <c r="C12" t="s">
        <v>382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A2" sqref="A2:H21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361</v>
      </c>
      <c r="G1" t="s">
        <v>362</v>
      </c>
      <c r="H1" t="s">
        <v>318</v>
      </c>
    </row>
    <row r="2" spans="1:10" ht="14.25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G2" s="60"/>
      <c r="H2" s="61">
        <v>46125</v>
      </c>
      <c r="J2" s="1"/>
    </row>
    <row r="3" spans="1:10" ht="14.25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  <c r="J3" s="1"/>
    </row>
    <row r="4" spans="1:10" ht="14.25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  <c r="J4" s="1"/>
    </row>
    <row r="5" spans="1:10" ht="14.25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  <c r="J5" s="1"/>
    </row>
    <row r="6" spans="1:10" ht="14.25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  <c r="J6" s="1"/>
    </row>
    <row r="7" spans="1:10" ht="14.25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G7" s="60"/>
      <c r="H7" s="61">
        <v>46125</v>
      </c>
      <c r="J7" s="1"/>
    </row>
    <row r="8" spans="1:10" ht="14.25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  <c r="J8" s="1"/>
    </row>
    <row r="9" spans="1:10" ht="14.25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G9" s="60"/>
      <c r="H9" s="61">
        <v>46125</v>
      </c>
      <c r="J9" s="1"/>
    </row>
    <row r="10" spans="1:10" ht="14.25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  <c r="J10" s="1"/>
    </row>
    <row r="11" spans="1:10" ht="14.25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  <c r="J11" s="1"/>
    </row>
    <row r="12" spans="1:10" ht="14.25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  <c r="J12" s="1"/>
    </row>
    <row r="13" spans="1:10" ht="14.25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  <c r="J13" s="1"/>
    </row>
    <row r="14" spans="1:10" ht="14.25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  <c r="J14" s="1"/>
    </row>
    <row r="15" spans="1:10" ht="14.25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  <c r="J15" s="1"/>
    </row>
    <row r="16" spans="1:10" ht="14.25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  <c r="J16" s="1"/>
    </row>
    <row r="17" spans="1:10" ht="14.25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  <c r="J17" s="1"/>
    </row>
    <row r="18" spans="1:10" ht="14.25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G18" s="60"/>
      <c r="H18" s="61">
        <v>46125</v>
      </c>
      <c r="J18" s="1"/>
    </row>
    <row r="19" spans="1:10" ht="14.25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G19" s="60"/>
      <c r="H19" s="61">
        <v>46125</v>
      </c>
      <c r="J19" s="1"/>
    </row>
    <row r="20" spans="1:10" ht="14.25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  <c r="J20" s="1"/>
    </row>
    <row r="21" spans="1:10" ht="14.25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  <c r="J21" s="1"/>
    </row>
    <row r="22" spans="1:10" ht="14.25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G22" s="60"/>
      <c r="H22" s="61">
        <v>46125</v>
      </c>
      <c r="J22" s="1"/>
    </row>
    <row r="23" spans="1:10" ht="14.25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G23" s="60"/>
      <c r="H23" s="61">
        <v>46125</v>
      </c>
      <c r="J23" s="1"/>
    </row>
    <row r="24" spans="1:10" ht="14.25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  <c r="J24" s="1"/>
    </row>
    <row r="25" spans="1:10" ht="14.25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  <c r="J25" s="1"/>
    </row>
    <row r="26" spans="1:10" ht="14.25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  <c r="J26" s="1"/>
    </row>
    <row r="27" spans="1:10" ht="14.25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  <c r="J27" s="1"/>
    </row>
    <row r="28" spans="1:10" ht="14.25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  <c r="J28" s="1"/>
    </row>
    <row r="29" spans="1:10" ht="14.25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  <c r="J29" s="1"/>
    </row>
    <row r="30" spans="1:10" ht="14.25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G30" s="60"/>
      <c r="H30" s="61">
        <v>46125</v>
      </c>
      <c r="J30" s="1"/>
    </row>
    <row r="31" spans="1:10" ht="14.25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  <c r="J31" s="1"/>
    </row>
    <row r="32" spans="1:10" ht="14.25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G32" s="60"/>
      <c r="H32" s="61">
        <v>46125</v>
      </c>
      <c r="J32" s="1"/>
    </row>
    <row r="33" spans="1:10" ht="14.25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  <c r="J33" s="1"/>
    </row>
    <row r="34" spans="1:10" ht="14.25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  <c r="J34" s="1"/>
    </row>
    <row r="35" spans="1:10" ht="14.25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G35" s="60"/>
      <c r="H35" s="61">
        <v>46125</v>
      </c>
      <c r="J35" s="1"/>
    </row>
    <row r="36" spans="1:10" ht="14.25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  <c r="J36" s="1"/>
    </row>
    <row r="37" spans="1:10" ht="14.25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  <c r="J37" s="1"/>
    </row>
    <row r="38" spans="1:10" ht="14.25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  <c r="J38" s="1"/>
    </row>
    <row r="39" spans="1:10" ht="14.25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  <c r="J39" s="1"/>
    </row>
    <row r="40" spans="1:10" ht="14.25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  <c r="J40" s="1"/>
    </row>
    <row r="41" spans="1:10" ht="14.25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  <c r="J41" s="1"/>
    </row>
    <row r="42" spans="1:10" ht="14.25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  <c r="J42" s="1"/>
    </row>
    <row r="43" spans="1:10" ht="14.25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  <c r="J43" s="1"/>
    </row>
    <row r="44" spans="1:10" ht="14.25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  <c r="J44" s="1"/>
    </row>
    <row r="45" spans="1:10" ht="14.25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G45" s="60"/>
      <c r="H45" s="61">
        <v>46125</v>
      </c>
      <c r="J45" s="1"/>
    </row>
    <row r="46" spans="1:10" ht="14.25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  <c r="J46" s="1"/>
    </row>
    <row r="47" spans="1:10" ht="14.25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  <c r="J47" s="1"/>
    </row>
    <row r="48" spans="1:10" ht="14.25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  <c r="J48" s="1"/>
    </row>
    <row r="49" spans="1:10" ht="14.25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G49" s="60"/>
      <c r="H49" s="61">
        <v>46125</v>
      </c>
      <c r="J49" s="1"/>
    </row>
    <row r="50" spans="1:10" ht="14.25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  <c r="J50" s="1"/>
    </row>
    <row r="51" spans="1:10" ht="14.25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G51" s="60"/>
      <c r="H51" s="61">
        <v>46125</v>
      </c>
      <c r="J51" s="1"/>
    </row>
    <row r="52" spans="1:10" ht="14.25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  <c r="J52" s="1"/>
    </row>
    <row r="53" spans="1:10" ht="14.25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G53" s="60"/>
      <c r="H53" s="61">
        <v>46125</v>
      </c>
      <c r="J53" s="1"/>
    </row>
    <row r="54" spans="1:10" ht="14.25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G54" s="60"/>
      <c r="H54" s="61">
        <v>46125</v>
      </c>
      <c r="J54" s="1"/>
    </row>
    <row r="55" spans="1:10" ht="14.25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  <c r="J55" s="1"/>
    </row>
    <row r="56" spans="1:10" ht="14.25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  <c r="J56" s="1"/>
    </row>
    <row r="57" spans="1:10" ht="14.25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G57" s="60"/>
      <c r="H57" s="61">
        <v>46125</v>
      </c>
      <c r="J57" s="1"/>
    </row>
    <row r="58" spans="1:10" ht="14.25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G58" s="60"/>
      <c r="H58" s="61">
        <v>46125</v>
      </c>
      <c r="J58" s="1"/>
    </row>
    <row r="59" spans="1:10" ht="14.25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  <c r="J59" s="1"/>
    </row>
    <row r="60" spans="1:10" ht="14.25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  <c r="J60" s="1"/>
    </row>
    <row r="61" spans="1:10" ht="14.25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G61" s="60"/>
      <c r="H61" s="61">
        <v>46125</v>
      </c>
      <c r="J61" s="1"/>
    </row>
    <row r="62" spans="1:10" ht="14.25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G62" s="60"/>
      <c r="H62" s="61">
        <v>46125</v>
      </c>
      <c r="J62" s="1"/>
    </row>
    <row r="63" spans="1:10" ht="14.25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  <c r="J63" s="1"/>
    </row>
    <row r="64" spans="1:10" ht="14.25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  <c r="J64" s="1"/>
    </row>
    <row r="65" spans="1:10" ht="14.25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G65" s="60"/>
      <c r="H65" s="61">
        <v>46125</v>
      </c>
      <c r="J65" s="1"/>
    </row>
    <row r="66" spans="1:10" ht="14.25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  <c r="J66" s="1"/>
    </row>
    <row r="67" spans="1:10" ht="14.25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  <c r="J67" s="1"/>
    </row>
    <row r="68" spans="1:10" ht="14.25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  <c r="J68" s="1"/>
    </row>
    <row r="69" spans="1:10" ht="14.25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  <c r="J69" s="1"/>
    </row>
    <row r="70" spans="1:10" ht="14.25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G70" s="60"/>
      <c r="H70" s="61">
        <v>46125</v>
      </c>
      <c r="J70" s="1"/>
    </row>
    <row r="71" spans="1:10" ht="14.25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G71" s="60"/>
      <c r="H71" s="61">
        <v>46125</v>
      </c>
      <c r="J71" s="1"/>
    </row>
    <row r="72" spans="1:10" ht="14.25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  <c r="J72" s="1"/>
    </row>
    <row r="73" spans="1:10" ht="14.25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  <c r="J73" s="1"/>
    </row>
    <row r="74" spans="1:10" ht="14.25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G74" s="60"/>
      <c r="H74" s="61">
        <v>46125</v>
      </c>
      <c r="J74" s="1"/>
    </row>
    <row r="75" spans="1:10" ht="14.25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G75" s="60"/>
      <c r="H75" s="61">
        <v>46125</v>
      </c>
      <c r="J75" s="1"/>
    </row>
    <row r="76" spans="1:10" ht="14.25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G76" s="60"/>
      <c r="H76" s="61">
        <v>46125</v>
      </c>
      <c r="J76" s="1"/>
    </row>
    <row r="77" spans="1:10" ht="14.25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G77" s="60"/>
      <c r="H77" s="61">
        <v>46125</v>
      </c>
      <c r="J77" s="1"/>
    </row>
    <row r="78" spans="1:10" ht="14.25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G78" s="60"/>
      <c r="H78" s="61">
        <v>46125</v>
      </c>
      <c r="J78" s="1"/>
    </row>
    <row r="79" spans="1:10" ht="14.25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  <c r="J79" s="1"/>
    </row>
    <row r="80" spans="1:10" ht="14.25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  <c r="J80" s="1"/>
    </row>
    <row r="81" spans="1:10" ht="14.25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G81" s="60"/>
      <c r="H81" s="61">
        <v>46125</v>
      </c>
      <c r="J81" s="1"/>
    </row>
    <row r="82" spans="1:10" ht="14.25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  <c r="J82" s="1"/>
    </row>
    <row r="83" spans="1:10" ht="14.25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G83" s="60"/>
      <c r="H83" s="61">
        <v>46125</v>
      </c>
      <c r="J83" s="1"/>
    </row>
    <row r="84" spans="1:10" ht="14.25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G84" s="60"/>
      <c r="H84" s="61">
        <v>46125</v>
      </c>
      <c r="J84" s="1"/>
    </row>
    <row r="85" spans="1:10" ht="14.25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G85" s="60"/>
      <c r="H85" s="61">
        <v>46125</v>
      </c>
      <c r="J85" s="1"/>
    </row>
    <row r="86" spans="1:10" ht="14.25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  <c r="J86" s="1"/>
    </row>
    <row r="87" spans="1:10" ht="14.25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  <c r="J87" s="1"/>
    </row>
    <row r="88" spans="1:10" ht="14.25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  <c r="J88" s="1"/>
    </row>
    <row r="89" spans="1:10" ht="14.25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  <c r="J89" s="1"/>
    </row>
    <row r="90" spans="1:10" ht="14.25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  <c r="J90" s="1"/>
    </row>
    <row r="91" spans="1:10" ht="14.25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  <c r="J91" s="1"/>
    </row>
    <row r="92" spans="1:10" ht="14.25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  <c r="J92" s="1"/>
    </row>
    <row r="93" spans="1:10" ht="14.25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  <c r="J93" s="1"/>
    </row>
    <row r="94" spans="1:10" ht="14.25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G94" s="60"/>
      <c r="H94" s="61">
        <v>46125</v>
      </c>
      <c r="J94" s="1"/>
    </row>
    <row r="95" spans="1:10" ht="14.25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  <c r="J95" s="1"/>
    </row>
    <row r="96" spans="1:10" ht="14.25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  <c r="J96" s="1"/>
    </row>
    <row r="97" spans="1:10" ht="14.25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  <c r="J97" s="1"/>
    </row>
    <row r="98" spans="1:10" ht="14.25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G98" s="60"/>
      <c r="H98" s="61">
        <v>46125</v>
      </c>
      <c r="J98" s="1"/>
    </row>
    <row r="99" spans="1:10" ht="14.25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G99" s="60"/>
      <c r="H99" s="61">
        <v>46125</v>
      </c>
      <c r="J99" s="1"/>
    </row>
    <row r="100" spans="1:10" ht="14.25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  <c r="J100" s="1"/>
    </row>
    <row r="101" spans="1:10" ht="14.25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G101" s="60"/>
      <c r="H101" s="61">
        <v>46125</v>
      </c>
      <c r="J101" s="1"/>
    </row>
    <row r="102" spans="1:10" ht="14.25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  <c r="J102" s="1"/>
    </row>
    <row r="103" spans="1:10" ht="14.25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G103" s="60"/>
      <c r="H103" s="61">
        <v>46125</v>
      </c>
      <c r="J103" s="1"/>
    </row>
    <row r="104" spans="1:10" ht="14.25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  <c r="J104" s="1"/>
    </row>
    <row r="105" spans="1:10" ht="14.25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  <c r="J105" s="1"/>
    </row>
    <row r="106" spans="1:10" ht="14.25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G106" s="60"/>
      <c r="H106" s="61">
        <v>46125</v>
      </c>
      <c r="J106" s="1"/>
    </row>
    <row r="107" spans="1:10" ht="14.25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  <c r="J107" s="1"/>
    </row>
    <row r="108" spans="1:10" ht="14.25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  <c r="J108" s="1"/>
    </row>
    <row r="109" spans="1:10" ht="14.25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  <c r="J109" s="1"/>
    </row>
    <row r="110" spans="1:10" ht="14.25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  <c r="J110" s="1"/>
    </row>
    <row r="111" spans="1:10" ht="14.25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  <c r="J111" s="1"/>
    </row>
    <row r="112" spans="1:10" ht="14.25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G112" s="60"/>
      <c r="H112" s="61">
        <v>46125</v>
      </c>
      <c r="J112" s="1"/>
    </row>
    <row r="113" spans="1:10" ht="14.25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  <c r="J113" s="1"/>
    </row>
    <row r="114" spans="1:10" ht="14.25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G114" s="60"/>
      <c r="H114" s="61">
        <v>46125</v>
      </c>
      <c r="J114" s="1"/>
    </row>
    <row r="115" spans="1:10" ht="14.25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  <c r="J115" s="1"/>
    </row>
    <row r="116" spans="1:10" ht="14.25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  <c r="J116" s="1"/>
    </row>
    <row r="117" spans="1:10" ht="14.25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G117" s="60"/>
      <c r="H117" s="61">
        <v>46125</v>
      </c>
      <c r="J117" s="1"/>
    </row>
    <row r="118" spans="1:10" ht="14.25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G118" s="60"/>
      <c r="H118" s="61">
        <v>46125</v>
      </c>
      <c r="J118" s="1"/>
    </row>
    <row r="119" spans="1:10" ht="14.25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  <c r="J119" s="1"/>
    </row>
    <row r="120" spans="1:10" ht="14.25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  <c r="J120" s="1"/>
    </row>
    <row r="121" spans="1:10" ht="14.25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  <c r="J121" s="1"/>
    </row>
    <row r="122" spans="1:10" ht="14.25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  <c r="J122" s="1"/>
    </row>
    <row r="123" spans="1:10" ht="14.25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  <c r="J123" s="1"/>
    </row>
    <row r="124" spans="1:10" ht="14.25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  <c r="J124" s="1"/>
    </row>
    <row r="125" spans="1:10" ht="14.25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G125" s="60"/>
      <c r="H125" s="61">
        <v>46125</v>
      </c>
      <c r="J125" s="1"/>
    </row>
    <row r="126" spans="1:10" ht="14.25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G126" s="60"/>
      <c r="H126" s="61">
        <v>46125</v>
      </c>
      <c r="J126" s="1"/>
    </row>
    <row r="127" spans="1:10" ht="14.25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G127" s="60"/>
      <c r="H127" s="61">
        <v>46125</v>
      </c>
      <c r="J127" s="1"/>
    </row>
    <row r="128" spans="1:10" ht="14.25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  <c r="J128" s="1"/>
    </row>
    <row r="129" spans="1:10" ht="14.25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  <c r="J129" s="1"/>
    </row>
    <row r="130" spans="1:10" ht="14.25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  <c r="J130" s="1"/>
    </row>
    <row r="131" spans="1:10" ht="14.25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  <c r="J131" s="1"/>
    </row>
    <row r="132" spans="1:10" ht="14.25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G132" s="60"/>
      <c r="H132" s="61">
        <v>46125</v>
      </c>
      <c r="J132" s="1"/>
    </row>
    <row r="133" spans="1:10" ht="14.25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G133" s="60"/>
      <c r="H133" s="61">
        <v>46125</v>
      </c>
      <c r="J133" s="1"/>
    </row>
    <row r="134" spans="1:10" ht="14.25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G134" s="60"/>
      <c r="H134" s="61">
        <v>46125</v>
      </c>
      <c r="J134" s="1"/>
    </row>
    <row r="135" spans="1:10" ht="14.25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G135" s="60"/>
      <c r="H135" s="61">
        <v>46125</v>
      </c>
      <c r="J135" s="1"/>
    </row>
    <row r="136" spans="1:10" ht="14.25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  <c r="J136" s="1"/>
    </row>
    <row r="137" spans="1:10" ht="14.25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  <c r="J137" s="1"/>
    </row>
    <row r="138" spans="1:10" ht="14.25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  <c r="J138" s="1"/>
    </row>
    <row r="139" spans="1:10" ht="14.25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  <c r="J139" s="1"/>
    </row>
    <row r="140" spans="1:10" ht="14.25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  <c r="J140" s="1"/>
    </row>
    <row r="141" spans="1:10" ht="14.25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  <c r="J141" s="1"/>
    </row>
    <row r="142" spans="1:10" ht="14.25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  <c r="J142" s="1"/>
    </row>
    <row r="143" spans="1:10" ht="14.25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G143" s="60"/>
      <c r="H143" s="61">
        <v>46125</v>
      </c>
      <c r="J143" s="1"/>
    </row>
    <row r="144" spans="1:10" ht="14.25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  <c r="J144" s="1"/>
    </row>
    <row r="145" spans="1:10" ht="14.25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  <c r="J145" s="1"/>
    </row>
    <row r="146" spans="1:10" ht="14.25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  <c r="J146" s="1"/>
    </row>
    <row r="147" spans="1:10" ht="14.25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  <c r="J147" s="1"/>
    </row>
    <row r="148" spans="1:10" ht="14.25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  <c r="J148" s="1"/>
    </row>
    <row r="149" spans="1:10" ht="14.25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G149" s="60"/>
      <c r="H149" s="61">
        <v>46125</v>
      </c>
      <c r="J149" s="1"/>
    </row>
    <row r="150" spans="1:10" ht="14.25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G150" s="60"/>
      <c r="H150" s="61">
        <v>46125</v>
      </c>
      <c r="J150" s="1"/>
    </row>
    <row r="151" spans="1:10" ht="14.25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G151" s="60"/>
      <c r="H151" s="61">
        <v>46125</v>
      </c>
      <c r="J151" s="1"/>
    </row>
    <row r="152" spans="1:10" ht="14.25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  <c r="J152" s="1"/>
    </row>
    <row r="153" spans="1:10" ht="14.25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  <c r="J153" s="1"/>
    </row>
    <row r="154" spans="1:10" ht="14.25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G154" s="60"/>
      <c r="H154" s="61">
        <v>46125</v>
      </c>
      <c r="J154" s="1"/>
    </row>
    <row r="155" spans="1:10" ht="14.25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G155" s="60"/>
      <c r="H155" s="61">
        <v>46125</v>
      </c>
      <c r="J155" s="1"/>
    </row>
    <row r="156" spans="1:10" ht="14.25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  <c r="J156" s="1"/>
    </row>
    <row r="157" spans="1:10" ht="14.25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  <c r="J157" s="1"/>
    </row>
    <row r="158" spans="1:10" ht="14.25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  <c r="J158" s="1"/>
    </row>
    <row r="159" spans="1:10" ht="14.25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  <c r="J159" s="1"/>
    </row>
    <row r="160" spans="1:10" ht="14.25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G160" s="60"/>
      <c r="H160" s="61">
        <v>46125</v>
      </c>
      <c r="J160" s="1"/>
    </row>
    <row r="161" spans="1:10" ht="14.25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G161" s="60"/>
      <c r="H161" s="61">
        <v>46125</v>
      </c>
      <c r="J161" s="1"/>
    </row>
    <row r="162" spans="1:10" ht="14.25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  <c r="J162" s="1"/>
    </row>
    <row r="163" spans="1:10" ht="14.25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  <c r="J163" s="1"/>
    </row>
    <row r="164" spans="1:10" ht="14.25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  <c r="J164" s="1"/>
    </row>
    <row r="165" spans="1:10" ht="14.25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  <c r="J165" s="1"/>
    </row>
    <row r="166" spans="1:10" ht="14.25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G166" s="60"/>
      <c r="H166" s="61">
        <v>46125</v>
      </c>
      <c r="J166" s="1"/>
    </row>
    <row r="167" spans="1:10" ht="14.25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  <c r="J167" s="1"/>
    </row>
    <row r="168" spans="1:10" ht="14.25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G168" s="60"/>
      <c r="H168" s="61">
        <v>46125</v>
      </c>
      <c r="J168" s="1"/>
    </row>
    <row r="169" spans="1:10" ht="14.25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  <c r="J169" s="1"/>
    </row>
    <row r="170" spans="1:10" ht="14.25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G170" s="60"/>
      <c r="H170" s="61">
        <v>46125</v>
      </c>
      <c r="J170" s="1"/>
    </row>
    <row r="171" spans="1:10" ht="14.25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  <c r="J171" s="1"/>
    </row>
    <row r="172" spans="1:10" ht="14.25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  <c r="J172" s="1"/>
    </row>
    <row r="173" spans="1:10" ht="14.25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  <c r="J173" s="1"/>
    </row>
    <row r="174" spans="1:10" ht="14.25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  <c r="J174" s="1"/>
    </row>
    <row r="175" spans="1:10" ht="14.25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  <c r="J175" s="1"/>
    </row>
    <row r="176" spans="1:10" ht="14.25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  <c r="J176" s="1"/>
    </row>
    <row r="177" spans="1:10" ht="14.25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  <c r="J177" s="1"/>
    </row>
    <row r="178" spans="1:10" ht="14.25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  <c r="J178" s="1"/>
    </row>
    <row r="179" spans="1:10" ht="14.25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  <c r="J179" s="1"/>
    </row>
    <row r="180" spans="1:10" ht="14.25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  <c r="J180" s="1"/>
    </row>
    <row r="181" spans="1:10" ht="14.25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G181" s="60"/>
      <c r="H181" s="61">
        <v>46125</v>
      </c>
      <c r="J181" s="1"/>
    </row>
    <row r="182" spans="1:10" ht="14.25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G182" s="60"/>
      <c r="H182" s="61">
        <v>46125</v>
      </c>
      <c r="J182" s="1"/>
    </row>
    <row r="183" spans="1:10" ht="14.25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  <c r="J183" s="1"/>
    </row>
    <row r="184" spans="1:10" ht="14.25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  <c r="J184" s="1"/>
    </row>
    <row r="185" spans="1:10" ht="14.25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  <c r="J185" s="1"/>
    </row>
    <row r="186" spans="1:10" ht="14.25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G186" s="60"/>
      <c r="H186" s="61">
        <v>46125</v>
      </c>
      <c r="J186" s="1"/>
    </row>
    <row r="187" spans="1:10" ht="14.25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G187" s="60"/>
      <c r="H187" s="61">
        <v>46125</v>
      </c>
      <c r="J187" s="1"/>
    </row>
    <row r="188" spans="1:10" ht="14.25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  <c r="J188" s="1"/>
    </row>
    <row r="189" spans="1:10" ht="14.25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  <c r="J189" s="1"/>
    </row>
    <row r="190" spans="1:10" ht="14.25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  <c r="J190" s="1"/>
    </row>
    <row r="191" spans="1:10" ht="14.25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  <c r="J191" s="1"/>
    </row>
    <row r="192" spans="1:10" ht="14.25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G192" s="60"/>
      <c r="H192" s="61">
        <v>46125</v>
      </c>
      <c r="J192" s="1"/>
    </row>
    <row r="193" spans="1:10" ht="14.25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G193" s="60"/>
      <c r="H193" s="61">
        <v>46125</v>
      </c>
      <c r="J193" s="1"/>
    </row>
    <row r="194" spans="1:10" ht="14.25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  <c r="J194" s="1"/>
    </row>
    <row r="195" spans="1:10" ht="14.25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  <c r="J195" s="1"/>
    </row>
    <row r="196" spans="1:10" ht="14.25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G196" s="60"/>
      <c r="H196" s="61">
        <v>46125</v>
      </c>
      <c r="J196" s="1"/>
    </row>
    <row r="197" spans="1:10" ht="14.25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G197" s="60"/>
      <c r="H197" s="61">
        <v>46125</v>
      </c>
      <c r="J197" s="1"/>
    </row>
    <row r="198" spans="1:10" ht="14.25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  <c r="J198" s="1"/>
    </row>
    <row r="199" spans="1:10" ht="14.25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  <c r="J199" s="1"/>
    </row>
    <row r="200" spans="1:10" ht="14.25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  <c r="J200" s="1"/>
    </row>
    <row r="201" spans="1:10" ht="14.25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G201" s="60"/>
      <c r="H201" s="61">
        <v>46125</v>
      </c>
      <c r="J201" s="1"/>
    </row>
    <row r="202" spans="1:10" ht="14.25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  <c r="J202" s="1"/>
    </row>
    <row r="203" spans="1:10" ht="14.25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G203" s="60"/>
      <c r="H203" s="61">
        <v>46125</v>
      </c>
      <c r="J203" s="1"/>
    </row>
    <row r="204" spans="1:10" ht="14.25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  <c r="J204" s="1"/>
    </row>
    <row r="205" spans="1:10" ht="14.25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  <c r="J205" s="1"/>
    </row>
    <row r="206" spans="1:10" ht="14.25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G206" s="60"/>
      <c r="H206" s="61">
        <v>46125</v>
      </c>
      <c r="J206" s="1"/>
    </row>
    <row r="207" spans="1:10" ht="14.25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G207" s="60"/>
      <c r="H207" s="61">
        <v>46125</v>
      </c>
      <c r="J207" s="1"/>
    </row>
    <row r="208" spans="1:10" ht="14.25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G208" s="60"/>
      <c r="H208" s="61">
        <v>46125</v>
      </c>
      <c r="J208" s="1"/>
    </row>
    <row r="209" spans="1:10" ht="14.25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G209" s="60"/>
      <c r="H209" s="61">
        <v>46125</v>
      </c>
      <c r="J209" s="1"/>
    </row>
    <row r="210" spans="1:10" ht="14.25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  <c r="J210" s="1"/>
    </row>
    <row r="211" spans="1:10" ht="14.25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  <c r="J211" s="1"/>
    </row>
    <row r="212" spans="1:10" ht="14.25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G212" s="60"/>
      <c r="H212" s="61">
        <v>46125</v>
      </c>
      <c r="J212" s="1"/>
    </row>
    <row r="213" spans="1:10" ht="14.25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  <c r="J213" s="1"/>
    </row>
    <row r="214" spans="1:10" ht="14.25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  <c r="J214" s="1"/>
    </row>
    <row r="215" spans="1:10" ht="14.25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  <c r="J215" s="1"/>
    </row>
    <row r="216" spans="1:10" ht="14.25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  <c r="J216" s="1"/>
    </row>
    <row r="217" spans="1:10" ht="14.25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  <c r="J217" s="1"/>
    </row>
    <row r="218" spans="1:10" ht="14.25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G218" s="60"/>
      <c r="H218" s="61">
        <v>46125</v>
      </c>
      <c r="J218" s="1"/>
    </row>
    <row r="219" spans="1:10" x14ac:dyDescent="0.35">
      <c r="H219" s="1"/>
      <c r="J219" s="1"/>
    </row>
    <row r="220" spans="1:10" x14ac:dyDescent="0.35">
      <c r="H220" s="1"/>
      <c r="J220" s="1"/>
    </row>
    <row r="221" spans="1:10" x14ac:dyDescent="0.35">
      <c r="H221" s="1"/>
      <c r="J221" s="1"/>
    </row>
    <row r="222" spans="1:10" x14ac:dyDescent="0.35">
      <c r="H222" s="1"/>
      <c r="J222" s="1"/>
    </row>
    <row r="223" spans="1:10" x14ac:dyDescent="0.35">
      <c r="H223" s="1"/>
      <c r="J223" s="1"/>
    </row>
    <row r="224" spans="1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ColWidth="9.06640625"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361</v>
      </c>
      <c r="G1" s="47" t="s">
        <v>362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364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363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363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363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363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365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363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364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363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442</v>
      </c>
      <c r="C11" s="47" t="s">
        <v>34</v>
      </c>
      <c r="D11" s="47" t="s">
        <v>35</v>
      </c>
      <c r="E11" s="47" t="b">
        <v>0</v>
      </c>
      <c r="F11" s="47" t="s">
        <v>363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363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363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363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363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363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364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365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363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363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364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363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363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441</v>
      </c>
      <c r="C24" s="47" t="s">
        <v>38</v>
      </c>
      <c r="D24" s="47" t="s">
        <v>35</v>
      </c>
      <c r="E24" s="47" t="b">
        <v>0</v>
      </c>
      <c r="F24" s="47" t="s">
        <v>363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363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363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363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440</v>
      </c>
      <c r="C28" s="47" t="s">
        <v>439</v>
      </c>
      <c r="D28" s="47" t="s">
        <v>35</v>
      </c>
      <c r="E28" s="47" t="b">
        <v>1</v>
      </c>
      <c r="F28" s="47" t="s">
        <v>365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363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363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364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363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363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363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363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363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363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363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438</v>
      </c>
      <c r="C39" s="47" t="s">
        <v>437</v>
      </c>
      <c r="D39" s="47" t="s">
        <v>35</v>
      </c>
      <c r="E39" s="47" t="b">
        <v>1</v>
      </c>
      <c r="F39" s="47" t="s">
        <v>364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363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363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363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364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365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363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436</v>
      </c>
      <c r="C46" s="47" t="s">
        <v>435</v>
      </c>
      <c r="D46" s="47" t="s">
        <v>35</v>
      </c>
      <c r="E46" s="47" t="b">
        <v>0</v>
      </c>
      <c r="F46" s="47" t="s">
        <v>364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365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363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363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364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364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363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434</v>
      </c>
      <c r="C53" s="47" t="s">
        <v>185</v>
      </c>
      <c r="D53" s="47" t="s">
        <v>35</v>
      </c>
      <c r="E53" s="47" t="b">
        <v>1</v>
      </c>
      <c r="F53" s="47" t="s">
        <v>363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365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364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363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363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433</v>
      </c>
      <c r="C58" s="47" t="s">
        <v>64</v>
      </c>
      <c r="D58" s="47" t="s">
        <v>35</v>
      </c>
      <c r="E58" s="47" t="b">
        <v>0</v>
      </c>
      <c r="F58" s="47" t="s">
        <v>364</v>
      </c>
      <c r="H58" s="48">
        <v>46088</v>
      </c>
    </row>
    <row r="59" spans="1:8" x14ac:dyDescent="0.45">
      <c r="A59" s="47">
        <v>1402</v>
      </c>
      <c r="B59" s="47" t="s">
        <v>432</v>
      </c>
      <c r="C59" s="47" t="s">
        <v>168</v>
      </c>
      <c r="D59" s="47" t="s">
        <v>35</v>
      </c>
      <c r="E59" s="47" t="b">
        <v>0</v>
      </c>
      <c r="F59" s="47" t="s">
        <v>363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363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363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363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364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364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363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363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364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364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365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365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365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363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363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364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363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431</v>
      </c>
      <c r="C76" s="47" t="s">
        <v>430</v>
      </c>
      <c r="D76" s="47" t="s">
        <v>35</v>
      </c>
      <c r="E76" s="47" t="b">
        <v>0</v>
      </c>
      <c r="F76" s="47" t="s">
        <v>364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365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364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363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363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363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363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363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429</v>
      </c>
      <c r="C84" s="47" t="s">
        <v>315</v>
      </c>
      <c r="D84" s="47" t="s">
        <v>35</v>
      </c>
      <c r="E84" s="47" t="b">
        <v>0</v>
      </c>
      <c r="F84" s="47" t="s">
        <v>363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363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363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364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363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363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428</v>
      </c>
      <c r="C90" s="47" t="s">
        <v>427</v>
      </c>
      <c r="D90" s="47" t="s">
        <v>35</v>
      </c>
      <c r="E90" s="47" t="b">
        <v>1</v>
      </c>
      <c r="F90" s="47" t="s">
        <v>365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364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363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366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363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364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363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363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366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363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363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363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363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363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364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363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364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363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426</v>
      </c>
      <c r="C108" s="47" t="s">
        <v>410</v>
      </c>
      <c r="D108" s="47" t="s">
        <v>35</v>
      </c>
      <c r="E108" s="47" t="b">
        <v>0</v>
      </c>
      <c r="F108" s="47" t="s">
        <v>363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426</v>
      </c>
      <c r="C109" s="47" t="s">
        <v>320</v>
      </c>
      <c r="D109" s="47" t="s">
        <v>35</v>
      </c>
      <c r="E109" s="47" t="b">
        <v>1</v>
      </c>
      <c r="F109" s="47" t="s">
        <v>364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364</v>
      </c>
      <c r="H110" s="48">
        <v>46088</v>
      </c>
    </row>
    <row r="111" spans="1:8" x14ac:dyDescent="0.45">
      <c r="A111" s="47">
        <v>1408</v>
      </c>
      <c r="B111" s="47" t="s">
        <v>424</v>
      </c>
      <c r="C111" s="47" t="s">
        <v>425</v>
      </c>
      <c r="D111" s="47" t="s">
        <v>35</v>
      </c>
      <c r="E111" s="47" t="b">
        <v>0</v>
      </c>
      <c r="F111" s="47" t="s">
        <v>363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424</v>
      </c>
      <c r="C112" s="47" t="s">
        <v>423</v>
      </c>
      <c r="D112" s="47" t="s">
        <v>35</v>
      </c>
      <c r="E112" s="47" t="b">
        <v>1</v>
      </c>
      <c r="F112" s="47" t="s">
        <v>363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363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363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363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364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365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363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363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363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421</v>
      </c>
      <c r="C121" s="47" t="s">
        <v>57</v>
      </c>
      <c r="D121" s="47" t="s">
        <v>35</v>
      </c>
      <c r="E121" s="47" t="b">
        <v>0</v>
      </c>
      <c r="F121" s="47" t="s">
        <v>364</v>
      </c>
      <c r="H121" s="48">
        <v>46088</v>
      </c>
    </row>
    <row r="122" spans="1:8" x14ac:dyDescent="0.45">
      <c r="A122" s="47">
        <v>1397</v>
      </c>
      <c r="B122" s="47" t="s">
        <v>421</v>
      </c>
      <c r="C122" s="47" t="s">
        <v>422</v>
      </c>
      <c r="D122" s="47" t="s">
        <v>35</v>
      </c>
      <c r="E122" s="47" t="b">
        <v>1</v>
      </c>
      <c r="F122" s="47" t="s">
        <v>364</v>
      </c>
      <c r="H122" s="48">
        <v>46088</v>
      </c>
    </row>
    <row r="123" spans="1:8" x14ac:dyDescent="0.45">
      <c r="A123" s="47">
        <v>1398</v>
      </c>
      <c r="B123" s="47" t="s">
        <v>421</v>
      </c>
      <c r="C123" s="47" t="s">
        <v>49</v>
      </c>
      <c r="D123" s="47" t="s">
        <v>35</v>
      </c>
      <c r="E123" s="47" t="b">
        <v>0</v>
      </c>
      <c r="F123" s="47" t="s">
        <v>365</v>
      </c>
      <c r="H123" s="48">
        <v>46088</v>
      </c>
    </row>
    <row r="124" spans="1:8" x14ac:dyDescent="0.45">
      <c r="A124" s="47">
        <v>1399</v>
      </c>
      <c r="B124" s="47" t="s">
        <v>421</v>
      </c>
      <c r="C124" s="47" t="s">
        <v>182</v>
      </c>
      <c r="D124" s="47" t="s">
        <v>35</v>
      </c>
      <c r="E124" s="47" t="b">
        <v>1</v>
      </c>
      <c r="F124" s="47" t="s">
        <v>365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363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363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363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363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363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363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363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365</v>
      </c>
      <c r="H132" s="48">
        <v>46088</v>
      </c>
    </row>
    <row r="133" spans="1:8" x14ac:dyDescent="0.45">
      <c r="A133" s="47">
        <v>564</v>
      </c>
      <c r="B133" s="47" t="s">
        <v>420</v>
      </c>
      <c r="C133" s="47" t="s">
        <v>37</v>
      </c>
      <c r="D133" s="47" t="s">
        <v>35</v>
      </c>
      <c r="E133" s="47" t="b">
        <v>0</v>
      </c>
      <c r="F133" s="47" t="s">
        <v>363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363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363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363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363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364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366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365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363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363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419</v>
      </c>
      <c r="C143" s="47" t="s">
        <v>418</v>
      </c>
      <c r="D143" s="47" t="s">
        <v>35</v>
      </c>
      <c r="E143" s="47" t="b">
        <v>0</v>
      </c>
      <c r="F143" s="47" t="s">
        <v>364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364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363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363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363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363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417</v>
      </c>
      <c r="C149" s="47" t="s">
        <v>416</v>
      </c>
      <c r="D149" s="47" t="s">
        <v>35</v>
      </c>
      <c r="E149" s="47" t="b">
        <v>1</v>
      </c>
      <c r="F149" s="47" t="s">
        <v>364</v>
      </c>
      <c r="H149" s="48">
        <v>46088</v>
      </c>
    </row>
    <row r="150" spans="1:8" x14ac:dyDescent="0.45">
      <c r="A150" s="47">
        <v>1285</v>
      </c>
      <c r="B150" s="47" t="s">
        <v>415</v>
      </c>
      <c r="C150" s="47" t="s">
        <v>40</v>
      </c>
      <c r="D150" s="47" t="s">
        <v>35</v>
      </c>
      <c r="E150" s="47" t="b">
        <v>0</v>
      </c>
      <c r="F150" s="47" t="s">
        <v>364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363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363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363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363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414</v>
      </c>
      <c r="C155" s="47" t="s">
        <v>413</v>
      </c>
      <c r="D155" s="47" t="s">
        <v>35</v>
      </c>
      <c r="E155" s="47" t="b">
        <v>1</v>
      </c>
      <c r="F155" s="47" t="s">
        <v>364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363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364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364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363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363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363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363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363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363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363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363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412</v>
      </c>
      <c r="D167" s="47" t="s">
        <v>35</v>
      </c>
      <c r="E167" s="47" t="b">
        <v>0</v>
      </c>
      <c r="F167" s="47" t="s">
        <v>364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364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363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363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364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364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363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363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363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364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364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363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363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364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364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363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363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363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363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364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363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363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411</v>
      </c>
      <c r="D189" s="47" t="s">
        <v>35</v>
      </c>
      <c r="E189" s="47" t="b">
        <v>1</v>
      </c>
      <c r="F189" s="47" t="s">
        <v>366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410</v>
      </c>
      <c r="D190" s="47" t="s">
        <v>35</v>
      </c>
      <c r="E190" s="47" t="b">
        <v>0</v>
      </c>
      <c r="F190" s="47" t="s">
        <v>366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364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364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363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364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363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363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363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363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ColWidth="9.06640625"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361</v>
      </c>
      <c r="G1" s="49" t="s">
        <v>362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364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363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363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363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363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365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363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364</v>
      </c>
      <c r="H9" s="50">
        <v>46091</v>
      </c>
    </row>
    <row r="10" spans="1:8" x14ac:dyDescent="0.45">
      <c r="A10" s="49">
        <v>1112</v>
      </c>
      <c r="B10" s="49" t="s">
        <v>449</v>
      </c>
      <c r="C10" s="49" t="s">
        <v>448</v>
      </c>
      <c r="D10" s="49" t="s">
        <v>35</v>
      </c>
      <c r="E10" s="49" t="b">
        <v>0</v>
      </c>
      <c r="F10" s="49" t="s">
        <v>363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363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442</v>
      </c>
      <c r="C12" s="49" t="s">
        <v>34</v>
      </c>
      <c r="D12" s="49" t="s">
        <v>35</v>
      </c>
      <c r="E12" s="49" t="b">
        <v>0</v>
      </c>
      <c r="F12" s="49" t="s">
        <v>363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363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363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363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363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363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364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365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363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363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447</v>
      </c>
      <c r="C22" s="49" t="s">
        <v>446</v>
      </c>
      <c r="D22" s="49" t="s">
        <v>35</v>
      </c>
      <c r="E22" s="49" t="b">
        <v>0</v>
      </c>
      <c r="F22" s="49" t="s">
        <v>364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364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363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363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441</v>
      </c>
      <c r="C26" s="49" t="s">
        <v>38</v>
      </c>
      <c r="D26" s="49" t="s">
        <v>35</v>
      </c>
      <c r="E26" s="49" t="b">
        <v>0</v>
      </c>
      <c r="F26" s="49" t="s">
        <v>363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363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363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363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440</v>
      </c>
      <c r="C30" s="49" t="s">
        <v>439</v>
      </c>
      <c r="D30" s="49" t="s">
        <v>35</v>
      </c>
      <c r="E30" s="49" t="b">
        <v>1</v>
      </c>
      <c r="F30" s="49" t="s">
        <v>365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363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363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364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363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363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363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363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363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363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363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438</v>
      </c>
      <c r="C41" s="49" t="s">
        <v>437</v>
      </c>
      <c r="D41" s="49" t="s">
        <v>35</v>
      </c>
      <c r="E41" s="49" t="b">
        <v>1</v>
      </c>
      <c r="F41" s="49" t="s">
        <v>364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363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363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363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364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365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363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436</v>
      </c>
      <c r="C48" s="49" t="s">
        <v>435</v>
      </c>
      <c r="D48" s="49" t="s">
        <v>35</v>
      </c>
      <c r="E48" s="49" t="b">
        <v>0</v>
      </c>
      <c r="F48" s="49" t="s">
        <v>364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365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363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363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364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364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363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434</v>
      </c>
      <c r="C55" s="49" t="s">
        <v>185</v>
      </c>
      <c r="D55" s="49" t="s">
        <v>35</v>
      </c>
      <c r="E55" s="49" t="b">
        <v>1</v>
      </c>
      <c r="F55" s="49" t="s">
        <v>363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365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364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363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363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433</v>
      </c>
      <c r="C60" s="49" t="s">
        <v>64</v>
      </c>
      <c r="D60" s="49" t="s">
        <v>35</v>
      </c>
      <c r="E60" s="49" t="b">
        <v>0</v>
      </c>
      <c r="F60" s="49" t="s">
        <v>364</v>
      </c>
      <c r="H60" s="50">
        <v>46091</v>
      </c>
    </row>
    <row r="61" spans="1:8" x14ac:dyDescent="0.45">
      <c r="A61" s="49">
        <v>1402</v>
      </c>
      <c r="B61" s="49" t="s">
        <v>432</v>
      </c>
      <c r="C61" s="49" t="s">
        <v>168</v>
      </c>
      <c r="D61" s="49" t="s">
        <v>35</v>
      </c>
      <c r="E61" s="49" t="b">
        <v>0</v>
      </c>
      <c r="F61" s="49" t="s">
        <v>363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363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363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363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364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364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363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363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364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364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365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365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365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363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363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364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363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431</v>
      </c>
      <c r="C78" s="49" t="s">
        <v>430</v>
      </c>
      <c r="D78" s="49" t="s">
        <v>35</v>
      </c>
      <c r="E78" s="49" t="b">
        <v>0</v>
      </c>
      <c r="F78" s="49" t="s">
        <v>364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365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364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363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363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363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363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363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429</v>
      </c>
      <c r="C86" s="49" t="s">
        <v>315</v>
      </c>
      <c r="D86" s="49" t="s">
        <v>35</v>
      </c>
      <c r="E86" s="49" t="b">
        <v>0</v>
      </c>
      <c r="F86" s="49" t="s">
        <v>363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363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363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364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363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363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445</v>
      </c>
      <c r="C92" s="49" t="s">
        <v>149</v>
      </c>
      <c r="D92" s="49" t="s">
        <v>35</v>
      </c>
      <c r="E92" s="49" t="b">
        <v>1</v>
      </c>
      <c r="F92" s="49" t="s">
        <v>363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428</v>
      </c>
      <c r="C93" s="49" t="s">
        <v>427</v>
      </c>
      <c r="D93" s="49" t="s">
        <v>35</v>
      </c>
      <c r="E93" s="49" t="b">
        <v>1</v>
      </c>
      <c r="F93" s="49" t="s">
        <v>365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364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363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366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363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364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363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363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366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363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363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363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363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363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364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363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364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363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426</v>
      </c>
      <c r="C111" s="49" t="s">
        <v>410</v>
      </c>
      <c r="D111" s="49" t="s">
        <v>35</v>
      </c>
      <c r="E111" s="49" t="b">
        <v>0</v>
      </c>
      <c r="F111" s="49" t="s">
        <v>363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426</v>
      </c>
      <c r="C112" s="49" t="s">
        <v>320</v>
      </c>
      <c r="D112" s="49" t="s">
        <v>35</v>
      </c>
      <c r="E112" s="49" t="b">
        <v>1</v>
      </c>
      <c r="F112" s="49" t="s">
        <v>364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364</v>
      </c>
      <c r="H113" s="50">
        <v>46091</v>
      </c>
    </row>
    <row r="114" spans="1:8" x14ac:dyDescent="0.45">
      <c r="A114" s="49">
        <v>1408</v>
      </c>
      <c r="B114" s="49" t="s">
        <v>424</v>
      </c>
      <c r="C114" s="49" t="s">
        <v>425</v>
      </c>
      <c r="D114" s="49" t="s">
        <v>35</v>
      </c>
      <c r="E114" s="49" t="b">
        <v>0</v>
      </c>
      <c r="F114" s="49" t="s">
        <v>363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424</v>
      </c>
      <c r="C115" s="49" t="s">
        <v>423</v>
      </c>
      <c r="D115" s="49" t="s">
        <v>35</v>
      </c>
      <c r="E115" s="49" t="b">
        <v>1</v>
      </c>
      <c r="F115" s="49" t="s">
        <v>363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363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363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363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364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365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363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363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363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421</v>
      </c>
      <c r="C124" s="49" t="s">
        <v>57</v>
      </c>
      <c r="D124" s="49" t="s">
        <v>35</v>
      </c>
      <c r="E124" s="49" t="b">
        <v>0</v>
      </c>
      <c r="F124" s="49" t="s">
        <v>364</v>
      </c>
      <c r="H124" s="50">
        <v>46091</v>
      </c>
    </row>
    <row r="125" spans="1:8" x14ac:dyDescent="0.45">
      <c r="A125" s="49">
        <v>1397</v>
      </c>
      <c r="B125" s="49" t="s">
        <v>421</v>
      </c>
      <c r="C125" s="49" t="s">
        <v>422</v>
      </c>
      <c r="D125" s="49" t="s">
        <v>35</v>
      </c>
      <c r="E125" s="49" t="b">
        <v>1</v>
      </c>
      <c r="F125" s="49" t="s">
        <v>364</v>
      </c>
      <c r="H125" s="50">
        <v>46091</v>
      </c>
    </row>
    <row r="126" spans="1:8" x14ac:dyDescent="0.45">
      <c r="A126" s="49">
        <v>1398</v>
      </c>
      <c r="B126" s="49" t="s">
        <v>421</v>
      </c>
      <c r="C126" s="49" t="s">
        <v>49</v>
      </c>
      <c r="D126" s="49" t="s">
        <v>35</v>
      </c>
      <c r="E126" s="49" t="b">
        <v>0</v>
      </c>
      <c r="F126" s="49" t="s">
        <v>365</v>
      </c>
      <c r="H126" s="50">
        <v>46091</v>
      </c>
    </row>
    <row r="127" spans="1:8" x14ac:dyDescent="0.45">
      <c r="A127" s="49">
        <v>1399</v>
      </c>
      <c r="B127" s="49" t="s">
        <v>421</v>
      </c>
      <c r="C127" s="49" t="s">
        <v>182</v>
      </c>
      <c r="D127" s="49" t="s">
        <v>35</v>
      </c>
      <c r="E127" s="49" t="b">
        <v>1</v>
      </c>
      <c r="F127" s="49" t="s">
        <v>365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363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363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363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363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363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363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363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365</v>
      </c>
      <c r="H135" s="50">
        <v>46091</v>
      </c>
    </row>
    <row r="136" spans="1:8" x14ac:dyDescent="0.45">
      <c r="A136" s="49">
        <v>564</v>
      </c>
      <c r="B136" s="49" t="s">
        <v>420</v>
      </c>
      <c r="C136" s="49" t="s">
        <v>37</v>
      </c>
      <c r="D136" s="49" t="s">
        <v>35</v>
      </c>
      <c r="E136" s="49" t="b">
        <v>0</v>
      </c>
      <c r="F136" s="49" t="s">
        <v>363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363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363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363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363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364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366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365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363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363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419</v>
      </c>
      <c r="C146" s="49" t="s">
        <v>418</v>
      </c>
      <c r="D146" s="49" t="s">
        <v>35</v>
      </c>
      <c r="E146" s="49" t="b">
        <v>0</v>
      </c>
      <c r="F146" s="49" t="s">
        <v>364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364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363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363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363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363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417</v>
      </c>
      <c r="C152" s="49" t="s">
        <v>416</v>
      </c>
      <c r="D152" s="49" t="s">
        <v>35</v>
      </c>
      <c r="E152" s="49" t="b">
        <v>1</v>
      </c>
      <c r="F152" s="49" t="s">
        <v>364</v>
      </c>
      <c r="H152" s="50">
        <v>46091</v>
      </c>
    </row>
    <row r="153" spans="1:8" x14ac:dyDescent="0.45">
      <c r="A153" s="49">
        <v>1285</v>
      </c>
      <c r="B153" s="49" t="s">
        <v>415</v>
      </c>
      <c r="C153" s="49" t="s">
        <v>40</v>
      </c>
      <c r="D153" s="49" t="s">
        <v>35</v>
      </c>
      <c r="E153" s="49" t="b">
        <v>0</v>
      </c>
      <c r="F153" s="49" t="s">
        <v>364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363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363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363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363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414</v>
      </c>
      <c r="C158" s="49" t="s">
        <v>413</v>
      </c>
      <c r="D158" s="49" t="s">
        <v>35</v>
      </c>
      <c r="E158" s="49" t="b">
        <v>1</v>
      </c>
      <c r="F158" s="49" t="s">
        <v>364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363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364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364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363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363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363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363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363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363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363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363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412</v>
      </c>
      <c r="D170" s="49" t="s">
        <v>35</v>
      </c>
      <c r="E170" s="49" t="b">
        <v>0</v>
      </c>
      <c r="F170" s="49" t="s">
        <v>364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364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363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363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364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364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363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363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363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364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364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363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363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364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364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363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363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363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444</v>
      </c>
      <c r="C188" s="49" t="s">
        <v>226</v>
      </c>
      <c r="D188" s="49" t="s">
        <v>35</v>
      </c>
      <c r="E188" s="49" t="b">
        <v>1</v>
      </c>
      <c r="F188" s="49" t="s">
        <v>365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363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364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363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363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411</v>
      </c>
      <c r="D193" s="49" t="s">
        <v>35</v>
      </c>
      <c r="E193" s="49" t="b">
        <v>1</v>
      </c>
      <c r="F193" s="49" t="s">
        <v>366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410</v>
      </c>
      <c r="D194" s="49" t="s">
        <v>35</v>
      </c>
      <c r="E194" s="49" t="b">
        <v>0</v>
      </c>
      <c r="F194" s="49" t="s">
        <v>366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364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364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363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443</v>
      </c>
      <c r="D198" s="49" t="s">
        <v>35</v>
      </c>
      <c r="E198" s="49" t="b">
        <v>1</v>
      </c>
      <c r="F198" s="49" t="s">
        <v>363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364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363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363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363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363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L38" sqref="L38"/>
    </sheetView>
  </sheetViews>
  <sheetFormatPr defaultColWidth="9.06640625"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361</v>
      </c>
      <c r="G1" s="51" t="s">
        <v>362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364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363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363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363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363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365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363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364</v>
      </c>
      <c r="H9" s="52">
        <v>46102</v>
      </c>
    </row>
    <row r="10" spans="1:8" x14ac:dyDescent="0.45">
      <c r="A10" s="51">
        <v>1112</v>
      </c>
      <c r="B10" s="51" t="s">
        <v>449</v>
      </c>
      <c r="C10" s="51" t="s">
        <v>448</v>
      </c>
      <c r="D10" s="51" t="s">
        <v>35</v>
      </c>
      <c r="E10" s="51" t="b">
        <v>0</v>
      </c>
      <c r="F10" s="51" t="s">
        <v>363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363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442</v>
      </c>
      <c r="C12" s="51" t="s">
        <v>34</v>
      </c>
      <c r="D12" s="51" t="s">
        <v>35</v>
      </c>
      <c r="E12" s="51" t="b">
        <v>0</v>
      </c>
      <c r="F12" s="51" t="s">
        <v>363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363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363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363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363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363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364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365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363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363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447</v>
      </c>
      <c r="C22" s="51" t="s">
        <v>446</v>
      </c>
      <c r="D22" s="51" t="s">
        <v>35</v>
      </c>
      <c r="E22" s="51" t="b">
        <v>0</v>
      </c>
      <c r="F22" s="51" t="s">
        <v>364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364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363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363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441</v>
      </c>
      <c r="C26" s="51" t="s">
        <v>38</v>
      </c>
      <c r="D26" s="51" t="s">
        <v>35</v>
      </c>
      <c r="E26" s="51" t="b">
        <v>0</v>
      </c>
      <c r="F26" s="51" t="s">
        <v>363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363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363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363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440</v>
      </c>
      <c r="C30" s="51" t="s">
        <v>439</v>
      </c>
      <c r="D30" s="51" t="s">
        <v>35</v>
      </c>
      <c r="E30" s="51" t="b">
        <v>1</v>
      </c>
      <c r="F30" s="51" t="s">
        <v>365</v>
      </c>
      <c r="H30" s="52">
        <v>46102</v>
      </c>
    </row>
    <row r="31" spans="1:8" x14ac:dyDescent="0.45">
      <c r="A31" s="51">
        <v>1418</v>
      </c>
      <c r="B31" s="51" t="s">
        <v>455</v>
      </c>
      <c r="C31" s="51" t="s">
        <v>29</v>
      </c>
      <c r="D31" s="51" t="s">
        <v>35</v>
      </c>
      <c r="E31" s="51" t="b">
        <v>0</v>
      </c>
      <c r="F31" s="51" t="s">
        <v>364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363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363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364</v>
      </c>
      <c r="H34" s="52">
        <v>46102</v>
      </c>
    </row>
    <row r="35" spans="1:8" x14ac:dyDescent="0.45">
      <c r="A35" s="51">
        <v>940</v>
      </c>
      <c r="B35" s="51" t="s">
        <v>453</v>
      </c>
      <c r="C35" s="51" t="s">
        <v>454</v>
      </c>
      <c r="D35" s="51" t="s">
        <v>35</v>
      </c>
      <c r="E35" s="51" t="b">
        <v>1</v>
      </c>
      <c r="F35" s="51" t="s">
        <v>363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453</v>
      </c>
      <c r="C36" s="51" t="s">
        <v>64</v>
      </c>
      <c r="D36" s="51" t="s">
        <v>35</v>
      </c>
      <c r="E36" s="51" t="b">
        <v>0</v>
      </c>
      <c r="F36" s="51" t="s">
        <v>363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363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363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363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363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363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363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363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438</v>
      </c>
      <c r="C44" s="51" t="s">
        <v>437</v>
      </c>
      <c r="D44" s="51" t="s">
        <v>35</v>
      </c>
      <c r="E44" s="51" t="b">
        <v>1</v>
      </c>
      <c r="F44" s="51" t="s">
        <v>364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363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363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363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364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365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363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436</v>
      </c>
      <c r="C51" s="51" t="s">
        <v>435</v>
      </c>
      <c r="D51" s="51" t="s">
        <v>35</v>
      </c>
      <c r="E51" s="51" t="b">
        <v>0</v>
      </c>
      <c r="F51" s="51" t="s">
        <v>364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365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363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363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364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364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363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434</v>
      </c>
      <c r="C58" s="51" t="s">
        <v>185</v>
      </c>
      <c r="D58" s="51" t="s">
        <v>35</v>
      </c>
      <c r="E58" s="51" t="b">
        <v>1</v>
      </c>
      <c r="F58" s="51" t="s">
        <v>363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365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364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363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363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433</v>
      </c>
      <c r="C63" s="51" t="s">
        <v>64</v>
      </c>
      <c r="D63" s="51" t="s">
        <v>35</v>
      </c>
      <c r="E63" s="51" t="b">
        <v>0</v>
      </c>
      <c r="F63" s="51" t="s">
        <v>364</v>
      </c>
      <c r="H63" s="52">
        <v>46102</v>
      </c>
    </row>
    <row r="64" spans="1:8" x14ac:dyDescent="0.45">
      <c r="A64" s="51">
        <v>1402</v>
      </c>
      <c r="B64" s="51" t="s">
        <v>432</v>
      </c>
      <c r="C64" s="51" t="s">
        <v>168</v>
      </c>
      <c r="D64" s="51" t="s">
        <v>35</v>
      </c>
      <c r="E64" s="51" t="b">
        <v>0</v>
      </c>
      <c r="F64" s="51" t="s">
        <v>363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363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363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363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364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364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363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363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364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364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365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365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365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363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363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364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363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431</v>
      </c>
      <c r="C81" s="51" t="s">
        <v>430</v>
      </c>
      <c r="D81" s="51" t="s">
        <v>35</v>
      </c>
      <c r="E81" s="51" t="b">
        <v>0</v>
      </c>
      <c r="F81" s="51" t="s">
        <v>364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365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364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363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363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363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363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363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429</v>
      </c>
      <c r="C89" s="51" t="s">
        <v>315</v>
      </c>
      <c r="D89" s="51" t="s">
        <v>35</v>
      </c>
      <c r="E89" s="51" t="b">
        <v>0</v>
      </c>
      <c r="F89" s="51" t="s">
        <v>363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363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363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364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363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363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445</v>
      </c>
      <c r="C95" s="51" t="s">
        <v>149</v>
      </c>
      <c r="D95" s="51" t="s">
        <v>35</v>
      </c>
      <c r="E95" s="51" t="b">
        <v>1</v>
      </c>
      <c r="F95" s="51" t="s">
        <v>363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428</v>
      </c>
      <c r="C96" s="51" t="s">
        <v>427</v>
      </c>
      <c r="D96" s="51" t="s">
        <v>35</v>
      </c>
      <c r="E96" s="51" t="b">
        <v>1</v>
      </c>
      <c r="F96" s="51" t="s">
        <v>365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364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363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366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363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364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363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363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366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363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363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363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363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363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364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363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364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363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426</v>
      </c>
      <c r="C114" s="51" t="s">
        <v>410</v>
      </c>
      <c r="D114" s="51" t="s">
        <v>35</v>
      </c>
      <c r="E114" s="51" t="b">
        <v>0</v>
      </c>
      <c r="F114" s="51" t="s">
        <v>363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426</v>
      </c>
      <c r="C115" s="51" t="s">
        <v>320</v>
      </c>
      <c r="D115" s="51" t="s">
        <v>35</v>
      </c>
      <c r="E115" s="51" t="b">
        <v>1</v>
      </c>
      <c r="F115" s="51" t="s">
        <v>364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364</v>
      </c>
      <c r="H116" s="52">
        <v>46102</v>
      </c>
    </row>
    <row r="117" spans="1:8" x14ac:dyDescent="0.45">
      <c r="A117" s="51">
        <v>1408</v>
      </c>
      <c r="B117" s="51" t="s">
        <v>424</v>
      </c>
      <c r="C117" s="51" t="s">
        <v>425</v>
      </c>
      <c r="D117" s="51" t="s">
        <v>35</v>
      </c>
      <c r="E117" s="51" t="b">
        <v>0</v>
      </c>
      <c r="F117" s="51" t="s">
        <v>363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424</v>
      </c>
      <c r="C118" s="51" t="s">
        <v>423</v>
      </c>
      <c r="D118" s="51" t="s">
        <v>35</v>
      </c>
      <c r="E118" s="51" t="b">
        <v>1</v>
      </c>
      <c r="F118" s="51" t="s">
        <v>363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363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363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363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364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365</v>
      </c>
      <c r="H123" s="52">
        <v>46102</v>
      </c>
    </row>
    <row r="124" spans="1:8" x14ac:dyDescent="0.45">
      <c r="A124" s="51">
        <v>1419</v>
      </c>
      <c r="B124" s="51" t="s">
        <v>452</v>
      </c>
      <c r="C124" s="51" t="s">
        <v>451</v>
      </c>
      <c r="D124" s="51" t="s">
        <v>35</v>
      </c>
      <c r="E124" s="51" t="b">
        <v>0</v>
      </c>
      <c r="F124" s="51" t="s">
        <v>364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363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363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363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421</v>
      </c>
      <c r="C128" s="51" t="s">
        <v>57</v>
      </c>
      <c r="D128" s="51" t="s">
        <v>35</v>
      </c>
      <c r="E128" s="51" t="b">
        <v>0</v>
      </c>
      <c r="F128" s="51" t="s">
        <v>364</v>
      </c>
      <c r="H128" s="52">
        <v>46102</v>
      </c>
    </row>
    <row r="129" spans="1:8" x14ac:dyDescent="0.45">
      <c r="A129" s="51">
        <v>1397</v>
      </c>
      <c r="B129" s="51" t="s">
        <v>421</v>
      </c>
      <c r="C129" s="51" t="s">
        <v>422</v>
      </c>
      <c r="D129" s="51" t="s">
        <v>35</v>
      </c>
      <c r="E129" s="51" t="b">
        <v>1</v>
      </c>
      <c r="F129" s="51" t="s">
        <v>364</v>
      </c>
      <c r="H129" s="52">
        <v>46102</v>
      </c>
    </row>
    <row r="130" spans="1:8" x14ac:dyDescent="0.45">
      <c r="A130" s="51">
        <v>1398</v>
      </c>
      <c r="B130" s="51" t="s">
        <v>421</v>
      </c>
      <c r="C130" s="51" t="s">
        <v>49</v>
      </c>
      <c r="D130" s="51" t="s">
        <v>35</v>
      </c>
      <c r="E130" s="51" t="b">
        <v>0</v>
      </c>
      <c r="F130" s="51" t="s">
        <v>365</v>
      </c>
      <c r="H130" s="52">
        <v>46102</v>
      </c>
    </row>
    <row r="131" spans="1:8" x14ac:dyDescent="0.45">
      <c r="A131" s="51">
        <v>1399</v>
      </c>
      <c r="B131" s="51" t="s">
        <v>421</v>
      </c>
      <c r="C131" s="51" t="s">
        <v>182</v>
      </c>
      <c r="D131" s="51" t="s">
        <v>35</v>
      </c>
      <c r="E131" s="51" t="b">
        <v>1</v>
      </c>
      <c r="F131" s="51" t="s">
        <v>365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363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363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363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363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363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363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363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365</v>
      </c>
      <c r="H139" s="52">
        <v>46102</v>
      </c>
    </row>
    <row r="140" spans="1:8" x14ac:dyDescent="0.45">
      <c r="A140" s="51">
        <v>564</v>
      </c>
      <c r="B140" s="51" t="s">
        <v>420</v>
      </c>
      <c r="C140" s="51" t="s">
        <v>37</v>
      </c>
      <c r="D140" s="51" t="s">
        <v>35</v>
      </c>
      <c r="E140" s="51" t="b">
        <v>0</v>
      </c>
      <c r="F140" s="51" t="s">
        <v>363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363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363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363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363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364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366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365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363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363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419</v>
      </c>
      <c r="C150" s="51" t="s">
        <v>418</v>
      </c>
      <c r="D150" s="51" t="s">
        <v>35</v>
      </c>
      <c r="E150" s="51" t="b">
        <v>0</v>
      </c>
      <c r="F150" s="51" t="s">
        <v>364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364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363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363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363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363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417</v>
      </c>
      <c r="C156" s="51" t="s">
        <v>416</v>
      </c>
      <c r="D156" s="51" t="s">
        <v>35</v>
      </c>
      <c r="E156" s="51" t="b">
        <v>1</v>
      </c>
      <c r="F156" s="51" t="s">
        <v>364</v>
      </c>
      <c r="H156" s="52">
        <v>46102</v>
      </c>
    </row>
    <row r="157" spans="1:8" x14ac:dyDescent="0.45">
      <c r="A157" s="51">
        <v>1285</v>
      </c>
      <c r="B157" s="51" t="s">
        <v>415</v>
      </c>
      <c r="C157" s="51" t="s">
        <v>40</v>
      </c>
      <c r="D157" s="51" t="s">
        <v>35</v>
      </c>
      <c r="E157" s="51" t="b">
        <v>0</v>
      </c>
      <c r="F157" s="51" t="s">
        <v>364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363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363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363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363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414</v>
      </c>
      <c r="C162" s="51" t="s">
        <v>413</v>
      </c>
      <c r="D162" s="51" t="s">
        <v>35</v>
      </c>
      <c r="E162" s="51" t="b">
        <v>1</v>
      </c>
      <c r="F162" s="51" t="s">
        <v>364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363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364</v>
      </c>
      <c r="H164" s="52">
        <v>46102</v>
      </c>
    </row>
    <row r="165" spans="1:8" x14ac:dyDescent="0.45">
      <c r="A165" s="51">
        <v>1352</v>
      </c>
      <c r="B165" s="51" t="s">
        <v>450</v>
      </c>
      <c r="C165" s="51" t="s">
        <v>37</v>
      </c>
      <c r="D165" s="51" t="s">
        <v>35</v>
      </c>
      <c r="E165" s="51" t="b">
        <v>0</v>
      </c>
      <c r="F165" s="51" t="s">
        <v>363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364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363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363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363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363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363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363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363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363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412</v>
      </c>
      <c r="D175" s="51" t="s">
        <v>35</v>
      </c>
      <c r="E175" s="51" t="b">
        <v>0</v>
      </c>
      <c r="F175" s="51" t="s">
        <v>364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364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363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363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364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364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363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363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363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364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364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363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363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364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364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363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363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363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444</v>
      </c>
      <c r="C193" s="51" t="s">
        <v>226</v>
      </c>
      <c r="D193" s="51" t="s">
        <v>35</v>
      </c>
      <c r="E193" s="51" t="b">
        <v>1</v>
      </c>
      <c r="F193" s="51" t="s">
        <v>365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363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364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363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363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411</v>
      </c>
      <c r="D198" s="51" t="s">
        <v>35</v>
      </c>
      <c r="E198" s="51" t="b">
        <v>1</v>
      </c>
      <c r="F198" s="51" t="s">
        <v>366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410</v>
      </c>
      <c r="D199" s="51" t="s">
        <v>35</v>
      </c>
      <c r="E199" s="51" t="b">
        <v>0</v>
      </c>
      <c r="F199" s="51" t="s">
        <v>366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364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364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363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443</v>
      </c>
      <c r="D203" s="51" t="s">
        <v>35</v>
      </c>
      <c r="E203" s="51" t="b">
        <v>1</v>
      </c>
      <c r="F203" s="51" t="s">
        <v>363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364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363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363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363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363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D2121-D649-4953-B09D-423340A2AE4B}">
  <dimension ref="A1:H213"/>
  <sheetViews>
    <sheetView topLeftCell="A171" workbookViewId="0">
      <selection activeCell="A213" sqref="A213"/>
    </sheetView>
  </sheetViews>
  <sheetFormatPr defaultRowHeight="14.25" x14ac:dyDescent="0.45"/>
  <cols>
    <col min="1" max="7" width="9.06640625" style="53"/>
    <col min="8" max="8" width="10.19921875" style="53" bestFit="1" customWidth="1"/>
    <col min="9" max="16384" width="9.06640625" style="53"/>
  </cols>
  <sheetData>
    <row r="1" spans="1:8" x14ac:dyDescent="0.45">
      <c r="A1" s="53" t="s">
        <v>143</v>
      </c>
      <c r="B1" s="53" t="s">
        <v>26</v>
      </c>
      <c r="C1" s="53" t="s">
        <v>144</v>
      </c>
      <c r="D1" s="53" t="s">
        <v>142</v>
      </c>
      <c r="E1" s="53" t="s">
        <v>141</v>
      </c>
      <c r="F1" s="53" t="s">
        <v>361</v>
      </c>
      <c r="G1" s="53" t="s">
        <v>362</v>
      </c>
      <c r="H1" s="53" t="s">
        <v>318</v>
      </c>
    </row>
    <row r="2" spans="1:8" x14ac:dyDescent="0.45">
      <c r="A2" s="53">
        <v>1327</v>
      </c>
      <c r="B2" s="53" t="s">
        <v>27</v>
      </c>
      <c r="C2" s="53" t="s">
        <v>29</v>
      </c>
      <c r="D2" s="53" t="s">
        <v>35</v>
      </c>
      <c r="E2" s="53" t="b">
        <v>0</v>
      </c>
      <c r="F2" s="53" t="s">
        <v>364</v>
      </c>
      <c r="H2" s="54">
        <v>46119</v>
      </c>
    </row>
    <row r="3" spans="1:8" x14ac:dyDescent="0.45">
      <c r="A3" s="53">
        <v>1237</v>
      </c>
      <c r="B3" s="53" t="s">
        <v>27</v>
      </c>
      <c r="C3" s="53" t="s">
        <v>28</v>
      </c>
      <c r="D3" s="53" t="s">
        <v>35</v>
      </c>
      <c r="E3" s="53" t="b">
        <v>0</v>
      </c>
      <c r="F3" s="53" t="s">
        <v>363</v>
      </c>
      <c r="G3" s="53">
        <v>1</v>
      </c>
      <c r="H3" s="54">
        <v>46119</v>
      </c>
    </row>
    <row r="4" spans="1:8" x14ac:dyDescent="0.45">
      <c r="A4" s="53">
        <v>819</v>
      </c>
      <c r="B4" s="53" t="s">
        <v>31</v>
      </c>
      <c r="C4" s="53" t="s">
        <v>32</v>
      </c>
      <c r="D4" s="53" t="s">
        <v>35</v>
      </c>
      <c r="E4" s="53" t="b">
        <v>1</v>
      </c>
      <c r="F4" s="53" t="s">
        <v>363</v>
      </c>
      <c r="G4" s="53">
        <v>23</v>
      </c>
      <c r="H4" s="54">
        <v>46119</v>
      </c>
    </row>
    <row r="5" spans="1:8" x14ac:dyDescent="0.45">
      <c r="A5" s="53">
        <v>2</v>
      </c>
      <c r="B5" s="53" t="s">
        <v>33</v>
      </c>
      <c r="C5" s="53" t="s">
        <v>34</v>
      </c>
      <c r="D5" s="53" t="s">
        <v>35</v>
      </c>
      <c r="E5" s="53" t="b">
        <v>0</v>
      </c>
      <c r="F5" s="53" t="s">
        <v>363</v>
      </c>
      <c r="G5" s="53">
        <v>21</v>
      </c>
      <c r="H5" s="54">
        <v>46119</v>
      </c>
    </row>
    <row r="6" spans="1:8" x14ac:dyDescent="0.45">
      <c r="A6" s="53">
        <v>1370</v>
      </c>
      <c r="B6" s="53" t="s">
        <v>36</v>
      </c>
      <c r="C6" s="53" t="s">
        <v>37</v>
      </c>
      <c r="D6" s="53" t="s">
        <v>35</v>
      </c>
      <c r="E6" s="53" t="b">
        <v>0</v>
      </c>
      <c r="F6" s="53" t="s">
        <v>363</v>
      </c>
      <c r="G6" s="53">
        <v>4</v>
      </c>
      <c r="H6" s="54">
        <v>46119</v>
      </c>
    </row>
    <row r="7" spans="1:8" x14ac:dyDescent="0.45">
      <c r="A7" s="53">
        <v>1415</v>
      </c>
      <c r="B7" s="53" t="s">
        <v>36</v>
      </c>
      <c r="C7" s="53" t="s">
        <v>29</v>
      </c>
      <c r="D7" s="53" t="s">
        <v>35</v>
      </c>
      <c r="E7" s="53" t="b">
        <v>0</v>
      </c>
      <c r="F7" s="53" t="s">
        <v>365</v>
      </c>
      <c r="H7" s="54">
        <v>46119</v>
      </c>
    </row>
    <row r="8" spans="1:8" x14ac:dyDescent="0.45">
      <c r="A8" s="53">
        <v>1286</v>
      </c>
      <c r="B8" s="53" t="s">
        <v>38</v>
      </c>
      <c r="C8" s="53" t="s">
        <v>37</v>
      </c>
      <c r="D8" s="53" t="s">
        <v>35</v>
      </c>
      <c r="E8" s="53" t="b">
        <v>0</v>
      </c>
      <c r="F8" s="53" t="s">
        <v>363</v>
      </c>
      <c r="G8" s="53">
        <v>13</v>
      </c>
      <c r="H8" s="54">
        <v>46119</v>
      </c>
    </row>
    <row r="9" spans="1:8" x14ac:dyDescent="0.45">
      <c r="A9" s="53">
        <v>1381</v>
      </c>
      <c r="B9" s="53" t="s">
        <v>38</v>
      </c>
      <c r="C9" s="53" t="s">
        <v>39</v>
      </c>
      <c r="D9" s="53" t="s">
        <v>35</v>
      </c>
      <c r="E9" s="53" t="b">
        <v>0</v>
      </c>
      <c r="F9" s="53" t="s">
        <v>364</v>
      </c>
      <c r="H9" s="54">
        <v>46119</v>
      </c>
    </row>
    <row r="10" spans="1:8" x14ac:dyDescent="0.45">
      <c r="A10" s="53">
        <v>1112</v>
      </c>
      <c r="B10" s="53" t="s">
        <v>449</v>
      </c>
      <c r="C10" s="53" t="s">
        <v>448</v>
      </c>
      <c r="D10" s="53" t="s">
        <v>35</v>
      </c>
      <c r="E10" s="53" t="b">
        <v>0</v>
      </c>
      <c r="F10" s="53" t="s">
        <v>363</v>
      </c>
      <c r="G10" s="53">
        <v>16</v>
      </c>
      <c r="H10" s="54">
        <v>46119</v>
      </c>
    </row>
    <row r="11" spans="1:8" x14ac:dyDescent="0.45">
      <c r="A11" s="53">
        <v>1135</v>
      </c>
      <c r="B11" s="53" t="s">
        <v>42</v>
      </c>
      <c r="C11" s="53" t="s">
        <v>43</v>
      </c>
      <c r="D11" s="53" t="s">
        <v>35</v>
      </c>
      <c r="E11" s="53" t="b">
        <v>0</v>
      </c>
      <c r="F11" s="53" t="s">
        <v>363</v>
      </c>
      <c r="G11" s="53">
        <v>1</v>
      </c>
      <c r="H11" s="54">
        <v>46119</v>
      </c>
    </row>
    <row r="12" spans="1:8" x14ac:dyDescent="0.45">
      <c r="A12" s="53">
        <v>982</v>
      </c>
      <c r="B12" s="53" t="s">
        <v>442</v>
      </c>
      <c r="C12" s="53" t="s">
        <v>34</v>
      </c>
      <c r="D12" s="53" t="s">
        <v>35</v>
      </c>
      <c r="E12" s="53" t="b">
        <v>0</v>
      </c>
      <c r="F12" s="53" t="s">
        <v>363</v>
      </c>
      <c r="G12" s="53">
        <v>22</v>
      </c>
      <c r="H12" s="54">
        <v>46119</v>
      </c>
    </row>
    <row r="13" spans="1:8" x14ac:dyDescent="0.45">
      <c r="A13" s="53">
        <v>1328</v>
      </c>
      <c r="B13" s="53" t="s">
        <v>140</v>
      </c>
      <c r="C13" s="53" t="s">
        <v>44</v>
      </c>
      <c r="D13" s="53" t="s">
        <v>35</v>
      </c>
      <c r="E13" s="53" t="b">
        <v>0</v>
      </c>
      <c r="F13" s="53" t="s">
        <v>363</v>
      </c>
      <c r="G13" s="53">
        <v>4</v>
      </c>
      <c r="H13" s="54">
        <v>46119</v>
      </c>
    </row>
    <row r="14" spans="1:8" x14ac:dyDescent="0.45">
      <c r="A14" s="53">
        <v>369</v>
      </c>
      <c r="B14" s="53" t="s">
        <v>45</v>
      </c>
      <c r="C14" s="53" t="s">
        <v>46</v>
      </c>
      <c r="D14" s="53" t="s">
        <v>35</v>
      </c>
      <c r="E14" s="53" t="b">
        <v>0</v>
      </c>
      <c r="F14" s="53" t="s">
        <v>363</v>
      </c>
      <c r="G14" s="53">
        <v>8</v>
      </c>
      <c r="H14" s="54">
        <v>46119</v>
      </c>
    </row>
    <row r="15" spans="1:8" x14ac:dyDescent="0.45">
      <c r="A15" s="53">
        <v>7</v>
      </c>
      <c r="B15" s="53" t="s">
        <v>45</v>
      </c>
      <c r="C15" s="53" t="s">
        <v>47</v>
      </c>
      <c r="D15" s="53" t="s">
        <v>48</v>
      </c>
      <c r="E15" s="53" t="b">
        <v>0</v>
      </c>
      <c r="F15" s="53" t="s">
        <v>363</v>
      </c>
      <c r="G15" s="53">
        <v>32</v>
      </c>
      <c r="H15" s="54">
        <v>46119</v>
      </c>
    </row>
    <row r="16" spans="1:8" x14ac:dyDescent="0.45">
      <c r="A16" s="53">
        <v>473</v>
      </c>
      <c r="B16" s="53" t="s">
        <v>45</v>
      </c>
      <c r="C16" s="53" t="s">
        <v>49</v>
      </c>
      <c r="D16" s="53" t="s">
        <v>48</v>
      </c>
      <c r="E16" s="53" t="b">
        <v>0</v>
      </c>
      <c r="F16" s="53" t="s">
        <v>363</v>
      </c>
      <c r="G16" s="53">
        <v>33</v>
      </c>
      <c r="H16" s="54">
        <v>46119</v>
      </c>
    </row>
    <row r="17" spans="1:8" x14ac:dyDescent="0.45">
      <c r="A17" s="53">
        <v>1384</v>
      </c>
      <c r="B17" s="53" t="s">
        <v>50</v>
      </c>
      <c r="C17" s="53" t="s">
        <v>51</v>
      </c>
      <c r="D17" s="53" t="s">
        <v>35</v>
      </c>
      <c r="E17" s="53" t="b">
        <v>0</v>
      </c>
      <c r="F17" s="53" t="s">
        <v>363</v>
      </c>
      <c r="G17" s="53">
        <v>30</v>
      </c>
      <c r="H17" s="54">
        <v>46119</v>
      </c>
    </row>
    <row r="18" spans="1:8" x14ac:dyDescent="0.45">
      <c r="A18" s="53">
        <v>1348</v>
      </c>
      <c r="B18" s="53" t="s">
        <v>52</v>
      </c>
      <c r="C18" s="53" t="s">
        <v>53</v>
      </c>
      <c r="D18" s="53" t="s">
        <v>138</v>
      </c>
      <c r="E18" s="53" t="b">
        <v>1</v>
      </c>
      <c r="F18" s="53" t="s">
        <v>364</v>
      </c>
      <c r="H18" s="54">
        <v>46119</v>
      </c>
    </row>
    <row r="19" spans="1:8" x14ac:dyDescent="0.45">
      <c r="A19" s="53">
        <v>1275</v>
      </c>
      <c r="B19" s="53" t="s">
        <v>52</v>
      </c>
      <c r="C19" s="53" t="s">
        <v>54</v>
      </c>
      <c r="D19" s="53" t="s">
        <v>35</v>
      </c>
      <c r="E19" s="53" t="b">
        <v>1</v>
      </c>
      <c r="F19" s="53" t="s">
        <v>365</v>
      </c>
      <c r="H19" s="54">
        <v>46119</v>
      </c>
    </row>
    <row r="20" spans="1:8" x14ac:dyDescent="0.45">
      <c r="A20" s="53">
        <v>68</v>
      </c>
      <c r="B20" s="53" t="s">
        <v>55</v>
      </c>
      <c r="C20" s="53" t="s">
        <v>56</v>
      </c>
      <c r="D20" s="53" t="s">
        <v>48</v>
      </c>
      <c r="E20" s="53" t="b">
        <v>0</v>
      </c>
      <c r="F20" s="53" t="s">
        <v>363</v>
      </c>
      <c r="G20" s="53">
        <v>35</v>
      </c>
      <c r="H20" s="54">
        <v>46119</v>
      </c>
    </row>
    <row r="21" spans="1:8" x14ac:dyDescent="0.45">
      <c r="A21" s="53">
        <v>1035</v>
      </c>
      <c r="B21" s="53" t="s">
        <v>139</v>
      </c>
      <c r="C21" s="53" t="s">
        <v>57</v>
      </c>
      <c r="D21" s="53" t="s">
        <v>35</v>
      </c>
      <c r="E21" s="53" t="b">
        <v>0</v>
      </c>
      <c r="F21" s="53" t="s">
        <v>363</v>
      </c>
      <c r="G21" s="53">
        <v>6</v>
      </c>
      <c r="H21" s="54">
        <v>46119</v>
      </c>
    </row>
    <row r="22" spans="1:8" x14ac:dyDescent="0.45">
      <c r="A22" s="53">
        <v>1416</v>
      </c>
      <c r="B22" s="53" t="s">
        <v>447</v>
      </c>
      <c r="C22" s="53" t="s">
        <v>446</v>
      </c>
      <c r="D22" s="53" t="s">
        <v>35</v>
      </c>
      <c r="E22" s="53" t="b">
        <v>0</v>
      </c>
      <c r="F22" s="53" t="s">
        <v>364</v>
      </c>
      <c r="H22" s="54">
        <v>46119</v>
      </c>
    </row>
    <row r="23" spans="1:8" x14ac:dyDescent="0.45">
      <c r="A23" s="53">
        <v>1326</v>
      </c>
      <c r="B23" s="53" t="s">
        <v>58</v>
      </c>
      <c r="C23" s="53" t="s">
        <v>59</v>
      </c>
      <c r="D23" s="53" t="s">
        <v>35</v>
      </c>
      <c r="E23" s="53" t="b">
        <v>1</v>
      </c>
      <c r="F23" s="53" t="s">
        <v>364</v>
      </c>
      <c r="H23" s="54">
        <v>46119</v>
      </c>
    </row>
    <row r="24" spans="1:8" x14ac:dyDescent="0.45">
      <c r="A24" s="53">
        <v>477</v>
      </c>
      <c r="B24" s="53" t="s">
        <v>60</v>
      </c>
      <c r="C24" s="53" t="s">
        <v>62</v>
      </c>
      <c r="D24" s="53" t="s">
        <v>35</v>
      </c>
      <c r="E24" s="53" t="b">
        <v>1</v>
      </c>
      <c r="F24" s="53" t="s">
        <v>363</v>
      </c>
      <c r="G24" s="53">
        <v>34</v>
      </c>
      <c r="H24" s="54">
        <v>46119</v>
      </c>
    </row>
    <row r="25" spans="1:8" x14ac:dyDescent="0.45">
      <c r="A25" s="53">
        <v>10</v>
      </c>
      <c r="B25" s="53" t="s">
        <v>60</v>
      </c>
      <c r="C25" s="53" t="s">
        <v>61</v>
      </c>
      <c r="D25" s="53" t="s">
        <v>48</v>
      </c>
      <c r="E25" s="53" t="b">
        <v>0</v>
      </c>
      <c r="F25" s="53" t="s">
        <v>363</v>
      </c>
      <c r="G25" s="53">
        <v>35</v>
      </c>
      <c r="H25" s="54">
        <v>46119</v>
      </c>
    </row>
    <row r="26" spans="1:8" x14ac:dyDescent="0.45">
      <c r="A26" s="53">
        <v>1414</v>
      </c>
      <c r="B26" s="53" t="s">
        <v>441</v>
      </c>
      <c r="C26" s="53" t="s">
        <v>38</v>
      </c>
      <c r="D26" s="53" t="s">
        <v>35</v>
      </c>
      <c r="E26" s="53" t="b">
        <v>0</v>
      </c>
      <c r="F26" s="53" t="s">
        <v>363</v>
      </c>
      <c r="G26" s="53">
        <v>13</v>
      </c>
      <c r="H26" s="54">
        <v>46119</v>
      </c>
    </row>
    <row r="27" spans="1:8" x14ac:dyDescent="0.45">
      <c r="A27" s="53">
        <v>1029</v>
      </c>
      <c r="B27" s="53" t="s">
        <v>65</v>
      </c>
      <c r="C27" s="53" t="s">
        <v>66</v>
      </c>
      <c r="D27" s="53" t="s">
        <v>35</v>
      </c>
      <c r="E27" s="53" t="b">
        <v>0</v>
      </c>
      <c r="F27" s="53" t="s">
        <v>363</v>
      </c>
      <c r="G27" s="53">
        <v>28</v>
      </c>
      <c r="H27" s="54">
        <v>46119</v>
      </c>
    </row>
    <row r="28" spans="1:8" x14ac:dyDescent="0.45">
      <c r="A28" s="53">
        <v>13</v>
      </c>
      <c r="B28" s="53" t="s">
        <v>67</v>
      </c>
      <c r="C28" s="53" t="s">
        <v>51</v>
      </c>
      <c r="D28" s="53" t="s">
        <v>35</v>
      </c>
      <c r="E28" s="53" t="b">
        <v>0</v>
      </c>
      <c r="F28" s="53" t="s">
        <v>363</v>
      </c>
      <c r="G28" s="53">
        <v>28</v>
      </c>
      <c r="H28" s="54">
        <v>46119</v>
      </c>
    </row>
    <row r="29" spans="1:8" x14ac:dyDescent="0.45">
      <c r="A29" s="53">
        <v>1255</v>
      </c>
      <c r="B29" s="53" t="s">
        <v>68</v>
      </c>
      <c r="C29" s="53" t="s">
        <v>69</v>
      </c>
      <c r="D29" s="53" t="s">
        <v>35</v>
      </c>
      <c r="E29" s="53" t="b">
        <v>1</v>
      </c>
      <c r="F29" s="53" t="s">
        <v>363</v>
      </c>
      <c r="G29" s="53">
        <v>13</v>
      </c>
      <c r="H29" s="54">
        <v>46119</v>
      </c>
    </row>
    <row r="30" spans="1:8" x14ac:dyDescent="0.45">
      <c r="A30" s="53">
        <v>1405</v>
      </c>
      <c r="B30" s="53" t="s">
        <v>440</v>
      </c>
      <c r="C30" s="53" t="s">
        <v>439</v>
      </c>
      <c r="D30" s="53" t="s">
        <v>35</v>
      </c>
      <c r="E30" s="53" t="b">
        <v>1</v>
      </c>
      <c r="F30" s="53" t="s">
        <v>365</v>
      </c>
      <c r="H30" s="54">
        <v>46119</v>
      </c>
    </row>
    <row r="31" spans="1:8" x14ac:dyDescent="0.45">
      <c r="A31" s="53">
        <v>1418</v>
      </c>
      <c r="B31" s="53" t="s">
        <v>455</v>
      </c>
      <c r="C31" s="53" t="s">
        <v>29</v>
      </c>
      <c r="D31" s="53" t="s">
        <v>35</v>
      </c>
      <c r="E31" s="53" t="b">
        <v>0</v>
      </c>
      <c r="F31" s="53" t="s">
        <v>364</v>
      </c>
      <c r="H31" s="54">
        <v>46119</v>
      </c>
    </row>
    <row r="32" spans="1:8" x14ac:dyDescent="0.45">
      <c r="A32" s="53">
        <v>919</v>
      </c>
      <c r="B32" s="53" t="s">
        <v>70</v>
      </c>
      <c r="C32" s="53" t="s">
        <v>51</v>
      </c>
      <c r="D32" s="53" t="s">
        <v>35</v>
      </c>
      <c r="E32" s="53" t="b">
        <v>0</v>
      </c>
      <c r="F32" s="53" t="s">
        <v>363</v>
      </c>
      <c r="G32" s="53">
        <v>16</v>
      </c>
      <c r="H32" s="54">
        <v>46119</v>
      </c>
    </row>
    <row r="33" spans="1:8" x14ac:dyDescent="0.45">
      <c r="A33" s="53">
        <v>1319</v>
      </c>
      <c r="B33" s="53" t="s">
        <v>72</v>
      </c>
      <c r="C33" s="53" t="s">
        <v>34</v>
      </c>
      <c r="D33" s="53" t="s">
        <v>35</v>
      </c>
      <c r="E33" s="53" t="b">
        <v>0</v>
      </c>
      <c r="F33" s="53" t="s">
        <v>363</v>
      </c>
      <c r="G33" s="53">
        <v>9</v>
      </c>
      <c r="H33" s="54">
        <v>46119</v>
      </c>
    </row>
    <row r="34" spans="1:8" x14ac:dyDescent="0.45">
      <c r="A34" s="53">
        <v>1389</v>
      </c>
      <c r="B34" s="53" t="s">
        <v>137</v>
      </c>
      <c r="C34" s="53" t="s">
        <v>136</v>
      </c>
      <c r="D34" s="53" t="s">
        <v>35</v>
      </c>
      <c r="E34" s="53" t="b">
        <v>0</v>
      </c>
      <c r="F34" s="53" t="s">
        <v>364</v>
      </c>
      <c r="H34" s="54">
        <v>46119</v>
      </c>
    </row>
    <row r="35" spans="1:8" x14ac:dyDescent="0.45">
      <c r="A35" s="53">
        <v>940</v>
      </c>
      <c r="B35" s="53" t="s">
        <v>453</v>
      </c>
      <c r="C35" s="53" t="s">
        <v>454</v>
      </c>
      <c r="D35" s="53" t="s">
        <v>35</v>
      </c>
      <c r="E35" s="53" t="b">
        <v>1</v>
      </c>
      <c r="F35" s="53" t="s">
        <v>363</v>
      </c>
      <c r="G35" s="53">
        <v>9</v>
      </c>
      <c r="H35" s="54">
        <v>46119</v>
      </c>
    </row>
    <row r="36" spans="1:8" x14ac:dyDescent="0.45">
      <c r="A36" s="53">
        <v>806</v>
      </c>
      <c r="B36" s="53" t="s">
        <v>453</v>
      </c>
      <c r="C36" s="53" t="s">
        <v>64</v>
      </c>
      <c r="D36" s="53" t="s">
        <v>35</v>
      </c>
      <c r="E36" s="53" t="b">
        <v>0</v>
      </c>
      <c r="F36" s="53" t="s">
        <v>363</v>
      </c>
      <c r="G36" s="53">
        <v>11</v>
      </c>
      <c r="H36" s="54">
        <v>46119</v>
      </c>
    </row>
    <row r="37" spans="1:8" x14ac:dyDescent="0.45">
      <c r="A37" s="53">
        <v>482</v>
      </c>
      <c r="B37" s="53" t="s">
        <v>74</v>
      </c>
      <c r="C37" s="53" t="s">
        <v>147</v>
      </c>
      <c r="D37" s="53" t="s">
        <v>35</v>
      </c>
      <c r="E37" s="53" t="b">
        <v>0</v>
      </c>
      <c r="F37" s="53" t="s">
        <v>363</v>
      </c>
      <c r="G37" s="53">
        <v>13</v>
      </c>
      <c r="H37" s="54">
        <v>46119</v>
      </c>
    </row>
    <row r="38" spans="1:8" x14ac:dyDescent="0.45">
      <c r="A38" s="53">
        <v>674</v>
      </c>
      <c r="B38" s="53" t="s">
        <v>148</v>
      </c>
      <c r="C38" s="53" t="s">
        <v>149</v>
      </c>
      <c r="D38" s="53" t="s">
        <v>138</v>
      </c>
      <c r="E38" s="53" t="b">
        <v>1</v>
      </c>
      <c r="F38" s="53" t="s">
        <v>363</v>
      </c>
      <c r="G38" s="53">
        <v>23</v>
      </c>
      <c r="H38" s="54">
        <v>46119</v>
      </c>
    </row>
    <row r="39" spans="1:8" x14ac:dyDescent="0.45">
      <c r="A39" s="53">
        <v>1061</v>
      </c>
      <c r="B39" s="53" t="s">
        <v>150</v>
      </c>
      <c r="C39" s="53" t="s">
        <v>151</v>
      </c>
      <c r="D39" s="53" t="s">
        <v>35</v>
      </c>
      <c r="E39" s="53" t="b">
        <v>0</v>
      </c>
      <c r="F39" s="53" t="s">
        <v>363</v>
      </c>
      <c r="G39" s="53">
        <v>19</v>
      </c>
      <c r="H39" s="54">
        <v>46119</v>
      </c>
    </row>
    <row r="40" spans="1:8" x14ac:dyDescent="0.45">
      <c r="A40" s="53">
        <v>763</v>
      </c>
      <c r="B40" s="53" t="s">
        <v>152</v>
      </c>
      <c r="C40" s="53" t="s">
        <v>57</v>
      </c>
      <c r="D40" s="53" t="s">
        <v>35</v>
      </c>
      <c r="E40" s="53" t="b">
        <v>0</v>
      </c>
      <c r="F40" s="53" t="s">
        <v>363</v>
      </c>
      <c r="G40" s="53">
        <v>17</v>
      </c>
      <c r="H40" s="54">
        <v>46119</v>
      </c>
    </row>
    <row r="41" spans="1:8" x14ac:dyDescent="0.45">
      <c r="A41" s="53">
        <v>1227</v>
      </c>
      <c r="B41" s="53" t="s">
        <v>153</v>
      </c>
      <c r="C41" s="53" t="s">
        <v>154</v>
      </c>
      <c r="D41" s="53" t="s">
        <v>35</v>
      </c>
      <c r="E41" s="53" t="b">
        <v>1</v>
      </c>
      <c r="F41" s="53" t="s">
        <v>363</v>
      </c>
      <c r="G41" s="53">
        <v>8</v>
      </c>
      <c r="H41" s="54">
        <v>46119</v>
      </c>
    </row>
    <row r="42" spans="1:8" x14ac:dyDescent="0.45">
      <c r="A42" s="53">
        <v>715</v>
      </c>
      <c r="B42" s="53" t="s">
        <v>155</v>
      </c>
      <c r="C42" s="53" t="s">
        <v>156</v>
      </c>
      <c r="D42" s="53" t="s">
        <v>35</v>
      </c>
      <c r="E42" s="53" t="b">
        <v>0</v>
      </c>
      <c r="F42" s="53" t="s">
        <v>363</v>
      </c>
      <c r="G42" s="53">
        <v>5</v>
      </c>
      <c r="H42" s="54">
        <v>46119</v>
      </c>
    </row>
    <row r="43" spans="1:8" x14ac:dyDescent="0.45">
      <c r="A43" s="53">
        <v>567</v>
      </c>
      <c r="B43" s="53" t="s">
        <v>157</v>
      </c>
      <c r="C43" s="53" t="s">
        <v>158</v>
      </c>
      <c r="D43" s="53" t="s">
        <v>35</v>
      </c>
      <c r="E43" s="53" t="b">
        <v>0</v>
      </c>
      <c r="F43" s="53" t="s">
        <v>363</v>
      </c>
      <c r="G43" s="53">
        <v>7</v>
      </c>
      <c r="H43" s="54">
        <v>46119</v>
      </c>
    </row>
    <row r="44" spans="1:8" x14ac:dyDescent="0.45">
      <c r="A44" s="53">
        <v>1391</v>
      </c>
      <c r="B44" s="53" t="s">
        <v>438</v>
      </c>
      <c r="C44" s="53" t="s">
        <v>437</v>
      </c>
      <c r="D44" s="53" t="s">
        <v>35</v>
      </c>
      <c r="E44" s="53" t="b">
        <v>1</v>
      </c>
      <c r="F44" s="53" t="s">
        <v>364</v>
      </c>
      <c r="H44" s="54">
        <v>46119</v>
      </c>
    </row>
    <row r="45" spans="1:8" x14ac:dyDescent="0.45">
      <c r="A45" s="53">
        <v>704</v>
      </c>
      <c r="B45" s="53" t="s">
        <v>159</v>
      </c>
      <c r="C45" s="53" t="s">
        <v>40</v>
      </c>
      <c r="D45" s="53" t="s">
        <v>35</v>
      </c>
      <c r="E45" s="53" t="b">
        <v>0</v>
      </c>
      <c r="F45" s="53" t="s">
        <v>363</v>
      </c>
      <c r="G45" s="53">
        <v>21</v>
      </c>
      <c r="H45" s="54">
        <v>46119</v>
      </c>
    </row>
    <row r="46" spans="1:8" x14ac:dyDescent="0.45">
      <c r="A46" s="53">
        <v>1283</v>
      </c>
      <c r="B46" s="53" t="s">
        <v>160</v>
      </c>
      <c r="C46" s="53" t="s">
        <v>161</v>
      </c>
      <c r="D46" s="53" t="s">
        <v>35</v>
      </c>
      <c r="E46" s="53" t="b">
        <v>0</v>
      </c>
      <c r="F46" s="53" t="s">
        <v>363</v>
      </c>
      <c r="G46" s="53">
        <v>18</v>
      </c>
      <c r="H46" s="54">
        <v>46119</v>
      </c>
    </row>
    <row r="47" spans="1:8" x14ac:dyDescent="0.45">
      <c r="A47" s="53">
        <v>295</v>
      </c>
      <c r="B47" s="53" t="s">
        <v>162</v>
      </c>
      <c r="C47" s="53" t="s">
        <v>163</v>
      </c>
      <c r="D47" s="53" t="s">
        <v>35</v>
      </c>
      <c r="E47" s="53" t="b">
        <v>0</v>
      </c>
      <c r="F47" s="53" t="s">
        <v>363</v>
      </c>
      <c r="G47" s="53">
        <v>15</v>
      </c>
      <c r="H47" s="54">
        <v>46119</v>
      </c>
    </row>
    <row r="48" spans="1:8" x14ac:dyDescent="0.45">
      <c r="A48" s="53">
        <v>1226</v>
      </c>
      <c r="B48" s="53" t="s">
        <v>164</v>
      </c>
      <c r="C48" s="53" t="s">
        <v>165</v>
      </c>
      <c r="D48" s="53" t="s">
        <v>35</v>
      </c>
      <c r="E48" s="53" t="b">
        <v>1</v>
      </c>
      <c r="F48" s="53" t="s">
        <v>364</v>
      </c>
      <c r="H48" s="54">
        <v>46119</v>
      </c>
    </row>
    <row r="49" spans="1:8" x14ac:dyDescent="0.45">
      <c r="A49" s="53">
        <v>1185</v>
      </c>
      <c r="B49" s="53" t="s">
        <v>166</v>
      </c>
      <c r="C49" s="53" t="s">
        <v>167</v>
      </c>
      <c r="D49" s="53" t="s">
        <v>35</v>
      </c>
      <c r="E49" s="53" t="b">
        <v>1</v>
      </c>
      <c r="F49" s="53" t="s">
        <v>365</v>
      </c>
      <c r="H49" s="54">
        <v>46119</v>
      </c>
    </row>
    <row r="50" spans="1:8" x14ac:dyDescent="0.45">
      <c r="A50" s="53">
        <v>1065</v>
      </c>
      <c r="B50" s="53" t="s">
        <v>166</v>
      </c>
      <c r="C50" s="53" t="s">
        <v>43</v>
      </c>
      <c r="D50" s="53" t="s">
        <v>35</v>
      </c>
      <c r="E50" s="53" t="b">
        <v>0</v>
      </c>
      <c r="F50" s="53" t="s">
        <v>363</v>
      </c>
      <c r="G50" s="53">
        <v>1</v>
      </c>
      <c r="H50" s="54">
        <v>46119</v>
      </c>
    </row>
    <row r="51" spans="1:8" x14ac:dyDescent="0.45">
      <c r="A51" s="53">
        <v>1407</v>
      </c>
      <c r="B51" s="53" t="s">
        <v>436</v>
      </c>
      <c r="C51" s="53" t="s">
        <v>435</v>
      </c>
      <c r="D51" s="53" t="s">
        <v>35</v>
      </c>
      <c r="E51" s="53" t="b">
        <v>0</v>
      </c>
      <c r="F51" s="53" t="s">
        <v>364</v>
      </c>
      <c r="H51" s="54">
        <v>46119</v>
      </c>
    </row>
    <row r="52" spans="1:8" x14ac:dyDescent="0.45">
      <c r="A52" s="53">
        <v>1096</v>
      </c>
      <c r="B52" s="53" t="s">
        <v>169</v>
      </c>
      <c r="C52" s="53" t="s">
        <v>170</v>
      </c>
      <c r="D52" s="53" t="s">
        <v>35</v>
      </c>
      <c r="E52" s="53" t="b">
        <v>0</v>
      </c>
      <c r="F52" s="53" t="s">
        <v>365</v>
      </c>
      <c r="H52" s="54">
        <v>46119</v>
      </c>
    </row>
    <row r="53" spans="1:8" x14ac:dyDescent="0.45">
      <c r="A53" s="53">
        <v>1236</v>
      </c>
      <c r="B53" s="53" t="s">
        <v>169</v>
      </c>
      <c r="C53" s="53" t="s">
        <v>171</v>
      </c>
      <c r="D53" s="53" t="s">
        <v>35</v>
      </c>
      <c r="E53" s="53" t="b">
        <v>1</v>
      </c>
      <c r="F53" s="53" t="s">
        <v>363</v>
      </c>
      <c r="G53" s="53">
        <v>5</v>
      </c>
      <c r="H53" s="54">
        <v>46119</v>
      </c>
    </row>
    <row r="54" spans="1:8" x14ac:dyDescent="0.45">
      <c r="A54" s="53">
        <v>699</v>
      </c>
      <c r="B54" s="53" t="s">
        <v>169</v>
      </c>
      <c r="C54" s="53" t="s">
        <v>172</v>
      </c>
      <c r="D54" s="53" t="s">
        <v>35</v>
      </c>
      <c r="E54" s="53" t="b">
        <v>0</v>
      </c>
      <c r="F54" s="53" t="s">
        <v>363</v>
      </c>
      <c r="G54" s="53">
        <v>5</v>
      </c>
      <c r="H54" s="54">
        <v>46119</v>
      </c>
    </row>
    <row r="55" spans="1:8" x14ac:dyDescent="0.45">
      <c r="A55" s="53">
        <v>1000</v>
      </c>
      <c r="B55" s="53" t="s">
        <v>175</v>
      </c>
      <c r="C55" s="53" t="s">
        <v>176</v>
      </c>
      <c r="D55" s="53" t="s">
        <v>35</v>
      </c>
      <c r="E55" s="53" t="b">
        <v>0</v>
      </c>
      <c r="F55" s="53" t="s">
        <v>364</v>
      </c>
      <c r="H55" s="54">
        <v>46119</v>
      </c>
    </row>
    <row r="56" spans="1:8" x14ac:dyDescent="0.45">
      <c r="A56" s="53">
        <v>1332</v>
      </c>
      <c r="B56" s="53" t="s">
        <v>177</v>
      </c>
      <c r="C56" s="53" t="s">
        <v>178</v>
      </c>
      <c r="D56" s="53" t="s">
        <v>35</v>
      </c>
      <c r="E56" s="53" t="b">
        <v>1</v>
      </c>
      <c r="F56" s="53" t="s">
        <v>364</v>
      </c>
      <c r="H56" s="54">
        <v>46119</v>
      </c>
    </row>
    <row r="57" spans="1:8" x14ac:dyDescent="0.45">
      <c r="A57" s="53">
        <v>682</v>
      </c>
      <c r="B57" s="53" t="s">
        <v>173</v>
      </c>
      <c r="C57" s="53" t="s">
        <v>174</v>
      </c>
      <c r="D57" s="53" t="s">
        <v>35</v>
      </c>
      <c r="E57" s="53" t="b">
        <v>0</v>
      </c>
      <c r="F57" s="53" t="s">
        <v>363</v>
      </c>
      <c r="G57" s="53">
        <v>11</v>
      </c>
      <c r="H57" s="54">
        <v>46119</v>
      </c>
    </row>
    <row r="58" spans="1:8" x14ac:dyDescent="0.45">
      <c r="A58" s="53">
        <v>1393</v>
      </c>
      <c r="B58" s="53" t="s">
        <v>434</v>
      </c>
      <c r="C58" s="53" t="s">
        <v>185</v>
      </c>
      <c r="D58" s="53" t="s">
        <v>35</v>
      </c>
      <c r="E58" s="53" t="b">
        <v>1</v>
      </c>
      <c r="F58" s="53" t="s">
        <v>363</v>
      </c>
      <c r="G58" s="53">
        <v>10</v>
      </c>
      <c r="H58" s="54">
        <v>46119</v>
      </c>
    </row>
    <row r="59" spans="1:8" x14ac:dyDescent="0.45">
      <c r="A59" s="53">
        <v>1355</v>
      </c>
      <c r="B59" s="53" t="s">
        <v>179</v>
      </c>
      <c r="C59" s="53" t="s">
        <v>180</v>
      </c>
      <c r="D59" s="53" t="s">
        <v>35</v>
      </c>
      <c r="E59" s="53" t="b">
        <v>0</v>
      </c>
      <c r="F59" s="53" t="s">
        <v>365</v>
      </c>
      <c r="H59" s="54">
        <v>46119</v>
      </c>
    </row>
    <row r="60" spans="1:8" x14ac:dyDescent="0.45">
      <c r="A60" s="53">
        <v>1164</v>
      </c>
      <c r="B60" s="53" t="s">
        <v>181</v>
      </c>
      <c r="C60" s="53" t="s">
        <v>182</v>
      </c>
      <c r="D60" s="53" t="s">
        <v>138</v>
      </c>
      <c r="E60" s="53" t="b">
        <v>1</v>
      </c>
      <c r="F60" s="53" t="s">
        <v>364</v>
      </c>
      <c r="H60" s="54">
        <v>46119</v>
      </c>
    </row>
    <row r="61" spans="1:8" x14ac:dyDescent="0.45">
      <c r="A61" s="53">
        <v>1062</v>
      </c>
      <c r="B61" s="53" t="s">
        <v>181</v>
      </c>
      <c r="C61" s="53" t="s">
        <v>64</v>
      </c>
      <c r="D61" s="53" t="s">
        <v>35</v>
      </c>
      <c r="E61" s="53" t="b">
        <v>0</v>
      </c>
      <c r="F61" s="53" t="s">
        <v>363</v>
      </c>
      <c r="G61" s="53">
        <v>9</v>
      </c>
      <c r="H61" s="54">
        <v>46119</v>
      </c>
    </row>
    <row r="62" spans="1:8" x14ac:dyDescent="0.45">
      <c r="A62" s="53">
        <v>938</v>
      </c>
      <c r="B62" s="53" t="s">
        <v>181</v>
      </c>
      <c r="C62" s="53" t="s">
        <v>183</v>
      </c>
      <c r="D62" s="53" t="s">
        <v>35</v>
      </c>
      <c r="E62" s="53" t="b">
        <v>1</v>
      </c>
      <c r="F62" s="53" t="s">
        <v>363</v>
      </c>
      <c r="G62" s="53">
        <v>7</v>
      </c>
      <c r="H62" s="54">
        <v>46119</v>
      </c>
    </row>
    <row r="63" spans="1:8" x14ac:dyDescent="0.45">
      <c r="A63" s="53">
        <v>1034</v>
      </c>
      <c r="B63" s="53" t="s">
        <v>433</v>
      </c>
      <c r="C63" s="53" t="s">
        <v>64</v>
      </c>
      <c r="D63" s="53" t="s">
        <v>35</v>
      </c>
      <c r="E63" s="53" t="b">
        <v>0</v>
      </c>
      <c r="F63" s="53" t="s">
        <v>364</v>
      </c>
      <c r="H63" s="54">
        <v>46119</v>
      </c>
    </row>
    <row r="64" spans="1:8" x14ac:dyDescent="0.45">
      <c r="A64" s="53">
        <v>1402</v>
      </c>
      <c r="B64" s="53" t="s">
        <v>432</v>
      </c>
      <c r="C64" s="53" t="s">
        <v>168</v>
      </c>
      <c r="D64" s="53" t="s">
        <v>35</v>
      </c>
      <c r="E64" s="53" t="b">
        <v>0</v>
      </c>
      <c r="F64" s="53" t="s">
        <v>363</v>
      </c>
      <c r="G64" s="53">
        <v>7</v>
      </c>
      <c r="H64" s="54">
        <v>46119</v>
      </c>
    </row>
    <row r="65" spans="1:8" x14ac:dyDescent="0.45">
      <c r="A65" s="53">
        <v>939</v>
      </c>
      <c r="B65" s="53" t="s">
        <v>184</v>
      </c>
      <c r="C65" s="53" t="s">
        <v>185</v>
      </c>
      <c r="D65" s="53" t="s">
        <v>35</v>
      </c>
      <c r="E65" s="53" t="b">
        <v>1</v>
      </c>
      <c r="F65" s="53" t="s">
        <v>363</v>
      </c>
      <c r="G65" s="53">
        <v>12</v>
      </c>
      <c r="H65" s="54">
        <v>46119</v>
      </c>
    </row>
    <row r="66" spans="1:8" x14ac:dyDescent="0.45">
      <c r="A66" s="53">
        <v>1377</v>
      </c>
      <c r="B66" s="53" t="s">
        <v>186</v>
      </c>
      <c r="C66" s="53" t="s">
        <v>187</v>
      </c>
      <c r="D66" s="53" t="s">
        <v>35</v>
      </c>
      <c r="E66" s="53" t="b">
        <v>1</v>
      </c>
      <c r="F66" s="53" t="s">
        <v>363</v>
      </c>
      <c r="G66" s="53">
        <v>12</v>
      </c>
      <c r="H66" s="54">
        <v>46119</v>
      </c>
    </row>
    <row r="67" spans="1:8" x14ac:dyDescent="0.45">
      <c r="A67" s="53">
        <v>1281</v>
      </c>
      <c r="B67" s="53" t="s">
        <v>188</v>
      </c>
      <c r="C67" s="53" t="s">
        <v>189</v>
      </c>
      <c r="D67" s="53" t="s">
        <v>35</v>
      </c>
      <c r="E67" s="53" t="b">
        <v>0</v>
      </c>
      <c r="F67" s="53" t="s">
        <v>363</v>
      </c>
      <c r="G67" s="53">
        <v>19</v>
      </c>
      <c r="H67" s="54">
        <v>46119</v>
      </c>
    </row>
    <row r="68" spans="1:8" x14ac:dyDescent="0.45">
      <c r="A68" s="53">
        <v>933</v>
      </c>
      <c r="B68" s="53" t="s">
        <v>192</v>
      </c>
      <c r="C68" s="53" t="s">
        <v>193</v>
      </c>
      <c r="D68" s="53" t="s">
        <v>35</v>
      </c>
      <c r="E68" s="53" t="b">
        <v>0</v>
      </c>
      <c r="F68" s="53" t="s">
        <v>364</v>
      </c>
      <c r="H68" s="54">
        <v>46119</v>
      </c>
    </row>
    <row r="69" spans="1:8" x14ac:dyDescent="0.45">
      <c r="A69" s="53">
        <v>1274</v>
      </c>
      <c r="B69" s="53" t="s">
        <v>190</v>
      </c>
      <c r="C69" s="53" t="s">
        <v>191</v>
      </c>
      <c r="D69" s="53" t="s">
        <v>35</v>
      </c>
      <c r="E69" s="53" t="b">
        <v>1</v>
      </c>
      <c r="F69" s="53" t="s">
        <v>364</v>
      </c>
      <c r="H69" s="54">
        <v>46119</v>
      </c>
    </row>
    <row r="70" spans="1:8" x14ac:dyDescent="0.45">
      <c r="A70" s="53">
        <v>493</v>
      </c>
      <c r="B70" s="53" t="s">
        <v>194</v>
      </c>
      <c r="C70" s="53" t="s">
        <v>49</v>
      </c>
      <c r="D70" s="53" t="s">
        <v>48</v>
      </c>
      <c r="E70" s="53" t="b">
        <v>0</v>
      </c>
      <c r="F70" s="53" t="s">
        <v>363</v>
      </c>
      <c r="G70" s="53">
        <v>37</v>
      </c>
      <c r="H70" s="54">
        <v>46119</v>
      </c>
    </row>
    <row r="71" spans="1:8" x14ac:dyDescent="0.45">
      <c r="A71" s="53">
        <v>1279</v>
      </c>
      <c r="B71" s="53" t="s">
        <v>195</v>
      </c>
      <c r="C71" s="53" t="s">
        <v>196</v>
      </c>
      <c r="D71" s="53" t="s">
        <v>35</v>
      </c>
      <c r="E71" s="53" t="b">
        <v>0</v>
      </c>
      <c r="F71" s="53" t="s">
        <v>363</v>
      </c>
      <c r="G71" s="53">
        <v>4</v>
      </c>
      <c r="H71" s="54">
        <v>46119</v>
      </c>
    </row>
    <row r="72" spans="1:8" x14ac:dyDescent="0.45">
      <c r="A72" s="53">
        <v>1193</v>
      </c>
      <c r="B72" s="53" t="s">
        <v>197</v>
      </c>
      <c r="C72" s="53" t="s">
        <v>200</v>
      </c>
      <c r="D72" s="53" t="s">
        <v>35</v>
      </c>
      <c r="E72" s="53" t="b">
        <v>0</v>
      </c>
      <c r="F72" s="53" t="s">
        <v>364</v>
      </c>
      <c r="H72" s="54">
        <v>46119</v>
      </c>
    </row>
    <row r="73" spans="1:8" x14ac:dyDescent="0.45">
      <c r="A73" s="53">
        <v>1194</v>
      </c>
      <c r="B73" s="53" t="s">
        <v>197</v>
      </c>
      <c r="C73" s="53" t="s">
        <v>201</v>
      </c>
      <c r="D73" s="53" t="s">
        <v>35</v>
      </c>
      <c r="E73" s="53" t="b">
        <v>1</v>
      </c>
      <c r="F73" s="53" t="s">
        <v>364</v>
      </c>
      <c r="H73" s="54">
        <v>46119</v>
      </c>
    </row>
    <row r="74" spans="1:8" x14ac:dyDescent="0.45">
      <c r="A74" s="53">
        <v>1196</v>
      </c>
      <c r="B74" s="53" t="s">
        <v>197</v>
      </c>
      <c r="C74" s="53" t="s">
        <v>198</v>
      </c>
      <c r="D74" s="53" t="s">
        <v>35</v>
      </c>
      <c r="E74" s="53" t="b">
        <v>0</v>
      </c>
      <c r="F74" s="53" t="s">
        <v>365</v>
      </c>
      <c r="H74" s="54">
        <v>46119</v>
      </c>
    </row>
    <row r="75" spans="1:8" x14ac:dyDescent="0.45">
      <c r="A75" s="53">
        <v>1195</v>
      </c>
      <c r="B75" s="53" t="s">
        <v>197</v>
      </c>
      <c r="C75" s="53" t="s">
        <v>199</v>
      </c>
      <c r="D75" s="53" t="s">
        <v>35</v>
      </c>
      <c r="E75" s="53" t="b">
        <v>0</v>
      </c>
      <c r="F75" s="53" t="s">
        <v>365</v>
      </c>
      <c r="H75" s="54">
        <v>46119</v>
      </c>
    </row>
    <row r="76" spans="1:8" x14ac:dyDescent="0.45">
      <c r="A76" s="53">
        <v>1176</v>
      </c>
      <c r="B76" s="53" t="s">
        <v>203</v>
      </c>
      <c r="C76" s="53" t="s">
        <v>204</v>
      </c>
      <c r="D76" s="53" t="s">
        <v>35</v>
      </c>
      <c r="E76" s="53" t="b">
        <v>0</v>
      </c>
      <c r="F76" s="53" t="s">
        <v>365</v>
      </c>
      <c r="H76" s="54">
        <v>46119</v>
      </c>
    </row>
    <row r="77" spans="1:8" x14ac:dyDescent="0.45">
      <c r="A77" s="53">
        <v>1174</v>
      </c>
      <c r="B77" s="53" t="s">
        <v>203</v>
      </c>
      <c r="C77" s="53" t="s">
        <v>205</v>
      </c>
      <c r="D77" s="53" t="s">
        <v>35</v>
      </c>
      <c r="E77" s="53" t="b">
        <v>1</v>
      </c>
      <c r="F77" s="53" t="s">
        <v>363</v>
      </c>
      <c r="G77" s="53">
        <v>6</v>
      </c>
      <c r="H77" s="54">
        <v>46119</v>
      </c>
    </row>
    <row r="78" spans="1:8" x14ac:dyDescent="0.45">
      <c r="A78" s="53">
        <v>1175</v>
      </c>
      <c r="B78" s="53" t="s">
        <v>203</v>
      </c>
      <c r="C78" s="53" t="s">
        <v>200</v>
      </c>
      <c r="D78" s="53" t="s">
        <v>35</v>
      </c>
      <c r="E78" s="53" t="b">
        <v>0</v>
      </c>
      <c r="F78" s="53" t="s">
        <v>363</v>
      </c>
      <c r="G78" s="53">
        <v>12</v>
      </c>
      <c r="H78" s="54">
        <v>46119</v>
      </c>
    </row>
    <row r="79" spans="1:8" x14ac:dyDescent="0.45">
      <c r="A79" s="53">
        <v>1109</v>
      </c>
      <c r="B79" s="53" t="s">
        <v>206</v>
      </c>
      <c r="C79" s="53" t="s">
        <v>163</v>
      </c>
      <c r="D79" s="53" t="s">
        <v>35</v>
      </c>
      <c r="E79" s="53" t="b">
        <v>0</v>
      </c>
      <c r="F79" s="53" t="s">
        <v>364</v>
      </c>
      <c r="H79" s="54">
        <v>46119</v>
      </c>
    </row>
    <row r="80" spans="1:8" x14ac:dyDescent="0.45">
      <c r="A80" s="53">
        <v>1073</v>
      </c>
      <c r="B80" s="53" t="s">
        <v>207</v>
      </c>
      <c r="C80" s="53" t="s">
        <v>200</v>
      </c>
      <c r="D80" s="53" t="s">
        <v>35</v>
      </c>
      <c r="E80" s="53" t="b">
        <v>0</v>
      </c>
      <c r="F80" s="53" t="s">
        <v>363</v>
      </c>
      <c r="G80" s="53">
        <v>3</v>
      </c>
      <c r="H80" s="54">
        <v>46119</v>
      </c>
    </row>
    <row r="81" spans="1:8" x14ac:dyDescent="0.45">
      <c r="A81" s="53">
        <v>1400</v>
      </c>
      <c r="B81" s="53" t="s">
        <v>431</v>
      </c>
      <c r="C81" s="53" t="s">
        <v>430</v>
      </c>
      <c r="D81" s="53" t="s">
        <v>35</v>
      </c>
      <c r="E81" s="53" t="b">
        <v>0</v>
      </c>
      <c r="F81" s="53" t="s">
        <v>364</v>
      </c>
      <c r="H81" s="54">
        <v>46119</v>
      </c>
    </row>
    <row r="82" spans="1:8" x14ac:dyDescent="0.45">
      <c r="A82" s="53">
        <v>1367</v>
      </c>
      <c r="B82" s="53" t="s">
        <v>208</v>
      </c>
      <c r="C82" s="53" t="s">
        <v>198</v>
      </c>
      <c r="D82" s="53" t="s">
        <v>35</v>
      </c>
      <c r="E82" s="53" t="b">
        <v>0</v>
      </c>
      <c r="F82" s="53" t="s">
        <v>365</v>
      </c>
      <c r="H82" s="54">
        <v>46119</v>
      </c>
    </row>
    <row r="83" spans="1:8" x14ac:dyDescent="0.45">
      <c r="A83" s="53">
        <v>1366</v>
      </c>
      <c r="B83" s="53" t="s">
        <v>208</v>
      </c>
      <c r="C83" s="53" t="s">
        <v>211</v>
      </c>
      <c r="D83" s="53" t="s">
        <v>35</v>
      </c>
      <c r="E83" s="53" t="b">
        <v>1</v>
      </c>
      <c r="F83" s="53" t="s">
        <v>364</v>
      </c>
      <c r="H83" s="54">
        <v>46119</v>
      </c>
    </row>
    <row r="84" spans="1:8" x14ac:dyDescent="0.45">
      <c r="A84" s="53">
        <v>1365</v>
      </c>
      <c r="B84" s="53" t="s">
        <v>208</v>
      </c>
      <c r="C84" s="53" t="s">
        <v>210</v>
      </c>
      <c r="D84" s="53" t="s">
        <v>35</v>
      </c>
      <c r="E84" s="53" t="b">
        <v>1</v>
      </c>
      <c r="F84" s="53" t="s">
        <v>363</v>
      </c>
      <c r="G84" s="53">
        <v>7</v>
      </c>
      <c r="H84" s="54">
        <v>46119</v>
      </c>
    </row>
    <row r="85" spans="1:8" x14ac:dyDescent="0.45">
      <c r="A85" s="53">
        <v>897</v>
      </c>
      <c r="B85" s="53" t="s">
        <v>208</v>
      </c>
      <c r="C85" s="53" t="s">
        <v>209</v>
      </c>
      <c r="D85" s="53" t="s">
        <v>35</v>
      </c>
      <c r="E85" s="53" t="b">
        <v>0</v>
      </c>
      <c r="F85" s="53" t="s">
        <v>363</v>
      </c>
      <c r="G85" s="53">
        <v>13</v>
      </c>
      <c r="H85" s="54">
        <v>46119</v>
      </c>
    </row>
    <row r="86" spans="1:8" x14ac:dyDescent="0.45">
      <c r="A86" s="53">
        <v>1308</v>
      </c>
      <c r="B86" s="53" t="s">
        <v>212</v>
      </c>
      <c r="C86" s="53" t="s">
        <v>213</v>
      </c>
      <c r="D86" s="53" t="s">
        <v>35</v>
      </c>
      <c r="E86" s="53" t="b">
        <v>1</v>
      </c>
      <c r="F86" s="53" t="s">
        <v>363</v>
      </c>
      <c r="G86" s="53">
        <v>2</v>
      </c>
      <c r="H86" s="54">
        <v>46119</v>
      </c>
    </row>
    <row r="87" spans="1:8" x14ac:dyDescent="0.45">
      <c r="A87" s="53">
        <v>1206</v>
      </c>
      <c r="B87" s="53" t="s">
        <v>214</v>
      </c>
      <c r="C87" s="53" t="s">
        <v>215</v>
      </c>
      <c r="D87" s="53" t="s">
        <v>35</v>
      </c>
      <c r="E87" s="53" t="b">
        <v>1</v>
      </c>
      <c r="F87" s="53" t="s">
        <v>363</v>
      </c>
      <c r="G87" s="53">
        <v>8</v>
      </c>
      <c r="H87" s="54">
        <v>46119</v>
      </c>
    </row>
    <row r="88" spans="1:8" x14ac:dyDescent="0.45">
      <c r="A88" s="53">
        <v>1205</v>
      </c>
      <c r="B88" s="53" t="s">
        <v>214</v>
      </c>
      <c r="C88" s="53" t="s">
        <v>61</v>
      </c>
      <c r="D88" s="53" t="s">
        <v>35</v>
      </c>
      <c r="E88" s="53" t="b">
        <v>0</v>
      </c>
      <c r="F88" s="53" t="s">
        <v>363</v>
      </c>
      <c r="G88" s="53">
        <v>14</v>
      </c>
      <c r="H88" s="54">
        <v>46119</v>
      </c>
    </row>
    <row r="89" spans="1:8" x14ac:dyDescent="0.45">
      <c r="A89" s="53">
        <v>1406</v>
      </c>
      <c r="B89" s="53" t="s">
        <v>429</v>
      </c>
      <c r="C89" s="53" t="s">
        <v>315</v>
      </c>
      <c r="D89" s="53" t="s">
        <v>35</v>
      </c>
      <c r="E89" s="53" t="b">
        <v>0</v>
      </c>
      <c r="F89" s="53" t="s">
        <v>363</v>
      </c>
      <c r="G89" s="53">
        <v>9</v>
      </c>
      <c r="H89" s="54">
        <v>46119</v>
      </c>
    </row>
    <row r="90" spans="1:8" x14ac:dyDescent="0.45">
      <c r="A90" s="53">
        <v>1182</v>
      </c>
      <c r="B90" s="53" t="s">
        <v>216</v>
      </c>
      <c r="C90" s="53" t="s">
        <v>168</v>
      </c>
      <c r="D90" s="53" t="s">
        <v>35</v>
      </c>
      <c r="E90" s="53" t="b">
        <v>0</v>
      </c>
      <c r="F90" s="53" t="s">
        <v>363</v>
      </c>
      <c r="G90" s="53">
        <v>8</v>
      </c>
      <c r="H90" s="54">
        <v>46119</v>
      </c>
    </row>
    <row r="91" spans="1:8" x14ac:dyDescent="0.45">
      <c r="A91" s="53">
        <v>1340</v>
      </c>
      <c r="B91" s="53" t="s">
        <v>217</v>
      </c>
      <c r="C91" s="53" t="s">
        <v>218</v>
      </c>
      <c r="D91" s="53" t="s">
        <v>35</v>
      </c>
      <c r="E91" s="53" t="b">
        <v>0</v>
      </c>
      <c r="F91" s="53" t="s">
        <v>363</v>
      </c>
      <c r="G91" s="53">
        <v>8</v>
      </c>
      <c r="H91" s="54">
        <v>46119</v>
      </c>
    </row>
    <row r="92" spans="1:8" x14ac:dyDescent="0.45">
      <c r="A92" s="53">
        <v>21</v>
      </c>
      <c r="B92" s="53" t="s">
        <v>219</v>
      </c>
      <c r="C92" s="53" t="s">
        <v>220</v>
      </c>
      <c r="D92" s="53" t="s">
        <v>35</v>
      </c>
      <c r="E92" s="53" t="b">
        <v>0</v>
      </c>
      <c r="F92" s="53" t="s">
        <v>364</v>
      </c>
      <c r="H92" s="54">
        <v>46119</v>
      </c>
    </row>
    <row r="93" spans="1:8" x14ac:dyDescent="0.45">
      <c r="A93" s="53">
        <v>1049</v>
      </c>
      <c r="B93" s="53" t="s">
        <v>221</v>
      </c>
      <c r="C93" s="53" t="s">
        <v>222</v>
      </c>
      <c r="D93" s="53" t="s">
        <v>35</v>
      </c>
      <c r="E93" s="53" t="b">
        <v>0</v>
      </c>
      <c r="F93" s="53" t="s">
        <v>363</v>
      </c>
      <c r="G93" s="53">
        <v>19</v>
      </c>
      <c r="H93" s="54">
        <v>46119</v>
      </c>
    </row>
    <row r="94" spans="1:8" x14ac:dyDescent="0.45">
      <c r="A94" s="53">
        <v>120</v>
      </c>
      <c r="B94" s="53" t="s">
        <v>223</v>
      </c>
      <c r="C94" s="53" t="s">
        <v>224</v>
      </c>
      <c r="D94" s="53" t="s">
        <v>35</v>
      </c>
      <c r="E94" s="53" t="b">
        <v>1</v>
      </c>
      <c r="F94" s="53" t="s">
        <v>363</v>
      </c>
      <c r="G94" s="53">
        <v>12</v>
      </c>
      <c r="H94" s="54">
        <v>46119</v>
      </c>
    </row>
    <row r="95" spans="1:8" x14ac:dyDescent="0.45">
      <c r="A95" s="53">
        <v>990</v>
      </c>
      <c r="B95" s="53" t="s">
        <v>445</v>
      </c>
      <c r="C95" s="53" t="s">
        <v>149</v>
      </c>
      <c r="D95" s="53" t="s">
        <v>35</v>
      </c>
      <c r="E95" s="53" t="b">
        <v>1</v>
      </c>
      <c r="F95" s="53" t="s">
        <v>363</v>
      </c>
      <c r="G95" s="53">
        <v>10</v>
      </c>
      <c r="H95" s="54">
        <v>46119</v>
      </c>
    </row>
    <row r="96" spans="1:8" x14ac:dyDescent="0.45">
      <c r="A96" s="53">
        <v>1395</v>
      </c>
      <c r="B96" s="53" t="s">
        <v>428</v>
      </c>
      <c r="C96" s="53" t="s">
        <v>427</v>
      </c>
      <c r="D96" s="53" t="s">
        <v>35</v>
      </c>
      <c r="E96" s="53" t="b">
        <v>1</v>
      </c>
      <c r="F96" s="53" t="s">
        <v>365</v>
      </c>
      <c r="H96" s="54">
        <v>46119</v>
      </c>
    </row>
    <row r="97" spans="1:8" x14ac:dyDescent="0.45">
      <c r="A97" s="53">
        <v>1158</v>
      </c>
      <c r="B97" s="53" t="s">
        <v>225</v>
      </c>
      <c r="C97" s="53" t="s">
        <v>226</v>
      </c>
      <c r="D97" s="53" t="s">
        <v>35</v>
      </c>
      <c r="E97" s="53" t="b">
        <v>1</v>
      </c>
      <c r="F97" s="53" t="s">
        <v>364</v>
      </c>
      <c r="H97" s="54">
        <v>46119</v>
      </c>
    </row>
    <row r="98" spans="1:8" x14ac:dyDescent="0.45">
      <c r="A98" s="53">
        <v>23</v>
      </c>
      <c r="B98" s="53" t="s">
        <v>227</v>
      </c>
      <c r="C98" s="53" t="s">
        <v>40</v>
      </c>
      <c r="D98" s="53" t="s">
        <v>35</v>
      </c>
      <c r="E98" s="53" t="b">
        <v>0</v>
      </c>
      <c r="F98" s="53" t="s">
        <v>363</v>
      </c>
      <c r="G98" s="53">
        <v>10</v>
      </c>
      <c r="H98" s="54">
        <v>46119</v>
      </c>
    </row>
    <row r="99" spans="1:8" x14ac:dyDescent="0.45">
      <c r="A99" s="53">
        <v>1152</v>
      </c>
      <c r="B99" s="53" t="s">
        <v>228</v>
      </c>
      <c r="C99" s="53" t="s">
        <v>229</v>
      </c>
      <c r="D99" s="53" t="s">
        <v>138</v>
      </c>
      <c r="E99" s="53" t="b">
        <v>1</v>
      </c>
      <c r="F99" s="53" t="s">
        <v>366</v>
      </c>
      <c r="H99" s="54">
        <v>46119</v>
      </c>
    </row>
    <row r="100" spans="1:8" x14ac:dyDescent="0.45">
      <c r="A100" s="53">
        <v>581</v>
      </c>
      <c r="B100" s="53" t="s">
        <v>230</v>
      </c>
      <c r="C100" s="53" t="s">
        <v>231</v>
      </c>
      <c r="D100" s="53" t="s">
        <v>35</v>
      </c>
      <c r="E100" s="53" t="b">
        <v>0</v>
      </c>
      <c r="F100" s="53" t="s">
        <v>363</v>
      </c>
      <c r="G100" s="53">
        <v>13</v>
      </c>
      <c r="H100" s="54">
        <v>46119</v>
      </c>
    </row>
    <row r="101" spans="1:8" x14ac:dyDescent="0.45">
      <c r="A101" s="53">
        <v>1374</v>
      </c>
      <c r="B101" s="53" t="s">
        <v>232</v>
      </c>
      <c r="C101" s="53" t="s">
        <v>233</v>
      </c>
      <c r="D101" s="53" t="s">
        <v>35</v>
      </c>
      <c r="E101" s="53" t="b">
        <v>0</v>
      </c>
      <c r="F101" s="53" t="s">
        <v>364</v>
      </c>
      <c r="H101" s="54">
        <v>46119</v>
      </c>
    </row>
    <row r="102" spans="1:8" x14ac:dyDescent="0.45">
      <c r="A102" s="53">
        <v>25</v>
      </c>
      <c r="B102" s="53" t="s">
        <v>29</v>
      </c>
      <c r="C102" s="53" t="s">
        <v>234</v>
      </c>
      <c r="D102" s="53" t="s">
        <v>35</v>
      </c>
      <c r="E102" s="53" t="b">
        <v>0</v>
      </c>
      <c r="F102" s="53" t="s">
        <v>363</v>
      </c>
      <c r="G102" s="53">
        <v>8</v>
      </c>
      <c r="H102" s="54">
        <v>46119</v>
      </c>
    </row>
    <row r="103" spans="1:8" x14ac:dyDescent="0.45">
      <c r="A103" s="53">
        <v>415</v>
      </c>
      <c r="B103" s="53" t="s">
        <v>235</v>
      </c>
      <c r="C103" s="53" t="s">
        <v>237</v>
      </c>
      <c r="D103" s="53" t="s">
        <v>35</v>
      </c>
      <c r="E103" s="53" t="b">
        <v>0</v>
      </c>
      <c r="F103" s="53" t="s">
        <v>363</v>
      </c>
      <c r="G103" s="53">
        <v>6</v>
      </c>
      <c r="H103" s="54">
        <v>46119</v>
      </c>
    </row>
    <row r="104" spans="1:8" x14ac:dyDescent="0.45">
      <c r="A104" s="53">
        <v>1144</v>
      </c>
      <c r="B104" s="53" t="s">
        <v>235</v>
      </c>
      <c r="C104" s="53" t="s">
        <v>236</v>
      </c>
      <c r="D104" s="53" t="s">
        <v>138</v>
      </c>
      <c r="E104" s="53" t="b">
        <v>0</v>
      </c>
      <c r="F104" s="53" t="s">
        <v>366</v>
      </c>
      <c r="H104" s="54">
        <v>46119</v>
      </c>
    </row>
    <row r="105" spans="1:8" x14ac:dyDescent="0.45">
      <c r="A105" s="53">
        <v>203</v>
      </c>
      <c r="B105" s="53" t="s">
        <v>238</v>
      </c>
      <c r="C105" s="53" t="s">
        <v>239</v>
      </c>
      <c r="D105" s="53" t="s">
        <v>35</v>
      </c>
      <c r="E105" s="53" t="b">
        <v>0</v>
      </c>
      <c r="F105" s="53" t="s">
        <v>363</v>
      </c>
      <c r="G105" s="53">
        <v>9</v>
      </c>
      <c r="H105" s="54">
        <v>46119</v>
      </c>
    </row>
    <row r="106" spans="1:8" x14ac:dyDescent="0.45">
      <c r="A106" s="53">
        <v>956</v>
      </c>
      <c r="B106" s="53" t="s">
        <v>240</v>
      </c>
      <c r="C106" s="53" t="s">
        <v>156</v>
      </c>
      <c r="D106" s="53" t="s">
        <v>35</v>
      </c>
      <c r="E106" s="53" t="b">
        <v>0</v>
      </c>
      <c r="F106" s="53" t="s">
        <v>363</v>
      </c>
      <c r="G106" s="53">
        <v>13</v>
      </c>
      <c r="H106" s="54">
        <v>46119</v>
      </c>
    </row>
    <row r="107" spans="1:8" x14ac:dyDescent="0.45">
      <c r="A107" s="53">
        <v>1273</v>
      </c>
      <c r="B107" s="53" t="s">
        <v>241</v>
      </c>
      <c r="C107" s="53" t="s">
        <v>242</v>
      </c>
      <c r="D107" s="53" t="s">
        <v>35</v>
      </c>
      <c r="E107" s="53" t="b">
        <v>1</v>
      </c>
      <c r="F107" s="53" t="s">
        <v>363</v>
      </c>
      <c r="G107" s="53">
        <v>22</v>
      </c>
      <c r="H107" s="54">
        <v>46119</v>
      </c>
    </row>
    <row r="108" spans="1:8" x14ac:dyDescent="0.45">
      <c r="A108" s="53">
        <v>1272</v>
      </c>
      <c r="B108" s="53" t="s">
        <v>241</v>
      </c>
      <c r="C108" s="53" t="s">
        <v>202</v>
      </c>
      <c r="D108" s="53" t="s">
        <v>35</v>
      </c>
      <c r="E108" s="53" t="b">
        <v>0</v>
      </c>
      <c r="F108" s="53" t="s">
        <v>363</v>
      </c>
      <c r="G108" s="53">
        <v>24</v>
      </c>
      <c r="H108" s="54">
        <v>46119</v>
      </c>
    </row>
    <row r="109" spans="1:8" x14ac:dyDescent="0.45">
      <c r="A109" s="53">
        <v>846</v>
      </c>
      <c r="B109" s="53" t="s">
        <v>243</v>
      </c>
      <c r="C109" s="53" t="s">
        <v>244</v>
      </c>
      <c r="D109" s="53" t="s">
        <v>35</v>
      </c>
      <c r="E109" s="53" t="b">
        <v>0</v>
      </c>
      <c r="F109" s="53" t="s">
        <v>363</v>
      </c>
      <c r="G109" s="53">
        <v>17</v>
      </c>
      <c r="H109" s="54">
        <v>46119</v>
      </c>
    </row>
    <row r="110" spans="1:8" x14ac:dyDescent="0.45">
      <c r="A110" s="53">
        <v>1162</v>
      </c>
      <c r="B110" s="53" t="s">
        <v>245</v>
      </c>
      <c r="C110" s="53" t="s">
        <v>200</v>
      </c>
      <c r="D110" s="53" t="s">
        <v>35</v>
      </c>
      <c r="E110" s="53" t="b">
        <v>0</v>
      </c>
      <c r="F110" s="53" t="s">
        <v>364</v>
      </c>
      <c r="H110" s="54">
        <v>46119</v>
      </c>
    </row>
    <row r="111" spans="1:8" x14ac:dyDescent="0.45">
      <c r="A111" s="53">
        <v>1244</v>
      </c>
      <c r="B111" s="53" t="s">
        <v>246</v>
      </c>
      <c r="C111" s="53" t="s">
        <v>156</v>
      </c>
      <c r="D111" s="53" t="s">
        <v>35</v>
      </c>
      <c r="E111" s="53" t="b">
        <v>0</v>
      </c>
      <c r="F111" s="53" t="s">
        <v>363</v>
      </c>
      <c r="G111" s="53">
        <v>2</v>
      </c>
      <c r="H111" s="54">
        <v>46119</v>
      </c>
    </row>
    <row r="112" spans="1:8" x14ac:dyDescent="0.45">
      <c r="A112" s="53">
        <v>1379</v>
      </c>
      <c r="B112" s="53" t="s">
        <v>246</v>
      </c>
      <c r="C112" s="53" t="s">
        <v>247</v>
      </c>
      <c r="D112" s="53" t="s">
        <v>35</v>
      </c>
      <c r="E112" s="53" t="b">
        <v>1</v>
      </c>
      <c r="F112" s="53" t="s">
        <v>364</v>
      </c>
      <c r="H112" s="54">
        <v>46119</v>
      </c>
    </row>
    <row r="113" spans="1:8" x14ac:dyDescent="0.45">
      <c r="A113" s="53">
        <v>1362</v>
      </c>
      <c r="B113" s="53" t="s">
        <v>248</v>
      </c>
      <c r="C113" s="53" t="s">
        <v>249</v>
      </c>
      <c r="D113" s="53" t="s">
        <v>35</v>
      </c>
      <c r="E113" s="53" t="b">
        <v>1</v>
      </c>
      <c r="F113" s="53" t="s">
        <v>363</v>
      </c>
      <c r="G113" s="53">
        <v>22</v>
      </c>
      <c r="H113" s="54">
        <v>46119</v>
      </c>
    </row>
    <row r="114" spans="1:8" x14ac:dyDescent="0.45">
      <c r="A114" s="53">
        <v>1403</v>
      </c>
      <c r="B114" s="53" t="s">
        <v>426</v>
      </c>
      <c r="C114" s="53" t="s">
        <v>410</v>
      </c>
      <c r="D114" s="53" t="s">
        <v>35</v>
      </c>
      <c r="E114" s="53" t="b">
        <v>0</v>
      </c>
      <c r="F114" s="53" t="s">
        <v>363</v>
      </c>
      <c r="G114" s="53">
        <v>8</v>
      </c>
      <c r="H114" s="54">
        <v>46119</v>
      </c>
    </row>
    <row r="115" spans="1:8" x14ac:dyDescent="0.45">
      <c r="A115" s="53">
        <v>1404</v>
      </c>
      <c r="B115" s="53" t="s">
        <v>426</v>
      </c>
      <c r="C115" s="53" t="s">
        <v>320</v>
      </c>
      <c r="D115" s="53" t="s">
        <v>35</v>
      </c>
      <c r="E115" s="53" t="b">
        <v>1</v>
      </c>
      <c r="F115" s="53" t="s">
        <v>364</v>
      </c>
      <c r="H115" s="54">
        <v>46119</v>
      </c>
    </row>
    <row r="116" spans="1:8" x14ac:dyDescent="0.45">
      <c r="A116" s="53">
        <v>1229</v>
      </c>
      <c r="B116" s="53" t="s">
        <v>250</v>
      </c>
      <c r="C116" s="53" t="s">
        <v>251</v>
      </c>
      <c r="D116" s="53" t="s">
        <v>35</v>
      </c>
      <c r="E116" s="53" t="b">
        <v>1</v>
      </c>
      <c r="F116" s="53" t="s">
        <v>364</v>
      </c>
      <c r="H116" s="54">
        <v>46119</v>
      </c>
    </row>
    <row r="117" spans="1:8" x14ac:dyDescent="0.45">
      <c r="A117" s="53">
        <v>1408</v>
      </c>
      <c r="B117" s="53" t="s">
        <v>424</v>
      </c>
      <c r="C117" s="53" t="s">
        <v>425</v>
      </c>
      <c r="D117" s="53" t="s">
        <v>35</v>
      </c>
      <c r="E117" s="53" t="b">
        <v>0</v>
      </c>
      <c r="F117" s="53" t="s">
        <v>363</v>
      </c>
      <c r="G117" s="53">
        <v>20</v>
      </c>
      <c r="H117" s="54">
        <v>46119</v>
      </c>
    </row>
    <row r="118" spans="1:8" x14ac:dyDescent="0.45">
      <c r="A118" s="53">
        <v>1409</v>
      </c>
      <c r="B118" s="53" t="s">
        <v>424</v>
      </c>
      <c r="C118" s="53" t="s">
        <v>423</v>
      </c>
      <c r="D118" s="53" t="s">
        <v>35</v>
      </c>
      <c r="E118" s="53" t="b">
        <v>1</v>
      </c>
      <c r="F118" s="53" t="s">
        <v>363</v>
      </c>
      <c r="G118" s="53">
        <v>15</v>
      </c>
      <c r="H118" s="54">
        <v>46119</v>
      </c>
    </row>
    <row r="119" spans="1:8" x14ac:dyDescent="0.45">
      <c r="A119" s="53">
        <v>1198</v>
      </c>
      <c r="B119" s="53" t="s">
        <v>252</v>
      </c>
      <c r="C119" s="53" t="s">
        <v>253</v>
      </c>
      <c r="D119" s="53" t="s">
        <v>35</v>
      </c>
      <c r="E119" s="53" t="b">
        <v>0</v>
      </c>
      <c r="F119" s="53" t="s">
        <v>363</v>
      </c>
      <c r="G119" s="53">
        <v>5</v>
      </c>
      <c r="H119" s="54">
        <v>46119</v>
      </c>
    </row>
    <row r="120" spans="1:8" x14ac:dyDescent="0.45">
      <c r="A120" s="53">
        <v>1260</v>
      </c>
      <c r="B120" s="53" t="s">
        <v>508</v>
      </c>
      <c r="C120" s="53" t="s">
        <v>454</v>
      </c>
      <c r="D120" s="53" t="s">
        <v>35</v>
      </c>
      <c r="E120" s="53" t="b">
        <v>1</v>
      </c>
      <c r="F120" s="53" t="s">
        <v>363</v>
      </c>
      <c r="G120" s="53">
        <v>15</v>
      </c>
      <c r="H120" s="54">
        <v>46119</v>
      </c>
    </row>
    <row r="121" spans="1:8" x14ac:dyDescent="0.45">
      <c r="A121" s="53">
        <v>1361</v>
      </c>
      <c r="B121" s="53" t="s">
        <v>254</v>
      </c>
      <c r="C121" s="53" t="s">
        <v>255</v>
      </c>
      <c r="D121" s="53" t="s">
        <v>35</v>
      </c>
      <c r="E121" s="53" t="b">
        <v>0</v>
      </c>
      <c r="F121" s="53" t="s">
        <v>363</v>
      </c>
      <c r="G121" s="53">
        <v>16</v>
      </c>
      <c r="H121" s="54">
        <v>46119</v>
      </c>
    </row>
    <row r="122" spans="1:8" x14ac:dyDescent="0.45">
      <c r="A122" s="53">
        <v>1100</v>
      </c>
      <c r="B122" s="53" t="s">
        <v>256</v>
      </c>
      <c r="C122" s="53" t="s">
        <v>37</v>
      </c>
      <c r="D122" s="53" t="s">
        <v>35</v>
      </c>
      <c r="E122" s="53" t="b">
        <v>0</v>
      </c>
      <c r="F122" s="53" t="s">
        <v>363</v>
      </c>
      <c r="G122" s="53">
        <v>13</v>
      </c>
      <c r="H122" s="54">
        <v>46119</v>
      </c>
    </row>
    <row r="123" spans="1:8" x14ac:dyDescent="0.45">
      <c r="A123" s="53">
        <v>1385</v>
      </c>
      <c r="B123" s="53" t="s">
        <v>257</v>
      </c>
      <c r="C123" s="53" t="s">
        <v>6</v>
      </c>
      <c r="D123" s="53" t="s">
        <v>35</v>
      </c>
      <c r="E123" s="53" t="b">
        <v>0</v>
      </c>
      <c r="F123" s="53" t="s">
        <v>364</v>
      </c>
      <c r="H123" s="54">
        <v>46119</v>
      </c>
    </row>
    <row r="124" spans="1:8" x14ac:dyDescent="0.45">
      <c r="A124" s="53">
        <v>1394</v>
      </c>
      <c r="B124" s="53" t="s">
        <v>257</v>
      </c>
      <c r="C124" s="53" t="s">
        <v>330</v>
      </c>
      <c r="D124" s="53" t="s">
        <v>35</v>
      </c>
      <c r="E124" s="53" t="b">
        <v>0</v>
      </c>
      <c r="F124" s="53" t="s">
        <v>365</v>
      </c>
      <c r="H124" s="54">
        <v>46119</v>
      </c>
    </row>
    <row r="125" spans="1:8" x14ac:dyDescent="0.45">
      <c r="A125" s="53">
        <v>1419</v>
      </c>
      <c r="B125" s="53" t="s">
        <v>485</v>
      </c>
      <c r="C125" s="53" t="s">
        <v>451</v>
      </c>
      <c r="D125" s="53" t="s">
        <v>35</v>
      </c>
      <c r="E125" s="53" t="b">
        <v>0</v>
      </c>
      <c r="F125" s="53" t="s">
        <v>364</v>
      </c>
      <c r="H125" s="54">
        <v>46119</v>
      </c>
    </row>
    <row r="126" spans="1:8" x14ac:dyDescent="0.45">
      <c r="A126" s="53">
        <v>967</v>
      </c>
      <c r="B126" s="53" t="s">
        <v>258</v>
      </c>
      <c r="C126" s="53" t="s">
        <v>198</v>
      </c>
      <c r="D126" s="53" t="s">
        <v>35</v>
      </c>
      <c r="E126" s="53" t="b">
        <v>0</v>
      </c>
      <c r="F126" s="53" t="s">
        <v>363</v>
      </c>
      <c r="G126" s="53">
        <v>5</v>
      </c>
      <c r="H126" s="54">
        <v>46119</v>
      </c>
    </row>
    <row r="127" spans="1:8" x14ac:dyDescent="0.45">
      <c r="A127" s="53">
        <v>1373</v>
      </c>
      <c r="B127" s="53" t="s">
        <v>507</v>
      </c>
      <c r="C127" s="53" t="s">
        <v>30</v>
      </c>
      <c r="D127" s="53" t="s">
        <v>35</v>
      </c>
      <c r="E127" s="53" t="b">
        <v>0</v>
      </c>
      <c r="F127" s="53" t="s">
        <v>363</v>
      </c>
      <c r="G127" s="53">
        <v>10</v>
      </c>
      <c r="H127" s="54">
        <v>46119</v>
      </c>
    </row>
    <row r="128" spans="1:8" x14ac:dyDescent="0.45">
      <c r="A128" s="53">
        <v>1045</v>
      </c>
      <c r="B128" s="53" t="s">
        <v>259</v>
      </c>
      <c r="C128" s="53" t="s">
        <v>260</v>
      </c>
      <c r="D128" s="53" t="s">
        <v>35</v>
      </c>
      <c r="E128" s="53" t="b">
        <v>1</v>
      </c>
      <c r="F128" s="53" t="s">
        <v>363</v>
      </c>
      <c r="G128" s="53">
        <v>5</v>
      </c>
      <c r="H128" s="54">
        <v>46119</v>
      </c>
    </row>
    <row r="129" spans="1:8" x14ac:dyDescent="0.45">
      <c r="A129" s="53">
        <v>1046</v>
      </c>
      <c r="B129" s="53" t="s">
        <v>259</v>
      </c>
      <c r="C129" s="53" t="s">
        <v>261</v>
      </c>
      <c r="D129" s="53" t="s">
        <v>35</v>
      </c>
      <c r="E129" s="53" t="b">
        <v>0</v>
      </c>
      <c r="F129" s="53" t="s">
        <v>363</v>
      </c>
      <c r="G129" s="53">
        <v>35</v>
      </c>
      <c r="H129" s="54">
        <v>46119</v>
      </c>
    </row>
    <row r="130" spans="1:8" x14ac:dyDescent="0.45">
      <c r="A130" s="53">
        <v>1396</v>
      </c>
      <c r="B130" s="53" t="s">
        <v>421</v>
      </c>
      <c r="C130" s="53" t="s">
        <v>57</v>
      </c>
      <c r="D130" s="53" t="s">
        <v>35</v>
      </c>
      <c r="E130" s="53" t="b">
        <v>0</v>
      </c>
      <c r="F130" s="53" t="s">
        <v>364</v>
      </c>
      <c r="H130" s="54">
        <v>46119</v>
      </c>
    </row>
    <row r="131" spans="1:8" x14ac:dyDescent="0.45">
      <c r="A131" s="53">
        <v>1397</v>
      </c>
      <c r="B131" s="53" t="s">
        <v>421</v>
      </c>
      <c r="C131" s="53" t="s">
        <v>422</v>
      </c>
      <c r="D131" s="53" t="s">
        <v>35</v>
      </c>
      <c r="E131" s="53" t="b">
        <v>1</v>
      </c>
      <c r="F131" s="53" t="s">
        <v>364</v>
      </c>
      <c r="H131" s="54">
        <v>46119</v>
      </c>
    </row>
    <row r="132" spans="1:8" x14ac:dyDescent="0.45">
      <c r="A132" s="53">
        <v>1398</v>
      </c>
      <c r="B132" s="53" t="s">
        <v>421</v>
      </c>
      <c r="C132" s="53" t="s">
        <v>49</v>
      </c>
      <c r="D132" s="53" t="s">
        <v>35</v>
      </c>
      <c r="E132" s="53" t="b">
        <v>0</v>
      </c>
      <c r="F132" s="53" t="s">
        <v>365</v>
      </c>
      <c r="H132" s="54">
        <v>46119</v>
      </c>
    </row>
    <row r="133" spans="1:8" x14ac:dyDescent="0.45">
      <c r="A133" s="53">
        <v>1399</v>
      </c>
      <c r="B133" s="53" t="s">
        <v>421</v>
      </c>
      <c r="C133" s="53" t="s">
        <v>182</v>
      </c>
      <c r="D133" s="53" t="s">
        <v>35</v>
      </c>
      <c r="E133" s="53" t="b">
        <v>1</v>
      </c>
      <c r="F133" s="53" t="s">
        <v>365</v>
      </c>
      <c r="H133" s="54">
        <v>46119</v>
      </c>
    </row>
    <row r="134" spans="1:8" x14ac:dyDescent="0.45">
      <c r="A134" s="53">
        <v>771</v>
      </c>
      <c r="B134" s="53" t="s">
        <v>263</v>
      </c>
      <c r="C134" s="53" t="s">
        <v>264</v>
      </c>
      <c r="D134" s="53" t="s">
        <v>35</v>
      </c>
      <c r="E134" s="53" t="b">
        <v>0</v>
      </c>
      <c r="F134" s="53" t="s">
        <v>363</v>
      </c>
      <c r="G134" s="53">
        <v>14</v>
      </c>
      <c r="H134" s="54">
        <v>46119</v>
      </c>
    </row>
    <row r="135" spans="1:8" x14ac:dyDescent="0.45">
      <c r="A135" s="53">
        <v>1265</v>
      </c>
      <c r="B135" s="53" t="s">
        <v>265</v>
      </c>
      <c r="C135" s="53" t="s">
        <v>266</v>
      </c>
      <c r="D135" s="53" t="s">
        <v>35</v>
      </c>
      <c r="E135" s="53" t="b">
        <v>0</v>
      </c>
      <c r="F135" s="53" t="s">
        <v>363</v>
      </c>
      <c r="G135" s="53">
        <v>20</v>
      </c>
      <c r="H135" s="54">
        <v>46119</v>
      </c>
    </row>
    <row r="136" spans="1:8" x14ac:dyDescent="0.45">
      <c r="A136" s="53">
        <v>532</v>
      </c>
      <c r="B136" s="53" t="s">
        <v>267</v>
      </c>
      <c r="C136" s="53" t="s">
        <v>266</v>
      </c>
      <c r="D136" s="53" t="s">
        <v>35</v>
      </c>
      <c r="E136" s="53" t="b">
        <v>0</v>
      </c>
      <c r="F136" s="53" t="s">
        <v>363</v>
      </c>
      <c r="G136" s="53">
        <v>13</v>
      </c>
      <c r="H136" s="54">
        <v>46119</v>
      </c>
    </row>
    <row r="137" spans="1:8" x14ac:dyDescent="0.45">
      <c r="A137" s="53">
        <v>742</v>
      </c>
      <c r="B137" s="53" t="s">
        <v>269</v>
      </c>
      <c r="C137" s="53" t="s">
        <v>205</v>
      </c>
      <c r="D137" s="53" t="s">
        <v>35</v>
      </c>
      <c r="E137" s="53" t="b">
        <v>1</v>
      </c>
      <c r="F137" s="53" t="s">
        <v>363</v>
      </c>
      <c r="G137" s="53">
        <v>2</v>
      </c>
      <c r="H137" s="54">
        <v>46119</v>
      </c>
    </row>
    <row r="138" spans="1:8" x14ac:dyDescent="0.45">
      <c r="A138" s="53">
        <v>741</v>
      </c>
      <c r="B138" s="53" t="s">
        <v>269</v>
      </c>
      <c r="C138" s="53" t="s">
        <v>271</v>
      </c>
      <c r="D138" s="53" t="s">
        <v>35</v>
      </c>
      <c r="E138" s="53" t="b">
        <v>0</v>
      </c>
      <c r="F138" s="53" t="s">
        <v>363</v>
      </c>
      <c r="G138" s="53">
        <v>4</v>
      </c>
      <c r="H138" s="54">
        <v>46119</v>
      </c>
    </row>
    <row r="139" spans="1:8" x14ac:dyDescent="0.45">
      <c r="A139" s="53">
        <v>1298</v>
      </c>
      <c r="B139" s="53" t="s">
        <v>269</v>
      </c>
      <c r="C139" s="53" t="s">
        <v>183</v>
      </c>
      <c r="D139" s="53" t="s">
        <v>35</v>
      </c>
      <c r="E139" s="53" t="b">
        <v>1</v>
      </c>
      <c r="F139" s="53" t="s">
        <v>363</v>
      </c>
      <c r="G139" s="53">
        <v>13</v>
      </c>
      <c r="H139" s="54">
        <v>46119</v>
      </c>
    </row>
    <row r="140" spans="1:8" x14ac:dyDescent="0.45">
      <c r="A140" s="53">
        <v>747</v>
      </c>
      <c r="B140" s="53" t="s">
        <v>269</v>
      </c>
      <c r="C140" s="53" t="s">
        <v>29</v>
      </c>
      <c r="D140" s="53" t="s">
        <v>35</v>
      </c>
      <c r="E140" s="53" t="b">
        <v>0</v>
      </c>
      <c r="F140" s="53" t="s">
        <v>363</v>
      </c>
      <c r="G140" s="53">
        <v>1</v>
      </c>
      <c r="H140" s="54">
        <v>46119</v>
      </c>
    </row>
    <row r="141" spans="1:8" x14ac:dyDescent="0.45">
      <c r="A141" s="53">
        <v>1386</v>
      </c>
      <c r="B141" s="53" t="s">
        <v>269</v>
      </c>
      <c r="C141" s="53" t="s">
        <v>270</v>
      </c>
      <c r="D141" s="53" t="s">
        <v>35</v>
      </c>
      <c r="E141" s="53" t="b">
        <v>1</v>
      </c>
      <c r="F141" s="53" t="s">
        <v>365</v>
      </c>
      <c r="H141" s="54">
        <v>46119</v>
      </c>
    </row>
    <row r="142" spans="1:8" x14ac:dyDescent="0.45">
      <c r="A142" s="53">
        <v>564</v>
      </c>
      <c r="B142" s="53" t="s">
        <v>420</v>
      </c>
      <c r="C142" s="53" t="s">
        <v>37</v>
      </c>
      <c r="D142" s="53" t="s">
        <v>35</v>
      </c>
      <c r="E142" s="53" t="b">
        <v>0</v>
      </c>
      <c r="F142" s="53" t="s">
        <v>363</v>
      </c>
      <c r="G142" s="53">
        <v>7</v>
      </c>
      <c r="H142" s="54">
        <v>46119</v>
      </c>
    </row>
    <row r="143" spans="1:8" x14ac:dyDescent="0.45">
      <c r="A143" s="53">
        <v>1165</v>
      </c>
      <c r="B143" s="53" t="s">
        <v>272</v>
      </c>
      <c r="C143" s="53" t="s">
        <v>222</v>
      </c>
      <c r="D143" s="53" t="s">
        <v>35</v>
      </c>
      <c r="E143" s="53" t="b">
        <v>0</v>
      </c>
      <c r="F143" s="53" t="s">
        <v>363</v>
      </c>
      <c r="G143" s="53">
        <v>10</v>
      </c>
      <c r="H143" s="54">
        <v>46119</v>
      </c>
    </row>
    <row r="144" spans="1:8" x14ac:dyDescent="0.45">
      <c r="A144" s="53">
        <v>405</v>
      </c>
      <c r="B144" s="53" t="s">
        <v>273</v>
      </c>
      <c r="C144" s="53" t="s">
        <v>266</v>
      </c>
      <c r="D144" s="53" t="s">
        <v>35</v>
      </c>
      <c r="E144" s="53" t="b">
        <v>0</v>
      </c>
      <c r="F144" s="53" t="s">
        <v>363</v>
      </c>
      <c r="G144" s="53">
        <v>18</v>
      </c>
      <c r="H144" s="54">
        <v>46119</v>
      </c>
    </row>
    <row r="145" spans="1:8" x14ac:dyDescent="0.45">
      <c r="A145" s="53">
        <v>1346</v>
      </c>
      <c r="B145" s="53" t="s">
        <v>274</v>
      </c>
      <c r="C145" s="53" t="s">
        <v>275</v>
      </c>
      <c r="D145" s="53" t="s">
        <v>35</v>
      </c>
      <c r="E145" s="53" t="b">
        <v>0</v>
      </c>
      <c r="F145" s="53" t="s">
        <v>363</v>
      </c>
      <c r="G145" s="53">
        <v>20</v>
      </c>
      <c r="H145" s="54">
        <v>46119</v>
      </c>
    </row>
    <row r="146" spans="1:8" x14ac:dyDescent="0.45">
      <c r="A146" s="53">
        <v>1192</v>
      </c>
      <c r="B146" s="53" t="s">
        <v>276</v>
      </c>
      <c r="C146" s="53" t="s">
        <v>277</v>
      </c>
      <c r="D146" s="53" t="s">
        <v>35</v>
      </c>
      <c r="E146" s="53" t="b">
        <v>0</v>
      </c>
      <c r="F146" s="53" t="s">
        <v>363</v>
      </c>
      <c r="G146" s="53">
        <v>10</v>
      </c>
      <c r="H146" s="54">
        <v>46119</v>
      </c>
    </row>
    <row r="147" spans="1:8" x14ac:dyDescent="0.45">
      <c r="A147" s="53">
        <v>1157</v>
      </c>
      <c r="B147" s="53" t="s">
        <v>278</v>
      </c>
      <c r="C147" s="53" t="s">
        <v>40</v>
      </c>
      <c r="D147" s="53" t="s">
        <v>35</v>
      </c>
      <c r="E147" s="53" t="b">
        <v>0</v>
      </c>
      <c r="F147" s="53" t="s">
        <v>364</v>
      </c>
      <c r="H147" s="54">
        <v>46119</v>
      </c>
    </row>
    <row r="148" spans="1:8" x14ac:dyDescent="0.45">
      <c r="A148" s="53">
        <v>1359</v>
      </c>
      <c r="B148" s="53" t="s">
        <v>279</v>
      </c>
      <c r="C148" s="53" t="s">
        <v>49</v>
      </c>
      <c r="D148" s="53" t="s">
        <v>35</v>
      </c>
      <c r="E148" s="53" t="b">
        <v>0</v>
      </c>
      <c r="F148" s="53" t="s">
        <v>366</v>
      </c>
      <c r="H148" s="54">
        <v>46119</v>
      </c>
    </row>
    <row r="149" spans="1:8" x14ac:dyDescent="0.45">
      <c r="A149" s="53">
        <v>1360</v>
      </c>
      <c r="B149" s="53" t="s">
        <v>279</v>
      </c>
      <c r="C149" s="53" t="s">
        <v>281</v>
      </c>
      <c r="D149" s="53" t="s">
        <v>35</v>
      </c>
      <c r="E149" s="53" t="b">
        <v>1</v>
      </c>
      <c r="F149" s="53" t="s">
        <v>365</v>
      </c>
      <c r="H149" s="54">
        <v>46119</v>
      </c>
    </row>
    <row r="150" spans="1:8" x14ac:dyDescent="0.45">
      <c r="A150" s="53">
        <v>1357</v>
      </c>
      <c r="B150" s="53" t="s">
        <v>279</v>
      </c>
      <c r="C150" s="53" t="s">
        <v>37</v>
      </c>
      <c r="D150" s="53" t="s">
        <v>35</v>
      </c>
      <c r="E150" s="53" t="b">
        <v>0</v>
      </c>
      <c r="F150" s="53" t="s">
        <v>363</v>
      </c>
      <c r="G150" s="53">
        <v>5</v>
      </c>
      <c r="H150" s="54">
        <v>46119</v>
      </c>
    </row>
    <row r="151" spans="1:8" x14ac:dyDescent="0.45">
      <c r="A151" s="53">
        <v>1358</v>
      </c>
      <c r="B151" s="53" t="s">
        <v>279</v>
      </c>
      <c r="C151" s="53" t="s">
        <v>280</v>
      </c>
      <c r="D151" s="53" t="s">
        <v>35</v>
      </c>
      <c r="E151" s="53" t="b">
        <v>1</v>
      </c>
      <c r="F151" s="53" t="s">
        <v>363</v>
      </c>
      <c r="G151" s="53">
        <v>7</v>
      </c>
      <c r="H151" s="54">
        <v>46119</v>
      </c>
    </row>
    <row r="152" spans="1:8" x14ac:dyDescent="0.45">
      <c r="A152" s="53">
        <v>1390</v>
      </c>
      <c r="B152" s="53" t="s">
        <v>419</v>
      </c>
      <c r="C152" s="53" t="s">
        <v>418</v>
      </c>
      <c r="D152" s="53" t="s">
        <v>35</v>
      </c>
      <c r="E152" s="53" t="b">
        <v>0</v>
      </c>
      <c r="F152" s="53" t="s">
        <v>364</v>
      </c>
      <c r="H152" s="54">
        <v>46119</v>
      </c>
    </row>
    <row r="153" spans="1:8" x14ac:dyDescent="0.45">
      <c r="A153" s="53">
        <v>1107</v>
      </c>
      <c r="B153" s="53" t="s">
        <v>282</v>
      </c>
      <c r="C153" s="53" t="s">
        <v>283</v>
      </c>
      <c r="D153" s="53" t="s">
        <v>35</v>
      </c>
      <c r="E153" s="53" t="b">
        <v>1</v>
      </c>
      <c r="F153" s="53" t="s">
        <v>364</v>
      </c>
      <c r="H153" s="54">
        <v>46119</v>
      </c>
    </row>
    <row r="154" spans="1:8" x14ac:dyDescent="0.45">
      <c r="A154" s="53">
        <v>35</v>
      </c>
      <c r="B154" s="53" t="s">
        <v>284</v>
      </c>
      <c r="C154" s="53" t="s">
        <v>285</v>
      </c>
      <c r="D154" s="53" t="s">
        <v>35</v>
      </c>
      <c r="E154" s="53" t="b">
        <v>0</v>
      </c>
      <c r="F154" s="53" t="s">
        <v>363</v>
      </c>
      <c r="G154" s="53">
        <v>3</v>
      </c>
      <c r="H154" s="54">
        <v>46119</v>
      </c>
    </row>
    <row r="155" spans="1:8" x14ac:dyDescent="0.45">
      <c r="A155" s="53">
        <v>1094</v>
      </c>
      <c r="B155" s="53" t="s">
        <v>286</v>
      </c>
      <c r="C155" s="53" t="s">
        <v>63</v>
      </c>
      <c r="D155" s="53" t="s">
        <v>35</v>
      </c>
      <c r="E155" s="53" t="b">
        <v>0</v>
      </c>
      <c r="F155" s="53" t="s">
        <v>363</v>
      </c>
      <c r="G155" s="53">
        <v>12</v>
      </c>
      <c r="H155" s="54">
        <v>46119</v>
      </c>
    </row>
    <row r="156" spans="1:8" x14ac:dyDescent="0.45">
      <c r="A156" s="53">
        <v>1325</v>
      </c>
      <c r="B156" s="53" t="s">
        <v>287</v>
      </c>
      <c r="C156" s="53" t="s">
        <v>288</v>
      </c>
      <c r="D156" s="53" t="s">
        <v>35</v>
      </c>
      <c r="E156" s="53" t="b">
        <v>0</v>
      </c>
      <c r="F156" s="53" t="s">
        <v>363</v>
      </c>
      <c r="G156" s="53">
        <v>3</v>
      </c>
      <c r="H156" s="54">
        <v>46119</v>
      </c>
    </row>
    <row r="157" spans="1:8" x14ac:dyDescent="0.45">
      <c r="A157" s="53">
        <v>1143</v>
      </c>
      <c r="B157" s="53" t="s">
        <v>289</v>
      </c>
      <c r="C157" s="53" t="s">
        <v>271</v>
      </c>
      <c r="D157" s="53" t="s">
        <v>35</v>
      </c>
      <c r="E157" s="53" t="b">
        <v>0</v>
      </c>
      <c r="F157" s="53" t="s">
        <v>363</v>
      </c>
      <c r="G157" s="53">
        <v>3</v>
      </c>
      <c r="H157" s="54">
        <v>46119</v>
      </c>
    </row>
    <row r="158" spans="1:8" x14ac:dyDescent="0.45">
      <c r="A158" s="53">
        <v>1401</v>
      </c>
      <c r="B158" s="53" t="s">
        <v>417</v>
      </c>
      <c r="C158" s="53" t="s">
        <v>416</v>
      </c>
      <c r="D158" s="53" t="s">
        <v>35</v>
      </c>
      <c r="E158" s="53" t="b">
        <v>1</v>
      </c>
      <c r="F158" s="53" t="s">
        <v>364</v>
      </c>
      <c r="H158" s="54">
        <v>46119</v>
      </c>
    </row>
    <row r="159" spans="1:8" x14ac:dyDescent="0.45">
      <c r="A159" s="53">
        <v>1285</v>
      </c>
      <c r="B159" s="53" t="s">
        <v>415</v>
      </c>
      <c r="C159" s="53" t="s">
        <v>40</v>
      </c>
      <c r="D159" s="53" t="s">
        <v>35</v>
      </c>
      <c r="E159" s="53" t="b">
        <v>0</v>
      </c>
      <c r="F159" s="53" t="s">
        <v>364</v>
      </c>
      <c r="H159" s="54">
        <v>46119</v>
      </c>
    </row>
    <row r="160" spans="1:8" x14ac:dyDescent="0.45">
      <c r="A160" s="53">
        <v>38</v>
      </c>
      <c r="B160" s="53" t="s">
        <v>290</v>
      </c>
      <c r="C160" s="53" t="s">
        <v>291</v>
      </c>
      <c r="D160" s="53" t="s">
        <v>35</v>
      </c>
      <c r="E160" s="53" t="b">
        <v>0</v>
      </c>
      <c r="F160" s="53" t="s">
        <v>363</v>
      </c>
      <c r="G160" s="53">
        <v>13</v>
      </c>
      <c r="H160" s="54">
        <v>46119</v>
      </c>
    </row>
    <row r="161" spans="1:8" x14ac:dyDescent="0.45">
      <c r="A161" s="53">
        <v>245</v>
      </c>
      <c r="B161" s="53" t="s">
        <v>292</v>
      </c>
      <c r="C161" s="53" t="s">
        <v>30</v>
      </c>
      <c r="D161" s="53" t="s">
        <v>35</v>
      </c>
      <c r="E161" s="53" t="b">
        <v>0</v>
      </c>
      <c r="F161" s="53" t="s">
        <v>363</v>
      </c>
      <c r="G161" s="53">
        <v>10</v>
      </c>
      <c r="H161" s="54">
        <v>46119</v>
      </c>
    </row>
    <row r="162" spans="1:8" x14ac:dyDescent="0.45">
      <c r="A162" s="53">
        <v>39</v>
      </c>
      <c r="B162" s="53" t="s">
        <v>292</v>
      </c>
      <c r="C162" s="53" t="s">
        <v>71</v>
      </c>
      <c r="D162" s="53" t="s">
        <v>35</v>
      </c>
      <c r="E162" s="53" t="b">
        <v>0</v>
      </c>
      <c r="F162" s="53" t="s">
        <v>363</v>
      </c>
      <c r="G162" s="53">
        <v>43</v>
      </c>
      <c r="H162" s="54">
        <v>46119</v>
      </c>
    </row>
    <row r="163" spans="1:8" x14ac:dyDescent="0.45">
      <c r="A163" s="53">
        <v>508</v>
      </c>
      <c r="B163" s="53" t="s">
        <v>293</v>
      </c>
      <c r="C163" s="53" t="s">
        <v>57</v>
      </c>
      <c r="D163" s="53" t="s">
        <v>35</v>
      </c>
      <c r="E163" s="53" t="b">
        <v>0</v>
      </c>
      <c r="F163" s="53" t="s">
        <v>363</v>
      </c>
      <c r="G163" s="53">
        <v>31</v>
      </c>
      <c r="H163" s="54">
        <v>46119</v>
      </c>
    </row>
    <row r="164" spans="1:8" x14ac:dyDescent="0.45">
      <c r="A164" s="53">
        <v>1392</v>
      </c>
      <c r="B164" s="53" t="s">
        <v>414</v>
      </c>
      <c r="C164" s="53" t="s">
        <v>413</v>
      </c>
      <c r="D164" s="53" t="s">
        <v>35</v>
      </c>
      <c r="E164" s="53" t="b">
        <v>1</v>
      </c>
      <c r="F164" s="53" t="s">
        <v>364</v>
      </c>
      <c r="H164" s="54">
        <v>46119</v>
      </c>
    </row>
    <row r="165" spans="1:8" x14ac:dyDescent="0.45">
      <c r="A165" s="53">
        <v>1141</v>
      </c>
      <c r="B165" s="53" t="s">
        <v>294</v>
      </c>
      <c r="C165" s="53" t="s">
        <v>295</v>
      </c>
      <c r="D165" s="53" t="s">
        <v>35</v>
      </c>
      <c r="E165" s="53" t="b">
        <v>1</v>
      </c>
      <c r="F165" s="53" t="s">
        <v>363</v>
      </c>
      <c r="G165" s="53">
        <v>15</v>
      </c>
      <c r="H165" s="54">
        <v>46119</v>
      </c>
    </row>
    <row r="166" spans="1:8" x14ac:dyDescent="0.45">
      <c r="A166" s="53">
        <v>891</v>
      </c>
      <c r="B166" s="53" t="s">
        <v>296</v>
      </c>
      <c r="C166" s="53" t="s">
        <v>297</v>
      </c>
      <c r="D166" s="53" t="s">
        <v>35</v>
      </c>
      <c r="E166" s="53" t="b">
        <v>1</v>
      </c>
      <c r="F166" s="53" t="s">
        <v>364</v>
      </c>
      <c r="H166" s="54">
        <v>46119</v>
      </c>
    </row>
    <row r="167" spans="1:8" x14ac:dyDescent="0.45">
      <c r="A167" s="53">
        <v>1352</v>
      </c>
      <c r="B167" s="53" t="s">
        <v>450</v>
      </c>
      <c r="C167" s="53" t="s">
        <v>37</v>
      </c>
      <c r="D167" s="53" t="s">
        <v>35</v>
      </c>
      <c r="E167" s="53" t="b">
        <v>0</v>
      </c>
      <c r="F167" s="53" t="s">
        <v>363</v>
      </c>
      <c r="G167" s="53">
        <v>11</v>
      </c>
      <c r="H167" s="54">
        <v>46119</v>
      </c>
    </row>
    <row r="168" spans="1:8" x14ac:dyDescent="0.45">
      <c r="A168" s="53">
        <v>1339</v>
      </c>
      <c r="B168" s="53" t="s">
        <v>300</v>
      </c>
      <c r="C168" s="53" t="s">
        <v>301</v>
      </c>
      <c r="D168" s="53" t="s">
        <v>35</v>
      </c>
      <c r="E168" s="53" t="b">
        <v>0</v>
      </c>
      <c r="F168" s="53" t="s">
        <v>364</v>
      </c>
      <c r="H168" s="54">
        <v>46119</v>
      </c>
    </row>
    <row r="169" spans="1:8" x14ac:dyDescent="0.45">
      <c r="A169" s="53">
        <v>914</v>
      </c>
      <c r="B169" s="53" t="s">
        <v>302</v>
      </c>
      <c r="C169" s="53" t="s">
        <v>199</v>
      </c>
      <c r="D169" s="53" t="s">
        <v>35</v>
      </c>
      <c r="E169" s="53" t="b">
        <v>0</v>
      </c>
      <c r="F169" s="53" t="s">
        <v>363</v>
      </c>
      <c r="G169" s="53">
        <v>14</v>
      </c>
      <c r="H169" s="54">
        <v>46119</v>
      </c>
    </row>
    <row r="170" spans="1:8" x14ac:dyDescent="0.45">
      <c r="A170" s="53">
        <v>597</v>
      </c>
      <c r="B170" s="53" t="s">
        <v>298</v>
      </c>
      <c r="C170" s="53" t="s">
        <v>299</v>
      </c>
      <c r="D170" s="53" t="s">
        <v>35</v>
      </c>
      <c r="E170" s="53" t="b">
        <v>0</v>
      </c>
      <c r="F170" s="53" t="s">
        <v>363</v>
      </c>
      <c r="G170" s="53">
        <v>36</v>
      </c>
      <c r="H170" s="54">
        <v>46119</v>
      </c>
    </row>
    <row r="171" spans="1:8" x14ac:dyDescent="0.45">
      <c r="A171" s="53">
        <v>1038</v>
      </c>
      <c r="B171" s="53" t="s">
        <v>302</v>
      </c>
      <c r="C171" s="53" t="s">
        <v>51</v>
      </c>
      <c r="D171" s="53" t="s">
        <v>35</v>
      </c>
      <c r="E171" s="53" t="b">
        <v>0</v>
      </c>
      <c r="F171" s="53" t="s">
        <v>363</v>
      </c>
      <c r="G171" s="53">
        <v>12</v>
      </c>
      <c r="H171" s="54">
        <v>46119</v>
      </c>
    </row>
    <row r="172" spans="1:8" x14ac:dyDescent="0.45">
      <c r="A172" s="53">
        <v>1242</v>
      </c>
      <c r="B172" s="53" t="s">
        <v>303</v>
      </c>
      <c r="C172" s="53" t="s">
        <v>231</v>
      </c>
      <c r="D172" s="53" t="s">
        <v>35</v>
      </c>
      <c r="E172" s="53" t="b">
        <v>0</v>
      </c>
      <c r="F172" s="53" t="s">
        <v>363</v>
      </c>
      <c r="G172" s="53">
        <v>15</v>
      </c>
      <c r="H172" s="54">
        <v>46119</v>
      </c>
    </row>
    <row r="173" spans="1:8" x14ac:dyDescent="0.45">
      <c r="A173" s="53">
        <v>1048</v>
      </c>
      <c r="B173" s="53" t="s">
        <v>304</v>
      </c>
      <c r="C173" s="53" t="s">
        <v>63</v>
      </c>
      <c r="D173" s="53" t="s">
        <v>35</v>
      </c>
      <c r="E173" s="53" t="b">
        <v>0</v>
      </c>
      <c r="F173" s="53" t="s">
        <v>363</v>
      </c>
      <c r="G173" s="53">
        <v>16</v>
      </c>
      <c r="H173" s="54">
        <v>46119</v>
      </c>
    </row>
    <row r="174" spans="1:8" x14ac:dyDescent="0.45">
      <c r="A174" s="53">
        <v>1055</v>
      </c>
      <c r="B174" s="53" t="s">
        <v>304</v>
      </c>
      <c r="C174" s="53" t="s">
        <v>305</v>
      </c>
      <c r="D174" s="53" t="s">
        <v>35</v>
      </c>
      <c r="E174" s="53" t="b">
        <v>0</v>
      </c>
      <c r="F174" s="53" t="s">
        <v>363</v>
      </c>
      <c r="G174" s="53">
        <v>1</v>
      </c>
      <c r="H174" s="54">
        <v>46119</v>
      </c>
    </row>
    <row r="175" spans="1:8" x14ac:dyDescent="0.45">
      <c r="A175" s="53">
        <v>820</v>
      </c>
      <c r="B175" s="53" t="s">
        <v>304</v>
      </c>
      <c r="C175" s="53" t="s">
        <v>187</v>
      </c>
      <c r="D175" s="53" t="s">
        <v>35</v>
      </c>
      <c r="E175" s="53" t="b">
        <v>1</v>
      </c>
      <c r="F175" s="53" t="s">
        <v>363</v>
      </c>
      <c r="G175" s="53">
        <v>6</v>
      </c>
      <c r="H175" s="54">
        <v>46119</v>
      </c>
    </row>
    <row r="176" spans="1:8" x14ac:dyDescent="0.45">
      <c r="A176" s="53">
        <v>687</v>
      </c>
      <c r="B176" s="53" t="s">
        <v>304</v>
      </c>
      <c r="C176" s="53" t="s">
        <v>306</v>
      </c>
      <c r="D176" s="53" t="s">
        <v>35</v>
      </c>
      <c r="E176" s="53" t="b">
        <v>0</v>
      </c>
      <c r="F176" s="53" t="s">
        <v>363</v>
      </c>
      <c r="G176" s="53">
        <v>7</v>
      </c>
      <c r="H176" s="54">
        <v>46119</v>
      </c>
    </row>
    <row r="177" spans="1:8" x14ac:dyDescent="0.45">
      <c r="A177" s="53">
        <v>1420</v>
      </c>
      <c r="B177" s="53" t="s">
        <v>506</v>
      </c>
      <c r="C177" s="53" t="s">
        <v>249</v>
      </c>
      <c r="D177" s="53" t="s">
        <v>35</v>
      </c>
      <c r="E177" s="53" t="b">
        <v>1</v>
      </c>
      <c r="F177" s="53" t="s">
        <v>363</v>
      </c>
      <c r="G177" s="53">
        <v>15</v>
      </c>
      <c r="H177" s="54">
        <v>46119</v>
      </c>
    </row>
    <row r="178" spans="1:8" x14ac:dyDescent="0.45">
      <c r="A178" s="53">
        <v>1410</v>
      </c>
      <c r="B178" s="53" t="s">
        <v>163</v>
      </c>
      <c r="C178" s="53" t="s">
        <v>412</v>
      </c>
      <c r="D178" s="53" t="s">
        <v>35</v>
      </c>
      <c r="E178" s="53" t="b">
        <v>0</v>
      </c>
      <c r="F178" s="53" t="s">
        <v>364</v>
      </c>
      <c r="H178" s="54">
        <v>46119</v>
      </c>
    </row>
    <row r="179" spans="1:8" x14ac:dyDescent="0.45">
      <c r="A179" s="53">
        <v>1161</v>
      </c>
      <c r="B179" s="53" t="s">
        <v>307</v>
      </c>
      <c r="C179" s="53" t="s">
        <v>308</v>
      </c>
      <c r="D179" s="53" t="s">
        <v>35</v>
      </c>
      <c r="E179" s="53" t="b">
        <v>0</v>
      </c>
      <c r="F179" s="53" t="s">
        <v>364</v>
      </c>
      <c r="H179" s="54">
        <v>46119</v>
      </c>
    </row>
    <row r="180" spans="1:8" x14ac:dyDescent="0.45">
      <c r="A180" s="53">
        <v>890</v>
      </c>
      <c r="B180" s="53" t="s">
        <v>309</v>
      </c>
      <c r="C180" s="53" t="s">
        <v>310</v>
      </c>
      <c r="D180" s="53" t="s">
        <v>138</v>
      </c>
      <c r="E180" s="53" t="b">
        <v>0</v>
      </c>
      <c r="F180" s="53" t="s">
        <v>363</v>
      </c>
      <c r="G180" s="53">
        <v>23</v>
      </c>
      <c r="H180" s="54">
        <v>46119</v>
      </c>
    </row>
    <row r="181" spans="1:8" x14ac:dyDescent="0.45">
      <c r="A181" s="53">
        <v>45</v>
      </c>
      <c r="B181" s="53" t="s">
        <v>311</v>
      </c>
      <c r="C181" s="53" t="s">
        <v>312</v>
      </c>
      <c r="D181" s="53" t="s">
        <v>35</v>
      </c>
      <c r="E181" s="53" t="b">
        <v>0</v>
      </c>
      <c r="F181" s="53" t="s">
        <v>363</v>
      </c>
      <c r="G181" s="53">
        <v>20</v>
      </c>
      <c r="H181" s="54">
        <v>46119</v>
      </c>
    </row>
    <row r="182" spans="1:8" x14ac:dyDescent="0.45">
      <c r="A182" s="53">
        <v>1160</v>
      </c>
      <c r="B182" s="53" t="s">
        <v>262</v>
      </c>
      <c r="C182" s="53" t="s">
        <v>313</v>
      </c>
      <c r="D182" s="53" t="s">
        <v>35</v>
      </c>
      <c r="E182" s="53" t="b">
        <v>0</v>
      </c>
      <c r="F182" s="53" t="s">
        <v>364</v>
      </c>
      <c r="H182" s="54">
        <v>46119</v>
      </c>
    </row>
    <row r="183" spans="1:8" x14ac:dyDescent="0.45">
      <c r="A183" s="53">
        <v>945</v>
      </c>
      <c r="B183" s="53" t="s">
        <v>314</v>
      </c>
      <c r="C183" s="53" t="s">
        <v>49</v>
      </c>
      <c r="D183" s="53" t="s">
        <v>35</v>
      </c>
      <c r="E183" s="53" t="b">
        <v>0</v>
      </c>
      <c r="F183" s="53" t="s">
        <v>364</v>
      </c>
      <c r="H183" s="54">
        <v>46119</v>
      </c>
    </row>
    <row r="184" spans="1:8" x14ac:dyDescent="0.45">
      <c r="A184" s="53">
        <v>813</v>
      </c>
      <c r="B184" s="53" t="s">
        <v>314</v>
      </c>
      <c r="C184" s="53" t="s">
        <v>297</v>
      </c>
      <c r="D184" s="53" t="s">
        <v>35</v>
      </c>
      <c r="E184" s="53" t="b">
        <v>1</v>
      </c>
      <c r="F184" s="53" t="s">
        <v>363</v>
      </c>
      <c r="G184" s="53">
        <v>7</v>
      </c>
      <c r="H184" s="54">
        <v>46119</v>
      </c>
    </row>
    <row r="185" spans="1:8" x14ac:dyDescent="0.45">
      <c r="A185" s="53">
        <v>812</v>
      </c>
      <c r="B185" s="53" t="s">
        <v>314</v>
      </c>
      <c r="C185" s="53" t="s">
        <v>315</v>
      </c>
      <c r="D185" s="53" t="s">
        <v>35</v>
      </c>
      <c r="E185" s="53" t="b">
        <v>0</v>
      </c>
      <c r="F185" s="53" t="s">
        <v>363</v>
      </c>
      <c r="G185" s="53">
        <v>9</v>
      </c>
      <c r="H185" s="54">
        <v>46119</v>
      </c>
    </row>
    <row r="186" spans="1:8" x14ac:dyDescent="0.45">
      <c r="A186" s="53">
        <v>1129</v>
      </c>
      <c r="B186" s="53" t="s">
        <v>316</v>
      </c>
      <c r="C186" s="53" t="s">
        <v>317</v>
      </c>
      <c r="D186" s="53" t="s">
        <v>35</v>
      </c>
      <c r="E186" s="53" t="b">
        <v>0</v>
      </c>
      <c r="F186" s="53" t="s">
        <v>363</v>
      </c>
      <c r="G186" s="53">
        <v>12</v>
      </c>
      <c r="H186" s="54">
        <v>46119</v>
      </c>
    </row>
    <row r="187" spans="1:8" x14ac:dyDescent="0.45">
      <c r="A187" s="53">
        <v>915</v>
      </c>
      <c r="B187" s="53" t="s">
        <v>505</v>
      </c>
      <c r="C187" s="53" t="s">
        <v>264</v>
      </c>
      <c r="D187" s="53" t="s">
        <v>35</v>
      </c>
      <c r="E187" s="53" t="b">
        <v>0</v>
      </c>
      <c r="F187" s="53" t="s">
        <v>363</v>
      </c>
      <c r="G187" s="53">
        <v>8</v>
      </c>
      <c r="H187" s="54">
        <v>46119</v>
      </c>
    </row>
    <row r="188" spans="1:8" x14ac:dyDescent="0.45">
      <c r="A188" s="53">
        <v>860</v>
      </c>
      <c r="B188" s="53" t="s">
        <v>319</v>
      </c>
      <c r="C188" s="53" t="s">
        <v>320</v>
      </c>
      <c r="D188" s="53" t="s">
        <v>35</v>
      </c>
      <c r="E188" s="53" t="b">
        <v>1</v>
      </c>
      <c r="F188" s="53" t="s">
        <v>364</v>
      </c>
      <c r="H188" s="54">
        <v>46119</v>
      </c>
    </row>
    <row r="189" spans="1:8" x14ac:dyDescent="0.45">
      <c r="A189" s="53">
        <v>756</v>
      </c>
      <c r="B189" s="53" t="s">
        <v>319</v>
      </c>
      <c r="C189" s="53" t="s">
        <v>321</v>
      </c>
      <c r="D189" s="53" t="s">
        <v>35</v>
      </c>
      <c r="E189" s="53" t="b">
        <v>0</v>
      </c>
      <c r="F189" s="53" t="s">
        <v>364</v>
      </c>
      <c r="H189" s="54">
        <v>46119</v>
      </c>
    </row>
    <row r="190" spans="1:8" x14ac:dyDescent="0.45">
      <c r="A190" s="53">
        <v>407</v>
      </c>
      <c r="B190" s="53" t="s">
        <v>319</v>
      </c>
      <c r="C190" s="53" t="s">
        <v>322</v>
      </c>
      <c r="D190" s="53" t="s">
        <v>35</v>
      </c>
      <c r="E190" s="53" t="b">
        <v>0</v>
      </c>
      <c r="F190" s="53" t="s">
        <v>363</v>
      </c>
      <c r="G190" s="53">
        <v>5</v>
      </c>
      <c r="H190" s="54">
        <v>46119</v>
      </c>
    </row>
    <row r="191" spans="1:8" x14ac:dyDescent="0.45">
      <c r="A191" s="53">
        <v>1312</v>
      </c>
      <c r="B191" s="53" t="s">
        <v>323</v>
      </c>
      <c r="C191" s="53" t="s">
        <v>295</v>
      </c>
      <c r="D191" s="53" t="s">
        <v>35</v>
      </c>
      <c r="E191" s="53" t="b">
        <v>1</v>
      </c>
      <c r="F191" s="53" t="s">
        <v>363</v>
      </c>
      <c r="G191" s="53">
        <v>35</v>
      </c>
      <c r="H191" s="54">
        <v>46119</v>
      </c>
    </row>
    <row r="192" spans="1:8" x14ac:dyDescent="0.45">
      <c r="A192" s="53">
        <v>935</v>
      </c>
      <c r="B192" s="53" t="s">
        <v>324</v>
      </c>
      <c r="C192" s="53" t="s">
        <v>268</v>
      </c>
      <c r="D192" s="53" t="s">
        <v>35</v>
      </c>
      <c r="E192" s="53" t="b">
        <v>1</v>
      </c>
      <c r="F192" s="53" t="s">
        <v>364</v>
      </c>
      <c r="H192" s="54">
        <v>46119</v>
      </c>
    </row>
    <row r="193" spans="1:8" x14ac:dyDescent="0.45">
      <c r="A193" s="53">
        <v>999</v>
      </c>
      <c r="B193" s="53" t="s">
        <v>324</v>
      </c>
      <c r="C193" s="53" t="s">
        <v>325</v>
      </c>
      <c r="D193" s="53" t="s">
        <v>35</v>
      </c>
      <c r="E193" s="53" t="b">
        <v>1</v>
      </c>
      <c r="F193" s="53" t="s">
        <v>364</v>
      </c>
      <c r="H193" s="54">
        <v>46119</v>
      </c>
    </row>
    <row r="194" spans="1:8" x14ac:dyDescent="0.45">
      <c r="A194" s="53">
        <v>998</v>
      </c>
      <c r="B194" s="53" t="s">
        <v>324</v>
      </c>
      <c r="C194" s="53" t="s">
        <v>326</v>
      </c>
      <c r="D194" s="53" t="s">
        <v>35</v>
      </c>
      <c r="E194" s="53" t="b">
        <v>1</v>
      </c>
      <c r="F194" s="53" t="s">
        <v>363</v>
      </c>
      <c r="G194" s="53">
        <v>5</v>
      </c>
      <c r="H194" s="54">
        <v>46119</v>
      </c>
    </row>
    <row r="195" spans="1:8" x14ac:dyDescent="0.45">
      <c r="A195" s="53">
        <v>616</v>
      </c>
      <c r="B195" s="53" t="s">
        <v>324</v>
      </c>
      <c r="C195" s="53" t="s">
        <v>43</v>
      </c>
      <c r="D195" s="53" t="s">
        <v>35</v>
      </c>
      <c r="E195" s="53" t="b">
        <v>0</v>
      </c>
      <c r="F195" s="53" t="s">
        <v>363</v>
      </c>
      <c r="G195" s="53">
        <v>7</v>
      </c>
      <c r="H195" s="54">
        <v>46119</v>
      </c>
    </row>
    <row r="196" spans="1:8" x14ac:dyDescent="0.45">
      <c r="A196" s="53">
        <v>558</v>
      </c>
      <c r="B196" s="53" t="s">
        <v>327</v>
      </c>
      <c r="C196" s="53" t="s">
        <v>41</v>
      </c>
      <c r="D196" s="53" t="s">
        <v>35</v>
      </c>
      <c r="E196" s="53" t="b">
        <v>0</v>
      </c>
      <c r="F196" s="53" t="s">
        <v>363</v>
      </c>
      <c r="G196" s="53">
        <v>15</v>
      </c>
      <c r="H196" s="54">
        <v>46119</v>
      </c>
    </row>
    <row r="197" spans="1:8" x14ac:dyDescent="0.45">
      <c r="A197" s="53">
        <v>991</v>
      </c>
      <c r="B197" s="53" t="s">
        <v>444</v>
      </c>
      <c r="C197" s="53" t="s">
        <v>226</v>
      </c>
      <c r="D197" s="53" t="s">
        <v>35</v>
      </c>
      <c r="E197" s="53" t="b">
        <v>1</v>
      </c>
      <c r="F197" s="53" t="s">
        <v>365</v>
      </c>
      <c r="H197" s="54">
        <v>46119</v>
      </c>
    </row>
    <row r="198" spans="1:8" x14ac:dyDescent="0.45">
      <c r="A198" s="53">
        <v>359</v>
      </c>
      <c r="B198" s="53" t="s">
        <v>328</v>
      </c>
      <c r="C198" s="53" t="s">
        <v>28</v>
      </c>
      <c r="D198" s="53" t="s">
        <v>35</v>
      </c>
      <c r="E198" s="53" t="b">
        <v>0</v>
      </c>
      <c r="F198" s="53" t="s">
        <v>363</v>
      </c>
      <c r="G198" s="53">
        <v>24</v>
      </c>
      <c r="H198" s="54">
        <v>46119</v>
      </c>
    </row>
    <row r="199" spans="1:8" x14ac:dyDescent="0.45">
      <c r="A199" s="53">
        <v>1310</v>
      </c>
      <c r="B199" s="53" t="s">
        <v>329</v>
      </c>
      <c r="C199" s="53" t="s">
        <v>262</v>
      </c>
      <c r="D199" s="53" t="s">
        <v>35</v>
      </c>
      <c r="E199" s="53" t="b">
        <v>0</v>
      </c>
      <c r="F199" s="53" t="s">
        <v>364</v>
      </c>
      <c r="H199" s="54">
        <v>46119</v>
      </c>
    </row>
    <row r="200" spans="1:8" x14ac:dyDescent="0.45">
      <c r="A200" s="53">
        <v>1254</v>
      </c>
      <c r="B200" s="53" t="s">
        <v>504</v>
      </c>
      <c r="C200" s="53" t="s">
        <v>51</v>
      </c>
      <c r="D200" s="53" t="s">
        <v>35</v>
      </c>
      <c r="E200" s="53" t="b">
        <v>0</v>
      </c>
      <c r="F200" s="53" t="s">
        <v>363</v>
      </c>
      <c r="G200" s="53">
        <v>21</v>
      </c>
      <c r="H200" s="54">
        <v>46119</v>
      </c>
    </row>
    <row r="201" spans="1:8" x14ac:dyDescent="0.45">
      <c r="A201" s="53">
        <v>1200</v>
      </c>
      <c r="B201" s="53" t="s">
        <v>331</v>
      </c>
      <c r="C201" s="53" t="s">
        <v>332</v>
      </c>
      <c r="D201" s="53" t="s">
        <v>35</v>
      </c>
      <c r="E201" s="53" t="b">
        <v>0</v>
      </c>
      <c r="F201" s="53" t="s">
        <v>363</v>
      </c>
      <c r="G201" s="53">
        <v>6</v>
      </c>
      <c r="H201" s="54">
        <v>46119</v>
      </c>
    </row>
    <row r="202" spans="1:8" x14ac:dyDescent="0.45">
      <c r="A202" s="53">
        <v>1411</v>
      </c>
      <c r="B202" s="53" t="s">
        <v>331</v>
      </c>
      <c r="C202" s="53" t="s">
        <v>69</v>
      </c>
      <c r="D202" s="53" t="s">
        <v>35</v>
      </c>
      <c r="E202" s="53" t="b">
        <v>1</v>
      </c>
      <c r="F202" s="53" t="s">
        <v>363</v>
      </c>
      <c r="G202" s="53">
        <v>3</v>
      </c>
      <c r="H202" s="54">
        <v>46119</v>
      </c>
    </row>
    <row r="203" spans="1:8" x14ac:dyDescent="0.45">
      <c r="A203" s="53">
        <v>1412</v>
      </c>
      <c r="B203" s="53" t="s">
        <v>331</v>
      </c>
      <c r="C203" s="53" t="s">
        <v>411</v>
      </c>
      <c r="D203" s="53" t="s">
        <v>35</v>
      </c>
      <c r="E203" s="53" t="b">
        <v>1</v>
      </c>
      <c r="F203" s="53" t="s">
        <v>366</v>
      </c>
      <c r="H203" s="54">
        <v>46119</v>
      </c>
    </row>
    <row r="204" spans="1:8" x14ac:dyDescent="0.45">
      <c r="A204" s="53">
        <v>1413</v>
      </c>
      <c r="B204" s="53" t="s">
        <v>331</v>
      </c>
      <c r="C204" s="53" t="s">
        <v>410</v>
      </c>
      <c r="D204" s="53" t="s">
        <v>35</v>
      </c>
      <c r="E204" s="53" t="b">
        <v>0</v>
      </c>
      <c r="F204" s="53" t="s">
        <v>366</v>
      </c>
      <c r="H204" s="54">
        <v>46119</v>
      </c>
    </row>
    <row r="205" spans="1:8" x14ac:dyDescent="0.45">
      <c r="A205" s="53">
        <v>1376</v>
      </c>
      <c r="B205" s="53" t="s">
        <v>233</v>
      </c>
      <c r="C205" s="53" t="s">
        <v>185</v>
      </c>
      <c r="D205" s="53" t="s">
        <v>35</v>
      </c>
      <c r="E205" s="53" t="b">
        <v>1</v>
      </c>
      <c r="F205" s="53" t="s">
        <v>364</v>
      </c>
      <c r="H205" s="54">
        <v>46119</v>
      </c>
    </row>
    <row r="206" spans="1:8" x14ac:dyDescent="0.45">
      <c r="A206" s="53">
        <v>1140</v>
      </c>
      <c r="B206" s="53" t="s">
        <v>333</v>
      </c>
      <c r="C206" s="53" t="s">
        <v>266</v>
      </c>
      <c r="D206" s="53" t="s">
        <v>35</v>
      </c>
      <c r="E206" s="53" t="b">
        <v>0</v>
      </c>
      <c r="F206" s="53" t="s">
        <v>364</v>
      </c>
      <c r="H206" s="54">
        <v>46119</v>
      </c>
    </row>
    <row r="207" spans="1:8" x14ac:dyDescent="0.45">
      <c r="A207" s="53">
        <v>989</v>
      </c>
      <c r="B207" s="53" t="s">
        <v>334</v>
      </c>
      <c r="C207" s="53" t="s">
        <v>73</v>
      </c>
      <c r="D207" s="53" t="s">
        <v>35</v>
      </c>
      <c r="E207" s="53" t="b">
        <v>0</v>
      </c>
      <c r="F207" s="53" t="s">
        <v>363</v>
      </c>
      <c r="G207" s="53">
        <v>3</v>
      </c>
      <c r="H207" s="54">
        <v>46119</v>
      </c>
    </row>
    <row r="208" spans="1:8" x14ac:dyDescent="0.45">
      <c r="A208" s="53">
        <v>1417</v>
      </c>
      <c r="B208" s="53" t="s">
        <v>335</v>
      </c>
      <c r="C208" s="53" t="s">
        <v>443</v>
      </c>
      <c r="D208" s="53" t="s">
        <v>35</v>
      </c>
      <c r="E208" s="53" t="b">
        <v>1</v>
      </c>
      <c r="F208" s="53" t="s">
        <v>363</v>
      </c>
      <c r="G208" s="53">
        <v>17</v>
      </c>
      <c r="H208" s="54">
        <v>46119</v>
      </c>
    </row>
    <row r="209" spans="1:8" x14ac:dyDescent="0.45">
      <c r="A209" s="53">
        <v>52</v>
      </c>
      <c r="B209" s="53" t="s">
        <v>338</v>
      </c>
      <c r="C209" s="53" t="s">
        <v>233</v>
      </c>
      <c r="D209" s="53" t="s">
        <v>35</v>
      </c>
      <c r="E209" s="53" t="b">
        <v>0</v>
      </c>
      <c r="F209" s="53" t="s">
        <v>364</v>
      </c>
      <c r="H209" s="54">
        <v>46119</v>
      </c>
    </row>
    <row r="210" spans="1:8" x14ac:dyDescent="0.45">
      <c r="A210" s="53">
        <v>62</v>
      </c>
      <c r="B210" s="53" t="s">
        <v>335</v>
      </c>
      <c r="C210" s="53" t="s">
        <v>30</v>
      </c>
      <c r="D210" s="53" t="s">
        <v>35</v>
      </c>
      <c r="E210" s="53" t="b">
        <v>0</v>
      </c>
      <c r="F210" s="53" t="s">
        <v>363</v>
      </c>
      <c r="G210" s="53">
        <v>4</v>
      </c>
      <c r="H210" s="54">
        <v>46119</v>
      </c>
    </row>
    <row r="211" spans="1:8" x14ac:dyDescent="0.45">
      <c r="A211" s="53">
        <v>930</v>
      </c>
      <c r="B211" s="53" t="s">
        <v>336</v>
      </c>
      <c r="C211" s="53" t="s">
        <v>337</v>
      </c>
      <c r="D211" s="53" t="s">
        <v>35</v>
      </c>
      <c r="E211" s="53" t="b">
        <v>1</v>
      </c>
      <c r="F211" s="53" t="s">
        <v>363</v>
      </c>
      <c r="G211" s="53">
        <v>6</v>
      </c>
      <c r="H211" s="54">
        <v>46119</v>
      </c>
    </row>
    <row r="212" spans="1:8" x14ac:dyDescent="0.45">
      <c r="A212" s="53">
        <v>744</v>
      </c>
      <c r="B212" s="53" t="s">
        <v>339</v>
      </c>
      <c r="C212" s="53" t="s">
        <v>340</v>
      </c>
      <c r="D212" s="53" t="s">
        <v>35</v>
      </c>
      <c r="E212" s="53" t="b">
        <v>0</v>
      </c>
      <c r="F212" s="53" t="s">
        <v>363</v>
      </c>
      <c r="G212" s="53">
        <v>28</v>
      </c>
      <c r="H212" s="54">
        <v>46119</v>
      </c>
    </row>
    <row r="213" spans="1:8" x14ac:dyDescent="0.45">
      <c r="A213" s="53">
        <v>337</v>
      </c>
      <c r="B213" s="53" t="s">
        <v>341</v>
      </c>
      <c r="C213" s="53" t="s">
        <v>224</v>
      </c>
      <c r="D213" s="53" t="s">
        <v>35</v>
      </c>
      <c r="E213" s="53" t="b">
        <v>1</v>
      </c>
      <c r="F213" s="53" t="s">
        <v>363</v>
      </c>
      <c r="G213" s="53">
        <v>21</v>
      </c>
      <c r="H213" s="54">
        <v>46119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38D95-B793-402C-AFD5-5163D1BA8DD7}">
  <dimension ref="A1:H214"/>
  <sheetViews>
    <sheetView topLeftCell="A188" workbookViewId="0">
      <selection activeCell="G221" sqref="G221"/>
    </sheetView>
  </sheetViews>
  <sheetFormatPr defaultRowHeight="14.25" x14ac:dyDescent="0.45"/>
  <cols>
    <col min="1" max="7" width="9.06640625" style="55"/>
    <col min="8" max="8" width="10.19921875" style="55" bestFit="1" customWidth="1"/>
    <col min="9" max="16384" width="9.06640625" style="55"/>
  </cols>
  <sheetData>
    <row r="1" spans="1:8" x14ac:dyDescent="0.45">
      <c r="A1" s="55" t="s">
        <v>143</v>
      </c>
      <c r="B1" s="55" t="s">
        <v>26</v>
      </c>
      <c r="C1" s="55" t="s">
        <v>144</v>
      </c>
      <c r="D1" s="55" t="s">
        <v>142</v>
      </c>
      <c r="E1" s="55" t="s">
        <v>141</v>
      </c>
      <c r="F1" s="55" t="s">
        <v>361</v>
      </c>
      <c r="G1" s="55" t="s">
        <v>362</v>
      </c>
      <c r="H1" s="55" t="s">
        <v>318</v>
      </c>
    </row>
    <row r="2" spans="1:8" x14ac:dyDescent="0.45">
      <c r="A2" s="55">
        <v>1327</v>
      </c>
      <c r="B2" s="55" t="s">
        <v>27</v>
      </c>
      <c r="C2" s="55" t="s">
        <v>29</v>
      </c>
      <c r="D2" s="55" t="s">
        <v>35</v>
      </c>
      <c r="E2" s="55" t="b">
        <v>0</v>
      </c>
      <c r="F2" s="55" t="s">
        <v>364</v>
      </c>
      <c r="H2" s="56">
        <v>46119</v>
      </c>
    </row>
    <row r="3" spans="1:8" x14ac:dyDescent="0.45">
      <c r="A3" s="55">
        <v>1237</v>
      </c>
      <c r="B3" s="55" t="s">
        <v>27</v>
      </c>
      <c r="C3" s="55" t="s">
        <v>28</v>
      </c>
      <c r="D3" s="55" t="s">
        <v>35</v>
      </c>
      <c r="E3" s="55" t="b">
        <v>0</v>
      </c>
      <c r="F3" s="55" t="s">
        <v>363</v>
      </c>
      <c r="G3" s="55">
        <v>1</v>
      </c>
      <c r="H3" s="56">
        <v>46119</v>
      </c>
    </row>
    <row r="4" spans="1:8" x14ac:dyDescent="0.45">
      <c r="A4" s="55">
        <v>819</v>
      </c>
      <c r="B4" s="55" t="s">
        <v>31</v>
      </c>
      <c r="C4" s="55" t="s">
        <v>32</v>
      </c>
      <c r="D4" s="55" t="s">
        <v>35</v>
      </c>
      <c r="E4" s="55" t="b">
        <v>1</v>
      </c>
      <c r="F4" s="55" t="s">
        <v>363</v>
      </c>
      <c r="G4" s="55">
        <v>23</v>
      </c>
      <c r="H4" s="56">
        <v>46119</v>
      </c>
    </row>
    <row r="5" spans="1:8" x14ac:dyDescent="0.45">
      <c r="A5" s="55">
        <v>2</v>
      </c>
      <c r="B5" s="55" t="s">
        <v>33</v>
      </c>
      <c r="C5" s="55" t="s">
        <v>34</v>
      </c>
      <c r="D5" s="55" t="s">
        <v>35</v>
      </c>
      <c r="E5" s="55" t="b">
        <v>0</v>
      </c>
      <c r="F5" s="55" t="s">
        <v>363</v>
      </c>
      <c r="G5" s="55">
        <v>21</v>
      </c>
      <c r="H5" s="56">
        <v>46119</v>
      </c>
    </row>
    <row r="6" spans="1:8" x14ac:dyDescent="0.45">
      <c r="A6" s="55">
        <v>1370</v>
      </c>
      <c r="B6" s="55" t="s">
        <v>36</v>
      </c>
      <c r="C6" s="55" t="s">
        <v>37</v>
      </c>
      <c r="D6" s="55" t="s">
        <v>35</v>
      </c>
      <c r="E6" s="55" t="b">
        <v>0</v>
      </c>
      <c r="F6" s="55" t="s">
        <v>363</v>
      </c>
      <c r="G6" s="55">
        <v>4</v>
      </c>
      <c r="H6" s="56">
        <v>46119</v>
      </c>
    </row>
    <row r="7" spans="1:8" x14ac:dyDescent="0.45">
      <c r="A7" s="55">
        <v>1415</v>
      </c>
      <c r="B7" s="55" t="s">
        <v>36</v>
      </c>
      <c r="C7" s="55" t="s">
        <v>29</v>
      </c>
      <c r="D7" s="55" t="s">
        <v>35</v>
      </c>
      <c r="E7" s="55" t="b">
        <v>0</v>
      </c>
      <c r="F7" s="55" t="s">
        <v>365</v>
      </c>
      <c r="H7" s="56">
        <v>46119</v>
      </c>
    </row>
    <row r="8" spans="1:8" x14ac:dyDescent="0.45">
      <c r="A8" s="55">
        <v>1286</v>
      </c>
      <c r="B8" s="55" t="s">
        <v>38</v>
      </c>
      <c r="C8" s="55" t="s">
        <v>37</v>
      </c>
      <c r="D8" s="55" t="s">
        <v>35</v>
      </c>
      <c r="E8" s="55" t="b">
        <v>0</v>
      </c>
      <c r="F8" s="55" t="s">
        <v>363</v>
      </c>
      <c r="G8" s="55">
        <v>13</v>
      </c>
      <c r="H8" s="56">
        <v>46119</v>
      </c>
    </row>
    <row r="9" spans="1:8" x14ac:dyDescent="0.45">
      <c r="A9" s="55">
        <v>1381</v>
      </c>
      <c r="B9" s="55" t="s">
        <v>38</v>
      </c>
      <c r="C9" s="55" t="s">
        <v>39</v>
      </c>
      <c r="D9" s="55" t="s">
        <v>35</v>
      </c>
      <c r="E9" s="55" t="b">
        <v>0</v>
      </c>
      <c r="F9" s="55" t="s">
        <v>364</v>
      </c>
      <c r="H9" s="56">
        <v>46119</v>
      </c>
    </row>
    <row r="10" spans="1:8" x14ac:dyDescent="0.45">
      <c r="A10" s="55">
        <v>1112</v>
      </c>
      <c r="B10" s="55" t="s">
        <v>449</v>
      </c>
      <c r="C10" s="55" t="s">
        <v>448</v>
      </c>
      <c r="D10" s="55" t="s">
        <v>35</v>
      </c>
      <c r="E10" s="55" t="b">
        <v>0</v>
      </c>
      <c r="F10" s="55" t="s">
        <v>363</v>
      </c>
      <c r="G10" s="55">
        <v>16</v>
      </c>
      <c r="H10" s="56">
        <v>46119</v>
      </c>
    </row>
    <row r="11" spans="1:8" x14ac:dyDescent="0.45">
      <c r="A11" s="55">
        <v>1135</v>
      </c>
      <c r="B11" s="55" t="s">
        <v>42</v>
      </c>
      <c r="C11" s="55" t="s">
        <v>43</v>
      </c>
      <c r="D11" s="55" t="s">
        <v>35</v>
      </c>
      <c r="E11" s="55" t="b">
        <v>0</v>
      </c>
      <c r="F11" s="55" t="s">
        <v>363</v>
      </c>
      <c r="G11" s="55">
        <v>1</v>
      </c>
      <c r="H11" s="56">
        <v>46119</v>
      </c>
    </row>
    <row r="12" spans="1:8" x14ac:dyDescent="0.45">
      <c r="A12" s="55">
        <v>982</v>
      </c>
      <c r="B12" s="55" t="s">
        <v>442</v>
      </c>
      <c r="C12" s="55" t="s">
        <v>34</v>
      </c>
      <c r="D12" s="55" t="s">
        <v>35</v>
      </c>
      <c r="E12" s="55" t="b">
        <v>0</v>
      </c>
      <c r="F12" s="55" t="s">
        <v>363</v>
      </c>
      <c r="G12" s="55">
        <v>22</v>
      </c>
      <c r="H12" s="56">
        <v>46119</v>
      </c>
    </row>
    <row r="13" spans="1:8" x14ac:dyDescent="0.45">
      <c r="A13" s="55">
        <v>1328</v>
      </c>
      <c r="B13" s="55" t="s">
        <v>140</v>
      </c>
      <c r="C13" s="55" t="s">
        <v>44</v>
      </c>
      <c r="D13" s="55" t="s">
        <v>35</v>
      </c>
      <c r="E13" s="55" t="b">
        <v>0</v>
      </c>
      <c r="F13" s="55" t="s">
        <v>363</v>
      </c>
      <c r="G13" s="55">
        <v>4</v>
      </c>
      <c r="H13" s="56">
        <v>46119</v>
      </c>
    </row>
    <row r="14" spans="1:8" x14ac:dyDescent="0.45">
      <c r="A14" s="55">
        <v>369</v>
      </c>
      <c r="B14" s="55" t="s">
        <v>45</v>
      </c>
      <c r="C14" s="55" t="s">
        <v>46</v>
      </c>
      <c r="D14" s="55" t="s">
        <v>35</v>
      </c>
      <c r="E14" s="55" t="b">
        <v>0</v>
      </c>
      <c r="F14" s="55" t="s">
        <v>363</v>
      </c>
      <c r="G14" s="55">
        <v>8</v>
      </c>
      <c r="H14" s="56">
        <v>46119</v>
      </c>
    </row>
    <row r="15" spans="1:8" x14ac:dyDescent="0.45">
      <c r="A15" s="55">
        <v>7</v>
      </c>
      <c r="B15" s="55" t="s">
        <v>45</v>
      </c>
      <c r="C15" s="55" t="s">
        <v>47</v>
      </c>
      <c r="D15" s="55" t="s">
        <v>48</v>
      </c>
      <c r="E15" s="55" t="b">
        <v>0</v>
      </c>
      <c r="F15" s="55" t="s">
        <v>363</v>
      </c>
      <c r="G15" s="55">
        <v>32</v>
      </c>
      <c r="H15" s="56">
        <v>46119</v>
      </c>
    </row>
    <row r="16" spans="1:8" x14ac:dyDescent="0.45">
      <c r="A16" s="55">
        <v>473</v>
      </c>
      <c r="B16" s="55" t="s">
        <v>45</v>
      </c>
      <c r="C16" s="55" t="s">
        <v>49</v>
      </c>
      <c r="D16" s="55" t="s">
        <v>48</v>
      </c>
      <c r="E16" s="55" t="b">
        <v>0</v>
      </c>
      <c r="F16" s="55" t="s">
        <v>363</v>
      </c>
      <c r="G16" s="55">
        <v>33</v>
      </c>
      <c r="H16" s="56">
        <v>46119</v>
      </c>
    </row>
    <row r="17" spans="1:8" x14ac:dyDescent="0.45">
      <c r="A17" s="55">
        <v>1384</v>
      </c>
      <c r="B17" s="55" t="s">
        <v>50</v>
      </c>
      <c r="C17" s="55" t="s">
        <v>51</v>
      </c>
      <c r="D17" s="55" t="s">
        <v>35</v>
      </c>
      <c r="E17" s="55" t="b">
        <v>0</v>
      </c>
      <c r="F17" s="55" t="s">
        <v>363</v>
      </c>
      <c r="G17" s="55">
        <v>30</v>
      </c>
      <c r="H17" s="56">
        <v>46119</v>
      </c>
    </row>
    <row r="18" spans="1:8" x14ac:dyDescent="0.45">
      <c r="A18" s="55">
        <v>1348</v>
      </c>
      <c r="B18" s="55" t="s">
        <v>52</v>
      </c>
      <c r="C18" s="55" t="s">
        <v>53</v>
      </c>
      <c r="D18" s="55" t="s">
        <v>138</v>
      </c>
      <c r="E18" s="55" t="b">
        <v>1</v>
      </c>
      <c r="F18" s="55" t="s">
        <v>364</v>
      </c>
      <c r="H18" s="56">
        <v>46119</v>
      </c>
    </row>
    <row r="19" spans="1:8" x14ac:dyDescent="0.45">
      <c r="A19" s="55">
        <v>1275</v>
      </c>
      <c r="B19" s="55" t="s">
        <v>52</v>
      </c>
      <c r="C19" s="55" t="s">
        <v>54</v>
      </c>
      <c r="D19" s="55" t="s">
        <v>35</v>
      </c>
      <c r="E19" s="55" t="b">
        <v>1</v>
      </c>
      <c r="F19" s="55" t="s">
        <v>365</v>
      </c>
      <c r="H19" s="56">
        <v>46119</v>
      </c>
    </row>
    <row r="20" spans="1:8" x14ac:dyDescent="0.45">
      <c r="A20" s="55">
        <v>68</v>
      </c>
      <c r="B20" s="55" t="s">
        <v>55</v>
      </c>
      <c r="C20" s="55" t="s">
        <v>56</v>
      </c>
      <c r="D20" s="55" t="s">
        <v>48</v>
      </c>
      <c r="E20" s="55" t="b">
        <v>0</v>
      </c>
      <c r="F20" s="55" t="s">
        <v>363</v>
      </c>
      <c r="G20" s="55">
        <v>35</v>
      </c>
      <c r="H20" s="56">
        <v>46119</v>
      </c>
    </row>
    <row r="21" spans="1:8" x14ac:dyDescent="0.45">
      <c r="A21" s="55">
        <v>1035</v>
      </c>
      <c r="B21" s="55" t="s">
        <v>139</v>
      </c>
      <c r="C21" s="55" t="s">
        <v>57</v>
      </c>
      <c r="D21" s="55" t="s">
        <v>35</v>
      </c>
      <c r="E21" s="55" t="b">
        <v>0</v>
      </c>
      <c r="F21" s="55" t="s">
        <v>363</v>
      </c>
      <c r="G21" s="55">
        <v>6</v>
      </c>
      <c r="H21" s="56">
        <v>46119</v>
      </c>
    </row>
    <row r="22" spans="1:8" x14ac:dyDescent="0.45">
      <c r="A22" s="55">
        <v>1416</v>
      </c>
      <c r="B22" s="55" t="s">
        <v>447</v>
      </c>
      <c r="C22" s="55" t="s">
        <v>446</v>
      </c>
      <c r="D22" s="55" t="s">
        <v>35</v>
      </c>
      <c r="E22" s="55" t="b">
        <v>0</v>
      </c>
      <c r="F22" s="55" t="s">
        <v>364</v>
      </c>
      <c r="H22" s="56">
        <v>46119</v>
      </c>
    </row>
    <row r="23" spans="1:8" x14ac:dyDescent="0.45">
      <c r="A23" s="55">
        <v>1326</v>
      </c>
      <c r="B23" s="55" t="s">
        <v>58</v>
      </c>
      <c r="C23" s="55" t="s">
        <v>59</v>
      </c>
      <c r="D23" s="55" t="s">
        <v>35</v>
      </c>
      <c r="E23" s="55" t="b">
        <v>1</v>
      </c>
      <c r="F23" s="55" t="s">
        <v>364</v>
      </c>
      <c r="H23" s="56">
        <v>46119</v>
      </c>
    </row>
    <row r="24" spans="1:8" x14ac:dyDescent="0.45">
      <c r="A24" s="55">
        <v>477</v>
      </c>
      <c r="B24" s="55" t="s">
        <v>60</v>
      </c>
      <c r="C24" s="55" t="s">
        <v>62</v>
      </c>
      <c r="D24" s="55" t="s">
        <v>35</v>
      </c>
      <c r="E24" s="55" t="b">
        <v>1</v>
      </c>
      <c r="F24" s="55" t="s">
        <v>363</v>
      </c>
      <c r="G24" s="55">
        <v>34</v>
      </c>
      <c r="H24" s="56">
        <v>46119</v>
      </c>
    </row>
    <row r="25" spans="1:8" x14ac:dyDescent="0.45">
      <c r="A25" s="55">
        <v>10</v>
      </c>
      <c r="B25" s="55" t="s">
        <v>60</v>
      </c>
      <c r="C25" s="55" t="s">
        <v>61</v>
      </c>
      <c r="D25" s="55" t="s">
        <v>48</v>
      </c>
      <c r="E25" s="55" t="b">
        <v>0</v>
      </c>
      <c r="F25" s="55" t="s">
        <v>363</v>
      </c>
      <c r="G25" s="55">
        <v>35</v>
      </c>
      <c r="H25" s="56">
        <v>46119</v>
      </c>
    </row>
    <row r="26" spans="1:8" x14ac:dyDescent="0.45">
      <c r="A26" s="55">
        <v>1414</v>
      </c>
      <c r="B26" s="55" t="s">
        <v>441</v>
      </c>
      <c r="C26" s="55" t="s">
        <v>38</v>
      </c>
      <c r="D26" s="55" t="s">
        <v>35</v>
      </c>
      <c r="E26" s="55" t="b">
        <v>0</v>
      </c>
      <c r="F26" s="55" t="s">
        <v>363</v>
      </c>
      <c r="G26" s="55">
        <v>13</v>
      </c>
      <c r="H26" s="56">
        <v>46119</v>
      </c>
    </row>
    <row r="27" spans="1:8" x14ac:dyDescent="0.45">
      <c r="A27" s="55">
        <v>1029</v>
      </c>
      <c r="B27" s="55" t="s">
        <v>65</v>
      </c>
      <c r="C27" s="55" t="s">
        <v>66</v>
      </c>
      <c r="D27" s="55" t="s">
        <v>35</v>
      </c>
      <c r="E27" s="55" t="b">
        <v>0</v>
      </c>
      <c r="F27" s="55" t="s">
        <v>363</v>
      </c>
      <c r="G27" s="55">
        <v>28</v>
      </c>
      <c r="H27" s="56">
        <v>46119</v>
      </c>
    </row>
    <row r="28" spans="1:8" x14ac:dyDescent="0.45">
      <c r="A28" s="55">
        <v>13</v>
      </c>
      <c r="B28" s="55" t="s">
        <v>67</v>
      </c>
      <c r="C28" s="55" t="s">
        <v>51</v>
      </c>
      <c r="D28" s="55" t="s">
        <v>35</v>
      </c>
      <c r="E28" s="55" t="b">
        <v>0</v>
      </c>
      <c r="F28" s="55" t="s">
        <v>363</v>
      </c>
      <c r="G28" s="55">
        <v>28</v>
      </c>
      <c r="H28" s="56">
        <v>46119</v>
      </c>
    </row>
    <row r="29" spans="1:8" x14ac:dyDescent="0.45">
      <c r="A29" s="55">
        <v>1255</v>
      </c>
      <c r="B29" s="55" t="s">
        <v>68</v>
      </c>
      <c r="C29" s="55" t="s">
        <v>69</v>
      </c>
      <c r="D29" s="55" t="s">
        <v>35</v>
      </c>
      <c r="E29" s="55" t="b">
        <v>1</v>
      </c>
      <c r="F29" s="55" t="s">
        <v>363</v>
      </c>
      <c r="G29" s="55">
        <v>13</v>
      </c>
      <c r="H29" s="56">
        <v>46119</v>
      </c>
    </row>
    <row r="30" spans="1:8" x14ac:dyDescent="0.45">
      <c r="A30" s="55">
        <v>1405</v>
      </c>
      <c r="B30" s="55" t="s">
        <v>440</v>
      </c>
      <c r="C30" s="55" t="s">
        <v>439</v>
      </c>
      <c r="D30" s="55" t="s">
        <v>35</v>
      </c>
      <c r="E30" s="55" t="b">
        <v>1</v>
      </c>
      <c r="F30" s="55" t="s">
        <v>365</v>
      </c>
      <c r="H30" s="56">
        <v>46119</v>
      </c>
    </row>
    <row r="31" spans="1:8" x14ac:dyDescent="0.45">
      <c r="A31" s="55">
        <v>1418</v>
      </c>
      <c r="B31" s="55" t="s">
        <v>455</v>
      </c>
      <c r="C31" s="55" t="s">
        <v>29</v>
      </c>
      <c r="D31" s="55" t="s">
        <v>35</v>
      </c>
      <c r="E31" s="55" t="b">
        <v>0</v>
      </c>
      <c r="F31" s="55" t="s">
        <v>364</v>
      </c>
      <c r="H31" s="56">
        <v>46119</v>
      </c>
    </row>
    <row r="32" spans="1:8" x14ac:dyDescent="0.45">
      <c r="A32" s="55">
        <v>919</v>
      </c>
      <c r="B32" s="55" t="s">
        <v>70</v>
      </c>
      <c r="C32" s="55" t="s">
        <v>51</v>
      </c>
      <c r="D32" s="55" t="s">
        <v>35</v>
      </c>
      <c r="E32" s="55" t="b">
        <v>0</v>
      </c>
      <c r="F32" s="55" t="s">
        <v>363</v>
      </c>
      <c r="G32" s="55">
        <v>16</v>
      </c>
      <c r="H32" s="56">
        <v>46119</v>
      </c>
    </row>
    <row r="33" spans="1:8" x14ac:dyDescent="0.45">
      <c r="A33" s="55">
        <v>1319</v>
      </c>
      <c r="B33" s="55" t="s">
        <v>72</v>
      </c>
      <c r="C33" s="55" t="s">
        <v>34</v>
      </c>
      <c r="D33" s="55" t="s">
        <v>35</v>
      </c>
      <c r="E33" s="55" t="b">
        <v>0</v>
      </c>
      <c r="F33" s="55" t="s">
        <v>363</v>
      </c>
      <c r="G33" s="55">
        <v>9</v>
      </c>
      <c r="H33" s="56">
        <v>46119</v>
      </c>
    </row>
    <row r="34" spans="1:8" x14ac:dyDescent="0.45">
      <c r="A34" s="55">
        <v>1389</v>
      </c>
      <c r="B34" s="55" t="s">
        <v>137</v>
      </c>
      <c r="C34" s="55" t="s">
        <v>136</v>
      </c>
      <c r="D34" s="55" t="s">
        <v>35</v>
      </c>
      <c r="E34" s="55" t="b">
        <v>0</v>
      </c>
      <c r="F34" s="55" t="s">
        <v>364</v>
      </c>
      <c r="H34" s="56">
        <v>46119</v>
      </c>
    </row>
    <row r="35" spans="1:8" x14ac:dyDescent="0.45">
      <c r="A35" s="55">
        <v>940</v>
      </c>
      <c r="B35" s="55" t="s">
        <v>453</v>
      </c>
      <c r="C35" s="55" t="s">
        <v>454</v>
      </c>
      <c r="D35" s="55" t="s">
        <v>35</v>
      </c>
      <c r="E35" s="55" t="b">
        <v>1</v>
      </c>
      <c r="F35" s="55" t="s">
        <v>363</v>
      </c>
      <c r="G35" s="55">
        <v>9</v>
      </c>
      <c r="H35" s="56">
        <v>46119</v>
      </c>
    </row>
    <row r="36" spans="1:8" x14ac:dyDescent="0.45">
      <c r="A36" s="55">
        <v>806</v>
      </c>
      <c r="B36" s="55" t="s">
        <v>453</v>
      </c>
      <c r="C36" s="55" t="s">
        <v>64</v>
      </c>
      <c r="D36" s="55" t="s">
        <v>35</v>
      </c>
      <c r="E36" s="55" t="b">
        <v>0</v>
      </c>
      <c r="F36" s="55" t="s">
        <v>363</v>
      </c>
      <c r="G36" s="55">
        <v>11</v>
      </c>
      <c r="H36" s="56">
        <v>46119</v>
      </c>
    </row>
    <row r="37" spans="1:8" x14ac:dyDescent="0.45">
      <c r="A37" s="55">
        <v>482</v>
      </c>
      <c r="B37" s="55" t="s">
        <v>74</v>
      </c>
      <c r="C37" s="55" t="s">
        <v>147</v>
      </c>
      <c r="D37" s="55" t="s">
        <v>35</v>
      </c>
      <c r="E37" s="55" t="b">
        <v>0</v>
      </c>
      <c r="F37" s="55" t="s">
        <v>363</v>
      </c>
      <c r="G37" s="55">
        <v>13</v>
      </c>
      <c r="H37" s="56">
        <v>46119</v>
      </c>
    </row>
    <row r="38" spans="1:8" x14ac:dyDescent="0.45">
      <c r="A38" s="55">
        <v>674</v>
      </c>
      <c r="B38" s="55" t="s">
        <v>148</v>
      </c>
      <c r="C38" s="55" t="s">
        <v>149</v>
      </c>
      <c r="D38" s="55" t="s">
        <v>138</v>
      </c>
      <c r="E38" s="55" t="b">
        <v>1</v>
      </c>
      <c r="F38" s="55" t="s">
        <v>363</v>
      </c>
      <c r="G38" s="55">
        <v>23</v>
      </c>
      <c r="H38" s="56">
        <v>46119</v>
      </c>
    </row>
    <row r="39" spans="1:8" x14ac:dyDescent="0.45">
      <c r="A39" s="55">
        <v>1061</v>
      </c>
      <c r="B39" s="55" t="s">
        <v>150</v>
      </c>
      <c r="C39" s="55" t="s">
        <v>151</v>
      </c>
      <c r="D39" s="55" t="s">
        <v>35</v>
      </c>
      <c r="E39" s="55" t="b">
        <v>0</v>
      </c>
      <c r="F39" s="55" t="s">
        <v>363</v>
      </c>
      <c r="G39" s="55">
        <v>19</v>
      </c>
      <c r="H39" s="56">
        <v>46119</v>
      </c>
    </row>
    <row r="40" spans="1:8" x14ac:dyDescent="0.45">
      <c r="A40" s="55">
        <v>763</v>
      </c>
      <c r="B40" s="55" t="s">
        <v>152</v>
      </c>
      <c r="C40" s="55" t="s">
        <v>57</v>
      </c>
      <c r="D40" s="55" t="s">
        <v>35</v>
      </c>
      <c r="E40" s="55" t="b">
        <v>0</v>
      </c>
      <c r="F40" s="55" t="s">
        <v>363</v>
      </c>
      <c r="G40" s="55">
        <v>17</v>
      </c>
      <c r="H40" s="56">
        <v>46119</v>
      </c>
    </row>
    <row r="41" spans="1:8" x14ac:dyDescent="0.45">
      <c r="A41" s="55">
        <v>1227</v>
      </c>
      <c r="B41" s="55" t="s">
        <v>153</v>
      </c>
      <c r="C41" s="55" t="s">
        <v>154</v>
      </c>
      <c r="D41" s="55" t="s">
        <v>35</v>
      </c>
      <c r="E41" s="55" t="b">
        <v>1</v>
      </c>
      <c r="F41" s="55" t="s">
        <v>363</v>
      </c>
      <c r="G41" s="55">
        <v>8</v>
      </c>
      <c r="H41" s="56">
        <v>46119</v>
      </c>
    </row>
    <row r="42" spans="1:8" x14ac:dyDescent="0.45">
      <c r="A42" s="55">
        <v>715</v>
      </c>
      <c r="B42" s="55" t="s">
        <v>155</v>
      </c>
      <c r="C42" s="55" t="s">
        <v>156</v>
      </c>
      <c r="D42" s="55" t="s">
        <v>35</v>
      </c>
      <c r="E42" s="55" t="b">
        <v>0</v>
      </c>
      <c r="F42" s="55" t="s">
        <v>363</v>
      </c>
      <c r="G42" s="55">
        <v>5</v>
      </c>
      <c r="H42" s="56">
        <v>46119</v>
      </c>
    </row>
    <row r="43" spans="1:8" x14ac:dyDescent="0.45">
      <c r="A43" s="55">
        <v>567</v>
      </c>
      <c r="B43" s="55" t="s">
        <v>157</v>
      </c>
      <c r="C43" s="55" t="s">
        <v>158</v>
      </c>
      <c r="D43" s="55" t="s">
        <v>35</v>
      </c>
      <c r="E43" s="55" t="b">
        <v>0</v>
      </c>
      <c r="F43" s="55" t="s">
        <v>363</v>
      </c>
      <c r="G43" s="55">
        <v>7</v>
      </c>
      <c r="H43" s="56">
        <v>46119</v>
      </c>
    </row>
    <row r="44" spans="1:8" x14ac:dyDescent="0.45">
      <c r="A44" s="55">
        <v>1391</v>
      </c>
      <c r="B44" s="55" t="s">
        <v>438</v>
      </c>
      <c r="C44" s="55" t="s">
        <v>437</v>
      </c>
      <c r="D44" s="55" t="s">
        <v>35</v>
      </c>
      <c r="E44" s="55" t="b">
        <v>1</v>
      </c>
      <c r="F44" s="55" t="s">
        <v>364</v>
      </c>
      <c r="H44" s="56">
        <v>46119</v>
      </c>
    </row>
    <row r="45" spans="1:8" x14ac:dyDescent="0.45">
      <c r="A45" s="55">
        <v>704</v>
      </c>
      <c r="B45" s="55" t="s">
        <v>159</v>
      </c>
      <c r="C45" s="55" t="s">
        <v>40</v>
      </c>
      <c r="D45" s="55" t="s">
        <v>35</v>
      </c>
      <c r="E45" s="55" t="b">
        <v>0</v>
      </c>
      <c r="F45" s="55" t="s">
        <v>363</v>
      </c>
      <c r="G45" s="55">
        <v>21</v>
      </c>
      <c r="H45" s="56">
        <v>46119</v>
      </c>
    </row>
    <row r="46" spans="1:8" x14ac:dyDescent="0.45">
      <c r="A46" s="55">
        <v>1283</v>
      </c>
      <c r="B46" s="55" t="s">
        <v>160</v>
      </c>
      <c r="C46" s="55" t="s">
        <v>161</v>
      </c>
      <c r="D46" s="55" t="s">
        <v>35</v>
      </c>
      <c r="E46" s="55" t="b">
        <v>0</v>
      </c>
      <c r="F46" s="55" t="s">
        <v>363</v>
      </c>
      <c r="G46" s="55">
        <v>18</v>
      </c>
      <c r="H46" s="56">
        <v>46119</v>
      </c>
    </row>
    <row r="47" spans="1:8" x14ac:dyDescent="0.45">
      <c r="A47" s="55">
        <v>295</v>
      </c>
      <c r="B47" s="55" t="s">
        <v>162</v>
      </c>
      <c r="C47" s="55" t="s">
        <v>163</v>
      </c>
      <c r="D47" s="55" t="s">
        <v>35</v>
      </c>
      <c r="E47" s="55" t="b">
        <v>0</v>
      </c>
      <c r="F47" s="55" t="s">
        <v>363</v>
      </c>
      <c r="G47" s="55">
        <v>15</v>
      </c>
      <c r="H47" s="56">
        <v>46119</v>
      </c>
    </row>
    <row r="48" spans="1:8" x14ac:dyDescent="0.45">
      <c r="A48" s="55">
        <v>1226</v>
      </c>
      <c r="B48" s="55" t="s">
        <v>164</v>
      </c>
      <c r="C48" s="55" t="s">
        <v>165</v>
      </c>
      <c r="D48" s="55" t="s">
        <v>35</v>
      </c>
      <c r="E48" s="55" t="b">
        <v>1</v>
      </c>
      <c r="F48" s="55" t="s">
        <v>364</v>
      </c>
      <c r="H48" s="56">
        <v>46119</v>
      </c>
    </row>
    <row r="49" spans="1:8" x14ac:dyDescent="0.45">
      <c r="A49" s="55">
        <v>1185</v>
      </c>
      <c r="B49" s="55" t="s">
        <v>166</v>
      </c>
      <c r="C49" s="55" t="s">
        <v>167</v>
      </c>
      <c r="D49" s="55" t="s">
        <v>35</v>
      </c>
      <c r="E49" s="55" t="b">
        <v>1</v>
      </c>
      <c r="F49" s="55" t="s">
        <v>365</v>
      </c>
      <c r="H49" s="56">
        <v>46119</v>
      </c>
    </row>
    <row r="50" spans="1:8" x14ac:dyDescent="0.45">
      <c r="A50" s="55">
        <v>1065</v>
      </c>
      <c r="B50" s="55" t="s">
        <v>166</v>
      </c>
      <c r="C50" s="55" t="s">
        <v>43</v>
      </c>
      <c r="D50" s="55" t="s">
        <v>35</v>
      </c>
      <c r="E50" s="55" t="b">
        <v>0</v>
      </c>
      <c r="F50" s="55" t="s">
        <v>363</v>
      </c>
      <c r="G50" s="55">
        <v>1</v>
      </c>
      <c r="H50" s="56">
        <v>46119</v>
      </c>
    </row>
    <row r="51" spans="1:8" x14ac:dyDescent="0.45">
      <c r="A51" s="55">
        <v>1407</v>
      </c>
      <c r="B51" s="55" t="s">
        <v>436</v>
      </c>
      <c r="C51" s="55" t="s">
        <v>435</v>
      </c>
      <c r="D51" s="55" t="s">
        <v>35</v>
      </c>
      <c r="E51" s="55" t="b">
        <v>0</v>
      </c>
      <c r="F51" s="55" t="s">
        <v>364</v>
      </c>
      <c r="H51" s="56">
        <v>46119</v>
      </c>
    </row>
    <row r="52" spans="1:8" x14ac:dyDescent="0.45">
      <c r="A52" s="55">
        <v>1096</v>
      </c>
      <c r="B52" s="55" t="s">
        <v>169</v>
      </c>
      <c r="C52" s="55" t="s">
        <v>170</v>
      </c>
      <c r="D52" s="55" t="s">
        <v>35</v>
      </c>
      <c r="E52" s="55" t="b">
        <v>0</v>
      </c>
      <c r="F52" s="55" t="s">
        <v>365</v>
      </c>
      <c r="H52" s="56">
        <v>46119</v>
      </c>
    </row>
    <row r="53" spans="1:8" x14ac:dyDescent="0.45">
      <c r="A53" s="55">
        <v>1236</v>
      </c>
      <c r="B53" s="55" t="s">
        <v>169</v>
      </c>
      <c r="C53" s="55" t="s">
        <v>171</v>
      </c>
      <c r="D53" s="55" t="s">
        <v>35</v>
      </c>
      <c r="E53" s="55" t="b">
        <v>1</v>
      </c>
      <c r="F53" s="55" t="s">
        <v>363</v>
      </c>
      <c r="G53" s="55">
        <v>5</v>
      </c>
      <c r="H53" s="56">
        <v>46119</v>
      </c>
    </row>
    <row r="54" spans="1:8" x14ac:dyDescent="0.45">
      <c r="A54" s="55">
        <v>699</v>
      </c>
      <c r="B54" s="55" t="s">
        <v>169</v>
      </c>
      <c r="C54" s="55" t="s">
        <v>172</v>
      </c>
      <c r="D54" s="55" t="s">
        <v>35</v>
      </c>
      <c r="E54" s="55" t="b">
        <v>0</v>
      </c>
      <c r="F54" s="55" t="s">
        <v>363</v>
      </c>
      <c r="G54" s="55">
        <v>5</v>
      </c>
      <c r="H54" s="56">
        <v>46119</v>
      </c>
    </row>
    <row r="55" spans="1:8" x14ac:dyDescent="0.45">
      <c r="A55" s="55">
        <v>1000</v>
      </c>
      <c r="B55" s="55" t="s">
        <v>175</v>
      </c>
      <c r="C55" s="55" t="s">
        <v>176</v>
      </c>
      <c r="D55" s="55" t="s">
        <v>35</v>
      </c>
      <c r="E55" s="55" t="b">
        <v>0</v>
      </c>
      <c r="F55" s="55" t="s">
        <v>364</v>
      </c>
      <c r="H55" s="56">
        <v>46119</v>
      </c>
    </row>
    <row r="56" spans="1:8" x14ac:dyDescent="0.45">
      <c r="A56" s="55">
        <v>1332</v>
      </c>
      <c r="B56" s="55" t="s">
        <v>177</v>
      </c>
      <c r="C56" s="55" t="s">
        <v>178</v>
      </c>
      <c r="D56" s="55" t="s">
        <v>35</v>
      </c>
      <c r="E56" s="55" t="b">
        <v>1</v>
      </c>
      <c r="F56" s="55" t="s">
        <v>364</v>
      </c>
      <c r="H56" s="56">
        <v>46119</v>
      </c>
    </row>
    <row r="57" spans="1:8" x14ac:dyDescent="0.45">
      <c r="A57" s="55">
        <v>682</v>
      </c>
      <c r="B57" s="55" t="s">
        <v>173</v>
      </c>
      <c r="C57" s="55" t="s">
        <v>174</v>
      </c>
      <c r="D57" s="55" t="s">
        <v>35</v>
      </c>
      <c r="E57" s="55" t="b">
        <v>0</v>
      </c>
      <c r="F57" s="55" t="s">
        <v>363</v>
      </c>
      <c r="G57" s="55">
        <v>11</v>
      </c>
      <c r="H57" s="56">
        <v>46119</v>
      </c>
    </row>
    <row r="58" spans="1:8" x14ac:dyDescent="0.45">
      <c r="A58" s="55">
        <v>1393</v>
      </c>
      <c r="B58" s="55" t="s">
        <v>434</v>
      </c>
      <c r="C58" s="55" t="s">
        <v>185</v>
      </c>
      <c r="D58" s="55" t="s">
        <v>35</v>
      </c>
      <c r="E58" s="55" t="b">
        <v>1</v>
      </c>
      <c r="F58" s="55" t="s">
        <v>363</v>
      </c>
      <c r="G58" s="55">
        <v>10</v>
      </c>
      <c r="H58" s="56">
        <v>46119</v>
      </c>
    </row>
    <row r="59" spans="1:8" x14ac:dyDescent="0.45">
      <c r="A59" s="55">
        <v>1355</v>
      </c>
      <c r="B59" s="55" t="s">
        <v>179</v>
      </c>
      <c r="C59" s="55" t="s">
        <v>180</v>
      </c>
      <c r="D59" s="55" t="s">
        <v>35</v>
      </c>
      <c r="E59" s="55" t="b">
        <v>0</v>
      </c>
      <c r="F59" s="55" t="s">
        <v>365</v>
      </c>
      <c r="H59" s="56">
        <v>46119</v>
      </c>
    </row>
    <row r="60" spans="1:8" x14ac:dyDescent="0.45">
      <c r="A60" s="55">
        <v>1164</v>
      </c>
      <c r="B60" s="55" t="s">
        <v>181</v>
      </c>
      <c r="C60" s="55" t="s">
        <v>182</v>
      </c>
      <c r="D60" s="55" t="s">
        <v>138</v>
      </c>
      <c r="E60" s="55" t="b">
        <v>1</v>
      </c>
      <c r="F60" s="55" t="s">
        <v>364</v>
      </c>
      <c r="H60" s="56">
        <v>46119</v>
      </c>
    </row>
    <row r="61" spans="1:8" x14ac:dyDescent="0.45">
      <c r="A61" s="55">
        <v>1062</v>
      </c>
      <c r="B61" s="55" t="s">
        <v>181</v>
      </c>
      <c r="C61" s="55" t="s">
        <v>64</v>
      </c>
      <c r="D61" s="55" t="s">
        <v>35</v>
      </c>
      <c r="E61" s="55" t="b">
        <v>0</v>
      </c>
      <c r="F61" s="55" t="s">
        <v>363</v>
      </c>
      <c r="G61" s="55">
        <v>9</v>
      </c>
      <c r="H61" s="56">
        <v>46119</v>
      </c>
    </row>
    <row r="62" spans="1:8" x14ac:dyDescent="0.45">
      <c r="A62" s="55">
        <v>938</v>
      </c>
      <c r="B62" s="55" t="s">
        <v>181</v>
      </c>
      <c r="C62" s="55" t="s">
        <v>183</v>
      </c>
      <c r="D62" s="55" t="s">
        <v>35</v>
      </c>
      <c r="E62" s="55" t="b">
        <v>1</v>
      </c>
      <c r="F62" s="55" t="s">
        <v>363</v>
      </c>
      <c r="G62" s="55">
        <v>7</v>
      </c>
      <c r="H62" s="56">
        <v>46119</v>
      </c>
    </row>
    <row r="63" spans="1:8" x14ac:dyDescent="0.45">
      <c r="A63" s="55">
        <v>1034</v>
      </c>
      <c r="B63" s="55" t="s">
        <v>433</v>
      </c>
      <c r="C63" s="55" t="s">
        <v>64</v>
      </c>
      <c r="D63" s="55" t="s">
        <v>35</v>
      </c>
      <c r="E63" s="55" t="b">
        <v>0</v>
      </c>
      <c r="F63" s="55" t="s">
        <v>364</v>
      </c>
      <c r="H63" s="56">
        <v>46119</v>
      </c>
    </row>
    <row r="64" spans="1:8" x14ac:dyDescent="0.45">
      <c r="A64" s="55">
        <v>1402</v>
      </c>
      <c r="B64" s="55" t="s">
        <v>432</v>
      </c>
      <c r="C64" s="55" t="s">
        <v>168</v>
      </c>
      <c r="D64" s="55" t="s">
        <v>35</v>
      </c>
      <c r="E64" s="55" t="b">
        <v>0</v>
      </c>
      <c r="F64" s="55" t="s">
        <v>363</v>
      </c>
      <c r="G64" s="55">
        <v>7</v>
      </c>
      <c r="H64" s="56">
        <v>46119</v>
      </c>
    </row>
    <row r="65" spans="1:8" x14ac:dyDescent="0.45">
      <c r="A65" s="55">
        <v>939</v>
      </c>
      <c r="B65" s="55" t="s">
        <v>184</v>
      </c>
      <c r="C65" s="55" t="s">
        <v>185</v>
      </c>
      <c r="D65" s="55" t="s">
        <v>35</v>
      </c>
      <c r="E65" s="55" t="b">
        <v>1</v>
      </c>
      <c r="F65" s="55" t="s">
        <v>363</v>
      </c>
      <c r="G65" s="55">
        <v>12</v>
      </c>
      <c r="H65" s="56">
        <v>46119</v>
      </c>
    </row>
    <row r="66" spans="1:8" x14ac:dyDescent="0.45">
      <c r="A66" s="55">
        <v>1377</v>
      </c>
      <c r="B66" s="55" t="s">
        <v>186</v>
      </c>
      <c r="C66" s="55" t="s">
        <v>187</v>
      </c>
      <c r="D66" s="55" t="s">
        <v>35</v>
      </c>
      <c r="E66" s="55" t="b">
        <v>1</v>
      </c>
      <c r="F66" s="55" t="s">
        <v>363</v>
      </c>
      <c r="G66" s="55">
        <v>12</v>
      </c>
      <c r="H66" s="56">
        <v>46119</v>
      </c>
    </row>
    <row r="67" spans="1:8" x14ac:dyDescent="0.45">
      <c r="A67" s="55">
        <v>1281</v>
      </c>
      <c r="B67" s="55" t="s">
        <v>188</v>
      </c>
      <c r="C67" s="55" t="s">
        <v>189</v>
      </c>
      <c r="D67" s="55" t="s">
        <v>35</v>
      </c>
      <c r="E67" s="55" t="b">
        <v>0</v>
      </c>
      <c r="F67" s="55" t="s">
        <v>363</v>
      </c>
      <c r="G67" s="55">
        <v>19</v>
      </c>
      <c r="H67" s="56">
        <v>46119</v>
      </c>
    </row>
    <row r="68" spans="1:8" x14ac:dyDescent="0.45">
      <c r="A68" s="55">
        <v>933</v>
      </c>
      <c r="B68" s="55" t="s">
        <v>192</v>
      </c>
      <c r="C68" s="55" t="s">
        <v>193</v>
      </c>
      <c r="D68" s="55" t="s">
        <v>35</v>
      </c>
      <c r="E68" s="55" t="b">
        <v>0</v>
      </c>
      <c r="F68" s="55" t="s">
        <v>364</v>
      </c>
      <c r="H68" s="56">
        <v>46119</v>
      </c>
    </row>
    <row r="69" spans="1:8" x14ac:dyDescent="0.45">
      <c r="A69" s="55">
        <v>1274</v>
      </c>
      <c r="B69" s="55" t="s">
        <v>190</v>
      </c>
      <c r="C69" s="55" t="s">
        <v>191</v>
      </c>
      <c r="D69" s="55" t="s">
        <v>35</v>
      </c>
      <c r="E69" s="55" t="b">
        <v>1</v>
      </c>
      <c r="F69" s="55" t="s">
        <v>364</v>
      </c>
      <c r="H69" s="56">
        <v>46119</v>
      </c>
    </row>
    <row r="70" spans="1:8" x14ac:dyDescent="0.45">
      <c r="A70" s="55">
        <v>493</v>
      </c>
      <c r="B70" s="55" t="s">
        <v>194</v>
      </c>
      <c r="C70" s="55" t="s">
        <v>49</v>
      </c>
      <c r="D70" s="55" t="s">
        <v>48</v>
      </c>
      <c r="E70" s="55" t="b">
        <v>0</v>
      </c>
      <c r="F70" s="55" t="s">
        <v>363</v>
      </c>
      <c r="G70" s="55">
        <v>37</v>
      </c>
      <c r="H70" s="56">
        <v>46119</v>
      </c>
    </row>
    <row r="71" spans="1:8" x14ac:dyDescent="0.45">
      <c r="A71" s="55">
        <v>1279</v>
      </c>
      <c r="B71" s="55" t="s">
        <v>195</v>
      </c>
      <c r="C71" s="55" t="s">
        <v>196</v>
      </c>
      <c r="D71" s="55" t="s">
        <v>35</v>
      </c>
      <c r="E71" s="55" t="b">
        <v>0</v>
      </c>
      <c r="F71" s="55" t="s">
        <v>363</v>
      </c>
      <c r="G71" s="55">
        <v>4</v>
      </c>
      <c r="H71" s="56">
        <v>46119</v>
      </c>
    </row>
    <row r="72" spans="1:8" x14ac:dyDescent="0.45">
      <c r="A72" s="55">
        <v>1193</v>
      </c>
      <c r="B72" s="55" t="s">
        <v>197</v>
      </c>
      <c r="C72" s="55" t="s">
        <v>200</v>
      </c>
      <c r="D72" s="55" t="s">
        <v>35</v>
      </c>
      <c r="E72" s="55" t="b">
        <v>0</v>
      </c>
      <c r="F72" s="55" t="s">
        <v>364</v>
      </c>
      <c r="H72" s="56">
        <v>46119</v>
      </c>
    </row>
    <row r="73" spans="1:8" x14ac:dyDescent="0.45">
      <c r="A73" s="55">
        <v>1194</v>
      </c>
      <c r="B73" s="55" t="s">
        <v>197</v>
      </c>
      <c r="C73" s="55" t="s">
        <v>201</v>
      </c>
      <c r="D73" s="55" t="s">
        <v>35</v>
      </c>
      <c r="E73" s="55" t="b">
        <v>1</v>
      </c>
      <c r="F73" s="55" t="s">
        <v>364</v>
      </c>
      <c r="H73" s="56">
        <v>46119</v>
      </c>
    </row>
    <row r="74" spans="1:8" x14ac:dyDescent="0.45">
      <c r="A74" s="55">
        <v>1196</v>
      </c>
      <c r="B74" s="55" t="s">
        <v>197</v>
      </c>
      <c r="C74" s="55" t="s">
        <v>198</v>
      </c>
      <c r="D74" s="55" t="s">
        <v>35</v>
      </c>
      <c r="E74" s="55" t="b">
        <v>0</v>
      </c>
      <c r="F74" s="55" t="s">
        <v>365</v>
      </c>
      <c r="H74" s="56">
        <v>46119</v>
      </c>
    </row>
    <row r="75" spans="1:8" x14ac:dyDescent="0.45">
      <c r="A75" s="55">
        <v>1195</v>
      </c>
      <c r="B75" s="55" t="s">
        <v>197</v>
      </c>
      <c r="C75" s="55" t="s">
        <v>199</v>
      </c>
      <c r="D75" s="55" t="s">
        <v>35</v>
      </c>
      <c r="E75" s="55" t="b">
        <v>0</v>
      </c>
      <c r="F75" s="55" t="s">
        <v>365</v>
      </c>
      <c r="H75" s="56">
        <v>46119</v>
      </c>
    </row>
    <row r="76" spans="1:8" x14ac:dyDescent="0.45">
      <c r="A76" s="55">
        <v>1176</v>
      </c>
      <c r="B76" s="55" t="s">
        <v>203</v>
      </c>
      <c r="C76" s="55" t="s">
        <v>204</v>
      </c>
      <c r="D76" s="55" t="s">
        <v>35</v>
      </c>
      <c r="E76" s="55" t="b">
        <v>0</v>
      </c>
      <c r="F76" s="55" t="s">
        <v>365</v>
      </c>
      <c r="H76" s="56">
        <v>46119</v>
      </c>
    </row>
    <row r="77" spans="1:8" x14ac:dyDescent="0.45">
      <c r="A77" s="55">
        <v>1174</v>
      </c>
      <c r="B77" s="55" t="s">
        <v>203</v>
      </c>
      <c r="C77" s="55" t="s">
        <v>205</v>
      </c>
      <c r="D77" s="55" t="s">
        <v>35</v>
      </c>
      <c r="E77" s="55" t="b">
        <v>1</v>
      </c>
      <c r="F77" s="55" t="s">
        <v>363</v>
      </c>
      <c r="G77" s="55">
        <v>6</v>
      </c>
      <c r="H77" s="56">
        <v>46119</v>
      </c>
    </row>
    <row r="78" spans="1:8" x14ac:dyDescent="0.45">
      <c r="A78" s="55">
        <v>1175</v>
      </c>
      <c r="B78" s="55" t="s">
        <v>203</v>
      </c>
      <c r="C78" s="55" t="s">
        <v>200</v>
      </c>
      <c r="D78" s="55" t="s">
        <v>35</v>
      </c>
      <c r="E78" s="55" t="b">
        <v>0</v>
      </c>
      <c r="F78" s="55" t="s">
        <v>363</v>
      </c>
      <c r="G78" s="55">
        <v>12</v>
      </c>
      <c r="H78" s="56">
        <v>46119</v>
      </c>
    </row>
    <row r="79" spans="1:8" x14ac:dyDescent="0.45">
      <c r="A79" s="55">
        <v>1109</v>
      </c>
      <c r="B79" s="55" t="s">
        <v>206</v>
      </c>
      <c r="C79" s="55" t="s">
        <v>163</v>
      </c>
      <c r="D79" s="55" t="s">
        <v>35</v>
      </c>
      <c r="E79" s="55" t="b">
        <v>0</v>
      </c>
      <c r="F79" s="55" t="s">
        <v>364</v>
      </c>
      <c r="H79" s="56">
        <v>46119</v>
      </c>
    </row>
    <row r="80" spans="1:8" x14ac:dyDescent="0.45">
      <c r="A80" s="55">
        <v>1073</v>
      </c>
      <c r="B80" s="55" t="s">
        <v>207</v>
      </c>
      <c r="C80" s="55" t="s">
        <v>200</v>
      </c>
      <c r="D80" s="55" t="s">
        <v>35</v>
      </c>
      <c r="E80" s="55" t="b">
        <v>0</v>
      </c>
      <c r="F80" s="55" t="s">
        <v>363</v>
      </c>
      <c r="G80" s="55">
        <v>3</v>
      </c>
      <c r="H80" s="56">
        <v>46119</v>
      </c>
    </row>
    <row r="81" spans="1:8" x14ac:dyDescent="0.45">
      <c r="A81" s="55">
        <v>1400</v>
      </c>
      <c r="B81" s="55" t="s">
        <v>431</v>
      </c>
      <c r="C81" s="55" t="s">
        <v>430</v>
      </c>
      <c r="D81" s="55" t="s">
        <v>35</v>
      </c>
      <c r="E81" s="55" t="b">
        <v>0</v>
      </c>
      <c r="F81" s="55" t="s">
        <v>364</v>
      </c>
      <c r="H81" s="56">
        <v>46119</v>
      </c>
    </row>
    <row r="82" spans="1:8" x14ac:dyDescent="0.45">
      <c r="A82" s="55">
        <v>1367</v>
      </c>
      <c r="B82" s="55" t="s">
        <v>208</v>
      </c>
      <c r="C82" s="55" t="s">
        <v>198</v>
      </c>
      <c r="D82" s="55" t="s">
        <v>35</v>
      </c>
      <c r="E82" s="55" t="b">
        <v>0</v>
      </c>
      <c r="F82" s="55" t="s">
        <v>365</v>
      </c>
      <c r="H82" s="56">
        <v>46119</v>
      </c>
    </row>
    <row r="83" spans="1:8" x14ac:dyDescent="0.45">
      <c r="A83" s="55">
        <v>1366</v>
      </c>
      <c r="B83" s="55" t="s">
        <v>208</v>
      </c>
      <c r="C83" s="55" t="s">
        <v>211</v>
      </c>
      <c r="D83" s="55" t="s">
        <v>35</v>
      </c>
      <c r="E83" s="55" t="b">
        <v>1</v>
      </c>
      <c r="F83" s="55" t="s">
        <v>364</v>
      </c>
      <c r="H83" s="56">
        <v>46119</v>
      </c>
    </row>
    <row r="84" spans="1:8" x14ac:dyDescent="0.45">
      <c r="A84" s="55">
        <v>1365</v>
      </c>
      <c r="B84" s="55" t="s">
        <v>208</v>
      </c>
      <c r="C84" s="55" t="s">
        <v>210</v>
      </c>
      <c r="D84" s="55" t="s">
        <v>35</v>
      </c>
      <c r="E84" s="55" t="b">
        <v>1</v>
      </c>
      <c r="F84" s="55" t="s">
        <v>363</v>
      </c>
      <c r="G84" s="55">
        <v>7</v>
      </c>
      <c r="H84" s="56">
        <v>46119</v>
      </c>
    </row>
    <row r="85" spans="1:8" x14ac:dyDescent="0.45">
      <c r="A85" s="55">
        <v>897</v>
      </c>
      <c r="B85" s="55" t="s">
        <v>208</v>
      </c>
      <c r="C85" s="55" t="s">
        <v>209</v>
      </c>
      <c r="D85" s="55" t="s">
        <v>35</v>
      </c>
      <c r="E85" s="55" t="b">
        <v>0</v>
      </c>
      <c r="F85" s="55" t="s">
        <v>363</v>
      </c>
      <c r="G85" s="55">
        <v>13</v>
      </c>
      <c r="H85" s="56">
        <v>46119</v>
      </c>
    </row>
    <row r="86" spans="1:8" x14ac:dyDescent="0.45">
      <c r="A86" s="55">
        <v>1308</v>
      </c>
      <c r="B86" s="55" t="s">
        <v>212</v>
      </c>
      <c r="C86" s="55" t="s">
        <v>213</v>
      </c>
      <c r="D86" s="55" t="s">
        <v>35</v>
      </c>
      <c r="E86" s="55" t="b">
        <v>1</v>
      </c>
      <c r="F86" s="55" t="s">
        <v>363</v>
      </c>
      <c r="G86" s="55">
        <v>2</v>
      </c>
      <c r="H86" s="56">
        <v>46119</v>
      </c>
    </row>
    <row r="87" spans="1:8" x14ac:dyDescent="0.45">
      <c r="A87" s="55">
        <v>1206</v>
      </c>
      <c r="B87" s="55" t="s">
        <v>214</v>
      </c>
      <c r="C87" s="55" t="s">
        <v>215</v>
      </c>
      <c r="D87" s="55" t="s">
        <v>35</v>
      </c>
      <c r="E87" s="55" t="b">
        <v>1</v>
      </c>
      <c r="F87" s="55" t="s">
        <v>363</v>
      </c>
      <c r="G87" s="55">
        <v>8</v>
      </c>
      <c r="H87" s="56">
        <v>46119</v>
      </c>
    </row>
    <row r="88" spans="1:8" x14ac:dyDescent="0.45">
      <c r="A88" s="55">
        <v>1205</v>
      </c>
      <c r="B88" s="55" t="s">
        <v>214</v>
      </c>
      <c r="C88" s="55" t="s">
        <v>61</v>
      </c>
      <c r="D88" s="55" t="s">
        <v>35</v>
      </c>
      <c r="E88" s="55" t="b">
        <v>0</v>
      </c>
      <c r="F88" s="55" t="s">
        <v>363</v>
      </c>
      <c r="G88" s="55">
        <v>14</v>
      </c>
      <c r="H88" s="56">
        <v>46119</v>
      </c>
    </row>
    <row r="89" spans="1:8" x14ac:dyDescent="0.45">
      <c r="A89" s="55">
        <v>1406</v>
      </c>
      <c r="B89" s="55" t="s">
        <v>429</v>
      </c>
      <c r="C89" s="55" t="s">
        <v>315</v>
      </c>
      <c r="D89" s="55" t="s">
        <v>35</v>
      </c>
      <c r="E89" s="55" t="b">
        <v>0</v>
      </c>
      <c r="F89" s="55" t="s">
        <v>363</v>
      </c>
      <c r="G89" s="55">
        <v>9</v>
      </c>
      <c r="H89" s="56">
        <v>46119</v>
      </c>
    </row>
    <row r="90" spans="1:8" x14ac:dyDescent="0.45">
      <c r="A90" s="55">
        <v>1182</v>
      </c>
      <c r="B90" s="55" t="s">
        <v>216</v>
      </c>
      <c r="C90" s="55" t="s">
        <v>168</v>
      </c>
      <c r="D90" s="55" t="s">
        <v>35</v>
      </c>
      <c r="E90" s="55" t="b">
        <v>0</v>
      </c>
      <c r="F90" s="55" t="s">
        <v>363</v>
      </c>
      <c r="G90" s="55">
        <v>8</v>
      </c>
      <c r="H90" s="56">
        <v>46119</v>
      </c>
    </row>
    <row r="91" spans="1:8" x14ac:dyDescent="0.45">
      <c r="A91" s="55">
        <v>1340</v>
      </c>
      <c r="B91" s="55" t="s">
        <v>217</v>
      </c>
      <c r="C91" s="55" t="s">
        <v>218</v>
      </c>
      <c r="D91" s="55" t="s">
        <v>35</v>
      </c>
      <c r="E91" s="55" t="b">
        <v>0</v>
      </c>
      <c r="F91" s="55" t="s">
        <v>363</v>
      </c>
      <c r="G91" s="55">
        <v>8</v>
      </c>
      <c r="H91" s="56">
        <v>46119</v>
      </c>
    </row>
    <row r="92" spans="1:8" x14ac:dyDescent="0.45">
      <c r="A92" s="55">
        <v>21</v>
      </c>
      <c r="B92" s="55" t="s">
        <v>219</v>
      </c>
      <c r="C92" s="55" t="s">
        <v>220</v>
      </c>
      <c r="D92" s="55" t="s">
        <v>35</v>
      </c>
      <c r="E92" s="55" t="b">
        <v>0</v>
      </c>
      <c r="F92" s="55" t="s">
        <v>364</v>
      </c>
      <c r="H92" s="56">
        <v>46119</v>
      </c>
    </row>
    <row r="93" spans="1:8" x14ac:dyDescent="0.45">
      <c r="A93" s="55">
        <v>1049</v>
      </c>
      <c r="B93" s="55" t="s">
        <v>221</v>
      </c>
      <c r="C93" s="55" t="s">
        <v>222</v>
      </c>
      <c r="D93" s="55" t="s">
        <v>35</v>
      </c>
      <c r="E93" s="55" t="b">
        <v>0</v>
      </c>
      <c r="F93" s="55" t="s">
        <v>363</v>
      </c>
      <c r="G93" s="55">
        <v>19</v>
      </c>
      <c r="H93" s="56">
        <v>46119</v>
      </c>
    </row>
    <row r="94" spans="1:8" x14ac:dyDescent="0.45">
      <c r="A94" s="55">
        <v>120</v>
      </c>
      <c r="B94" s="55" t="s">
        <v>223</v>
      </c>
      <c r="C94" s="55" t="s">
        <v>224</v>
      </c>
      <c r="D94" s="55" t="s">
        <v>35</v>
      </c>
      <c r="E94" s="55" t="b">
        <v>1</v>
      </c>
      <c r="F94" s="55" t="s">
        <v>363</v>
      </c>
      <c r="G94" s="55">
        <v>12</v>
      </c>
      <c r="H94" s="56">
        <v>46119</v>
      </c>
    </row>
    <row r="95" spans="1:8" x14ac:dyDescent="0.45">
      <c r="A95" s="55">
        <v>990</v>
      </c>
      <c r="B95" s="55" t="s">
        <v>445</v>
      </c>
      <c r="C95" s="55" t="s">
        <v>149</v>
      </c>
      <c r="D95" s="55" t="s">
        <v>35</v>
      </c>
      <c r="E95" s="55" t="b">
        <v>1</v>
      </c>
      <c r="F95" s="55" t="s">
        <v>363</v>
      </c>
      <c r="G95" s="55">
        <v>10</v>
      </c>
      <c r="H95" s="56">
        <v>46119</v>
      </c>
    </row>
    <row r="96" spans="1:8" x14ac:dyDescent="0.45">
      <c r="A96" s="55">
        <v>1395</v>
      </c>
      <c r="B96" s="55" t="s">
        <v>428</v>
      </c>
      <c r="C96" s="55" t="s">
        <v>427</v>
      </c>
      <c r="D96" s="55" t="s">
        <v>35</v>
      </c>
      <c r="E96" s="55" t="b">
        <v>1</v>
      </c>
      <c r="F96" s="55" t="s">
        <v>365</v>
      </c>
      <c r="H96" s="56">
        <v>46119</v>
      </c>
    </row>
    <row r="97" spans="1:8" x14ac:dyDescent="0.45">
      <c r="A97" s="55">
        <v>1158</v>
      </c>
      <c r="B97" s="55" t="s">
        <v>225</v>
      </c>
      <c r="C97" s="55" t="s">
        <v>226</v>
      </c>
      <c r="D97" s="55" t="s">
        <v>35</v>
      </c>
      <c r="E97" s="55" t="b">
        <v>1</v>
      </c>
      <c r="F97" s="55" t="s">
        <v>364</v>
      </c>
      <c r="H97" s="56">
        <v>46119</v>
      </c>
    </row>
    <row r="98" spans="1:8" x14ac:dyDescent="0.45">
      <c r="A98" s="55">
        <v>23</v>
      </c>
      <c r="B98" s="55" t="s">
        <v>227</v>
      </c>
      <c r="C98" s="55" t="s">
        <v>40</v>
      </c>
      <c r="D98" s="55" t="s">
        <v>35</v>
      </c>
      <c r="E98" s="55" t="b">
        <v>0</v>
      </c>
      <c r="F98" s="55" t="s">
        <v>363</v>
      </c>
      <c r="G98" s="55">
        <v>10</v>
      </c>
      <c r="H98" s="56">
        <v>46119</v>
      </c>
    </row>
    <row r="99" spans="1:8" x14ac:dyDescent="0.45">
      <c r="A99" s="55">
        <v>1152</v>
      </c>
      <c r="B99" s="55" t="s">
        <v>228</v>
      </c>
      <c r="C99" s="55" t="s">
        <v>229</v>
      </c>
      <c r="D99" s="55" t="s">
        <v>138</v>
      </c>
      <c r="E99" s="55" t="b">
        <v>1</v>
      </c>
      <c r="F99" s="55" t="s">
        <v>366</v>
      </c>
      <c r="H99" s="56">
        <v>46119</v>
      </c>
    </row>
    <row r="100" spans="1:8" x14ac:dyDescent="0.45">
      <c r="A100" s="55">
        <v>581</v>
      </c>
      <c r="B100" s="55" t="s">
        <v>230</v>
      </c>
      <c r="C100" s="55" t="s">
        <v>231</v>
      </c>
      <c r="D100" s="55" t="s">
        <v>35</v>
      </c>
      <c r="E100" s="55" t="b">
        <v>0</v>
      </c>
      <c r="F100" s="55" t="s">
        <v>363</v>
      </c>
      <c r="G100" s="55">
        <v>13</v>
      </c>
      <c r="H100" s="56">
        <v>46119</v>
      </c>
    </row>
    <row r="101" spans="1:8" x14ac:dyDescent="0.45">
      <c r="A101" s="55">
        <v>1374</v>
      </c>
      <c r="B101" s="55" t="s">
        <v>232</v>
      </c>
      <c r="C101" s="55" t="s">
        <v>233</v>
      </c>
      <c r="D101" s="55" t="s">
        <v>35</v>
      </c>
      <c r="E101" s="55" t="b">
        <v>0</v>
      </c>
      <c r="F101" s="55" t="s">
        <v>364</v>
      </c>
      <c r="H101" s="56">
        <v>46119</v>
      </c>
    </row>
    <row r="102" spans="1:8" x14ac:dyDescent="0.45">
      <c r="A102" s="55">
        <v>25</v>
      </c>
      <c r="B102" s="55" t="s">
        <v>29</v>
      </c>
      <c r="C102" s="55" t="s">
        <v>234</v>
      </c>
      <c r="D102" s="55" t="s">
        <v>35</v>
      </c>
      <c r="E102" s="55" t="b">
        <v>0</v>
      </c>
      <c r="F102" s="55" t="s">
        <v>363</v>
      </c>
      <c r="G102" s="55">
        <v>8</v>
      </c>
      <c r="H102" s="56">
        <v>46119</v>
      </c>
    </row>
    <row r="103" spans="1:8" x14ac:dyDescent="0.45">
      <c r="A103" s="55">
        <v>415</v>
      </c>
      <c r="B103" s="55" t="s">
        <v>235</v>
      </c>
      <c r="C103" s="55" t="s">
        <v>237</v>
      </c>
      <c r="D103" s="55" t="s">
        <v>35</v>
      </c>
      <c r="E103" s="55" t="b">
        <v>0</v>
      </c>
      <c r="F103" s="55" t="s">
        <v>363</v>
      </c>
      <c r="G103" s="55">
        <v>6</v>
      </c>
      <c r="H103" s="56">
        <v>46119</v>
      </c>
    </row>
    <row r="104" spans="1:8" x14ac:dyDescent="0.45">
      <c r="A104" s="55">
        <v>1144</v>
      </c>
      <c r="B104" s="55" t="s">
        <v>235</v>
      </c>
      <c r="C104" s="55" t="s">
        <v>236</v>
      </c>
      <c r="D104" s="55" t="s">
        <v>138</v>
      </c>
      <c r="E104" s="55" t="b">
        <v>0</v>
      </c>
      <c r="F104" s="55" t="s">
        <v>366</v>
      </c>
      <c r="H104" s="56">
        <v>46119</v>
      </c>
    </row>
    <row r="105" spans="1:8" x14ac:dyDescent="0.45">
      <c r="A105" s="55">
        <v>203</v>
      </c>
      <c r="B105" s="55" t="s">
        <v>238</v>
      </c>
      <c r="C105" s="55" t="s">
        <v>239</v>
      </c>
      <c r="D105" s="55" t="s">
        <v>35</v>
      </c>
      <c r="E105" s="55" t="b">
        <v>0</v>
      </c>
      <c r="F105" s="55" t="s">
        <v>363</v>
      </c>
      <c r="G105" s="55">
        <v>9</v>
      </c>
      <c r="H105" s="56">
        <v>46119</v>
      </c>
    </row>
    <row r="106" spans="1:8" x14ac:dyDescent="0.45">
      <c r="A106" s="55">
        <v>956</v>
      </c>
      <c r="B106" s="55" t="s">
        <v>240</v>
      </c>
      <c r="C106" s="55" t="s">
        <v>156</v>
      </c>
      <c r="D106" s="55" t="s">
        <v>35</v>
      </c>
      <c r="E106" s="55" t="b">
        <v>0</v>
      </c>
      <c r="F106" s="55" t="s">
        <v>363</v>
      </c>
      <c r="G106" s="55">
        <v>13</v>
      </c>
      <c r="H106" s="56">
        <v>46119</v>
      </c>
    </row>
    <row r="107" spans="1:8" x14ac:dyDescent="0.45">
      <c r="A107" s="55">
        <v>1273</v>
      </c>
      <c r="B107" s="55" t="s">
        <v>241</v>
      </c>
      <c r="C107" s="55" t="s">
        <v>242</v>
      </c>
      <c r="D107" s="55" t="s">
        <v>35</v>
      </c>
      <c r="E107" s="55" t="b">
        <v>1</v>
      </c>
      <c r="F107" s="55" t="s">
        <v>363</v>
      </c>
      <c r="G107" s="55">
        <v>22</v>
      </c>
      <c r="H107" s="56">
        <v>46119</v>
      </c>
    </row>
    <row r="108" spans="1:8" x14ac:dyDescent="0.45">
      <c r="A108" s="55">
        <v>1272</v>
      </c>
      <c r="B108" s="55" t="s">
        <v>241</v>
      </c>
      <c r="C108" s="55" t="s">
        <v>202</v>
      </c>
      <c r="D108" s="55" t="s">
        <v>35</v>
      </c>
      <c r="E108" s="55" t="b">
        <v>0</v>
      </c>
      <c r="F108" s="55" t="s">
        <v>363</v>
      </c>
      <c r="G108" s="55">
        <v>24</v>
      </c>
      <c r="H108" s="56">
        <v>46119</v>
      </c>
    </row>
    <row r="109" spans="1:8" x14ac:dyDescent="0.45">
      <c r="A109" s="55">
        <v>846</v>
      </c>
      <c r="B109" s="55" t="s">
        <v>243</v>
      </c>
      <c r="C109" s="55" t="s">
        <v>244</v>
      </c>
      <c r="D109" s="55" t="s">
        <v>35</v>
      </c>
      <c r="E109" s="55" t="b">
        <v>0</v>
      </c>
      <c r="F109" s="55" t="s">
        <v>363</v>
      </c>
      <c r="G109" s="55">
        <v>17</v>
      </c>
      <c r="H109" s="56">
        <v>46119</v>
      </c>
    </row>
    <row r="110" spans="1:8" x14ac:dyDescent="0.45">
      <c r="A110" s="55">
        <v>1162</v>
      </c>
      <c r="B110" s="55" t="s">
        <v>245</v>
      </c>
      <c r="C110" s="55" t="s">
        <v>200</v>
      </c>
      <c r="D110" s="55" t="s">
        <v>35</v>
      </c>
      <c r="E110" s="55" t="b">
        <v>0</v>
      </c>
      <c r="F110" s="55" t="s">
        <v>364</v>
      </c>
      <c r="H110" s="56">
        <v>46119</v>
      </c>
    </row>
    <row r="111" spans="1:8" x14ac:dyDescent="0.45">
      <c r="A111" s="55">
        <v>1244</v>
      </c>
      <c r="B111" s="55" t="s">
        <v>246</v>
      </c>
      <c r="C111" s="55" t="s">
        <v>156</v>
      </c>
      <c r="D111" s="55" t="s">
        <v>35</v>
      </c>
      <c r="E111" s="55" t="b">
        <v>0</v>
      </c>
      <c r="F111" s="55" t="s">
        <v>363</v>
      </c>
      <c r="G111" s="55">
        <v>2</v>
      </c>
      <c r="H111" s="56">
        <v>46119</v>
      </c>
    </row>
    <row r="112" spans="1:8" x14ac:dyDescent="0.45">
      <c r="A112" s="55">
        <v>1379</v>
      </c>
      <c r="B112" s="55" t="s">
        <v>246</v>
      </c>
      <c r="C112" s="55" t="s">
        <v>247</v>
      </c>
      <c r="D112" s="55" t="s">
        <v>35</v>
      </c>
      <c r="E112" s="55" t="b">
        <v>1</v>
      </c>
      <c r="F112" s="55" t="s">
        <v>364</v>
      </c>
      <c r="H112" s="56">
        <v>46119</v>
      </c>
    </row>
    <row r="113" spans="1:8" x14ac:dyDescent="0.45">
      <c r="A113" s="55">
        <v>1362</v>
      </c>
      <c r="B113" s="55" t="s">
        <v>248</v>
      </c>
      <c r="C113" s="55" t="s">
        <v>249</v>
      </c>
      <c r="D113" s="55" t="s">
        <v>35</v>
      </c>
      <c r="E113" s="55" t="b">
        <v>1</v>
      </c>
      <c r="F113" s="55" t="s">
        <v>363</v>
      </c>
      <c r="G113" s="55">
        <v>22</v>
      </c>
      <c r="H113" s="56">
        <v>46119</v>
      </c>
    </row>
    <row r="114" spans="1:8" x14ac:dyDescent="0.45">
      <c r="A114" s="55">
        <v>1403</v>
      </c>
      <c r="B114" s="55" t="s">
        <v>426</v>
      </c>
      <c r="C114" s="55" t="s">
        <v>410</v>
      </c>
      <c r="D114" s="55" t="s">
        <v>35</v>
      </c>
      <c r="E114" s="55" t="b">
        <v>0</v>
      </c>
      <c r="F114" s="55" t="s">
        <v>363</v>
      </c>
      <c r="G114" s="55">
        <v>8</v>
      </c>
      <c r="H114" s="56">
        <v>46119</v>
      </c>
    </row>
    <row r="115" spans="1:8" x14ac:dyDescent="0.45">
      <c r="A115" s="55">
        <v>1404</v>
      </c>
      <c r="B115" s="55" t="s">
        <v>426</v>
      </c>
      <c r="C115" s="55" t="s">
        <v>320</v>
      </c>
      <c r="D115" s="55" t="s">
        <v>35</v>
      </c>
      <c r="E115" s="55" t="b">
        <v>1</v>
      </c>
      <c r="F115" s="55" t="s">
        <v>364</v>
      </c>
      <c r="H115" s="56">
        <v>46119</v>
      </c>
    </row>
    <row r="116" spans="1:8" x14ac:dyDescent="0.45">
      <c r="A116" s="55">
        <v>1229</v>
      </c>
      <c r="B116" s="55" t="s">
        <v>250</v>
      </c>
      <c r="C116" s="55" t="s">
        <v>251</v>
      </c>
      <c r="D116" s="55" t="s">
        <v>35</v>
      </c>
      <c r="E116" s="55" t="b">
        <v>1</v>
      </c>
      <c r="F116" s="55" t="s">
        <v>364</v>
      </c>
      <c r="H116" s="56">
        <v>46119</v>
      </c>
    </row>
    <row r="117" spans="1:8" x14ac:dyDescent="0.45">
      <c r="A117" s="55">
        <v>1408</v>
      </c>
      <c r="B117" s="55" t="s">
        <v>424</v>
      </c>
      <c r="C117" s="55" t="s">
        <v>425</v>
      </c>
      <c r="D117" s="55" t="s">
        <v>35</v>
      </c>
      <c r="E117" s="55" t="b">
        <v>0</v>
      </c>
      <c r="F117" s="55" t="s">
        <v>363</v>
      </c>
      <c r="G117" s="55">
        <v>20</v>
      </c>
      <c r="H117" s="56">
        <v>46119</v>
      </c>
    </row>
    <row r="118" spans="1:8" x14ac:dyDescent="0.45">
      <c r="A118" s="55">
        <v>1409</v>
      </c>
      <c r="B118" s="55" t="s">
        <v>424</v>
      </c>
      <c r="C118" s="55" t="s">
        <v>423</v>
      </c>
      <c r="D118" s="55" t="s">
        <v>35</v>
      </c>
      <c r="E118" s="55" t="b">
        <v>1</v>
      </c>
      <c r="F118" s="55" t="s">
        <v>363</v>
      </c>
      <c r="G118" s="55">
        <v>15</v>
      </c>
      <c r="H118" s="56">
        <v>46119</v>
      </c>
    </row>
    <row r="119" spans="1:8" x14ac:dyDescent="0.45">
      <c r="A119" s="55">
        <v>1198</v>
      </c>
      <c r="B119" s="55" t="s">
        <v>252</v>
      </c>
      <c r="C119" s="55" t="s">
        <v>253</v>
      </c>
      <c r="D119" s="55" t="s">
        <v>35</v>
      </c>
      <c r="E119" s="55" t="b">
        <v>0</v>
      </c>
      <c r="F119" s="55" t="s">
        <v>363</v>
      </c>
      <c r="G119" s="55">
        <v>5</v>
      </c>
      <c r="H119" s="56">
        <v>46119</v>
      </c>
    </row>
    <row r="120" spans="1:8" x14ac:dyDescent="0.45">
      <c r="A120" s="55">
        <v>1260</v>
      </c>
      <c r="B120" s="55" t="s">
        <v>508</v>
      </c>
      <c r="C120" s="55" t="s">
        <v>454</v>
      </c>
      <c r="D120" s="55" t="s">
        <v>35</v>
      </c>
      <c r="E120" s="55" t="b">
        <v>1</v>
      </c>
      <c r="F120" s="55" t="s">
        <v>363</v>
      </c>
      <c r="G120" s="55">
        <v>15</v>
      </c>
      <c r="H120" s="56">
        <v>46119</v>
      </c>
    </row>
    <row r="121" spans="1:8" x14ac:dyDescent="0.45">
      <c r="A121" s="55">
        <v>1361</v>
      </c>
      <c r="B121" s="55" t="s">
        <v>254</v>
      </c>
      <c r="C121" s="55" t="s">
        <v>255</v>
      </c>
      <c r="D121" s="55" t="s">
        <v>35</v>
      </c>
      <c r="E121" s="55" t="b">
        <v>0</v>
      </c>
      <c r="F121" s="55" t="s">
        <v>363</v>
      </c>
      <c r="G121" s="55">
        <v>16</v>
      </c>
      <c r="H121" s="56">
        <v>46119</v>
      </c>
    </row>
    <row r="122" spans="1:8" x14ac:dyDescent="0.45">
      <c r="A122" s="55">
        <v>1100</v>
      </c>
      <c r="B122" s="55" t="s">
        <v>256</v>
      </c>
      <c r="C122" s="55" t="s">
        <v>37</v>
      </c>
      <c r="D122" s="55" t="s">
        <v>35</v>
      </c>
      <c r="E122" s="55" t="b">
        <v>0</v>
      </c>
      <c r="F122" s="55" t="s">
        <v>363</v>
      </c>
      <c r="G122" s="55">
        <v>13</v>
      </c>
      <c r="H122" s="56">
        <v>46119</v>
      </c>
    </row>
    <row r="123" spans="1:8" x14ac:dyDescent="0.45">
      <c r="A123" s="55">
        <v>1385</v>
      </c>
      <c r="B123" s="55" t="s">
        <v>257</v>
      </c>
      <c r="C123" s="55" t="s">
        <v>6</v>
      </c>
      <c r="D123" s="55" t="s">
        <v>35</v>
      </c>
      <c r="E123" s="55" t="b">
        <v>0</v>
      </c>
      <c r="F123" s="55" t="s">
        <v>364</v>
      </c>
      <c r="H123" s="56">
        <v>46119</v>
      </c>
    </row>
    <row r="124" spans="1:8" x14ac:dyDescent="0.45">
      <c r="A124" s="55">
        <v>1394</v>
      </c>
      <c r="B124" s="55" t="s">
        <v>257</v>
      </c>
      <c r="C124" s="55" t="s">
        <v>330</v>
      </c>
      <c r="D124" s="55" t="s">
        <v>35</v>
      </c>
      <c r="E124" s="55" t="b">
        <v>0</v>
      </c>
      <c r="F124" s="55" t="s">
        <v>365</v>
      </c>
      <c r="H124" s="56">
        <v>46119</v>
      </c>
    </row>
    <row r="125" spans="1:8" x14ac:dyDescent="0.45">
      <c r="A125" s="55">
        <v>1419</v>
      </c>
      <c r="B125" s="55" t="s">
        <v>485</v>
      </c>
      <c r="C125" s="55" t="s">
        <v>451</v>
      </c>
      <c r="D125" s="55" t="s">
        <v>35</v>
      </c>
      <c r="E125" s="55" t="b">
        <v>0</v>
      </c>
      <c r="F125" s="55" t="s">
        <v>364</v>
      </c>
      <c r="H125" s="56">
        <v>46119</v>
      </c>
    </row>
    <row r="126" spans="1:8" x14ac:dyDescent="0.45">
      <c r="A126" s="55">
        <v>967</v>
      </c>
      <c r="B126" s="55" t="s">
        <v>258</v>
      </c>
      <c r="C126" s="55" t="s">
        <v>198</v>
      </c>
      <c r="D126" s="55" t="s">
        <v>35</v>
      </c>
      <c r="E126" s="55" t="b">
        <v>0</v>
      </c>
      <c r="F126" s="55" t="s">
        <v>363</v>
      </c>
      <c r="G126" s="55">
        <v>5</v>
      </c>
      <c r="H126" s="56">
        <v>46119</v>
      </c>
    </row>
    <row r="127" spans="1:8" x14ac:dyDescent="0.45">
      <c r="A127" s="55">
        <v>1373</v>
      </c>
      <c r="B127" s="55" t="s">
        <v>507</v>
      </c>
      <c r="C127" s="55" t="s">
        <v>30</v>
      </c>
      <c r="D127" s="55" t="s">
        <v>35</v>
      </c>
      <c r="E127" s="55" t="b">
        <v>0</v>
      </c>
      <c r="F127" s="55" t="s">
        <v>363</v>
      </c>
      <c r="G127" s="55">
        <v>10</v>
      </c>
      <c r="H127" s="56">
        <v>46119</v>
      </c>
    </row>
    <row r="128" spans="1:8" x14ac:dyDescent="0.45">
      <c r="A128" s="55">
        <v>1045</v>
      </c>
      <c r="B128" s="55" t="s">
        <v>259</v>
      </c>
      <c r="C128" s="55" t="s">
        <v>260</v>
      </c>
      <c r="D128" s="55" t="s">
        <v>35</v>
      </c>
      <c r="E128" s="55" t="b">
        <v>1</v>
      </c>
      <c r="F128" s="55" t="s">
        <v>363</v>
      </c>
      <c r="G128" s="55">
        <v>5</v>
      </c>
      <c r="H128" s="56">
        <v>46119</v>
      </c>
    </row>
    <row r="129" spans="1:8" x14ac:dyDescent="0.45">
      <c r="A129" s="55">
        <v>1046</v>
      </c>
      <c r="B129" s="55" t="s">
        <v>259</v>
      </c>
      <c r="C129" s="55" t="s">
        <v>261</v>
      </c>
      <c r="D129" s="55" t="s">
        <v>35</v>
      </c>
      <c r="E129" s="55" t="b">
        <v>0</v>
      </c>
      <c r="F129" s="55" t="s">
        <v>363</v>
      </c>
      <c r="G129" s="55">
        <v>35</v>
      </c>
      <c r="H129" s="56">
        <v>46119</v>
      </c>
    </row>
    <row r="130" spans="1:8" x14ac:dyDescent="0.45">
      <c r="A130" s="55">
        <v>1396</v>
      </c>
      <c r="B130" s="55" t="s">
        <v>421</v>
      </c>
      <c r="C130" s="55" t="s">
        <v>57</v>
      </c>
      <c r="D130" s="55" t="s">
        <v>35</v>
      </c>
      <c r="E130" s="55" t="b">
        <v>0</v>
      </c>
      <c r="F130" s="55" t="s">
        <v>364</v>
      </c>
      <c r="H130" s="56">
        <v>46119</v>
      </c>
    </row>
    <row r="131" spans="1:8" x14ac:dyDescent="0.45">
      <c r="A131" s="55">
        <v>1397</v>
      </c>
      <c r="B131" s="55" t="s">
        <v>421</v>
      </c>
      <c r="C131" s="55" t="s">
        <v>422</v>
      </c>
      <c r="D131" s="55" t="s">
        <v>35</v>
      </c>
      <c r="E131" s="55" t="b">
        <v>1</v>
      </c>
      <c r="F131" s="55" t="s">
        <v>364</v>
      </c>
      <c r="H131" s="56">
        <v>46119</v>
      </c>
    </row>
    <row r="132" spans="1:8" x14ac:dyDescent="0.45">
      <c r="A132" s="55">
        <v>1398</v>
      </c>
      <c r="B132" s="55" t="s">
        <v>421</v>
      </c>
      <c r="C132" s="55" t="s">
        <v>49</v>
      </c>
      <c r="D132" s="55" t="s">
        <v>35</v>
      </c>
      <c r="E132" s="55" t="b">
        <v>0</v>
      </c>
      <c r="F132" s="55" t="s">
        <v>365</v>
      </c>
      <c r="H132" s="56">
        <v>46119</v>
      </c>
    </row>
    <row r="133" spans="1:8" x14ac:dyDescent="0.45">
      <c r="A133" s="55">
        <v>1399</v>
      </c>
      <c r="B133" s="55" t="s">
        <v>421</v>
      </c>
      <c r="C133" s="55" t="s">
        <v>182</v>
      </c>
      <c r="D133" s="55" t="s">
        <v>35</v>
      </c>
      <c r="E133" s="55" t="b">
        <v>1</v>
      </c>
      <c r="F133" s="55" t="s">
        <v>365</v>
      </c>
      <c r="H133" s="56">
        <v>46119</v>
      </c>
    </row>
    <row r="134" spans="1:8" x14ac:dyDescent="0.45">
      <c r="A134" s="55">
        <v>771</v>
      </c>
      <c r="B134" s="55" t="s">
        <v>263</v>
      </c>
      <c r="C134" s="55" t="s">
        <v>264</v>
      </c>
      <c r="D134" s="55" t="s">
        <v>35</v>
      </c>
      <c r="E134" s="55" t="b">
        <v>0</v>
      </c>
      <c r="F134" s="55" t="s">
        <v>363</v>
      </c>
      <c r="G134" s="55">
        <v>14</v>
      </c>
      <c r="H134" s="56">
        <v>46119</v>
      </c>
    </row>
    <row r="135" spans="1:8" x14ac:dyDescent="0.45">
      <c r="A135" s="55">
        <v>1265</v>
      </c>
      <c r="B135" s="55" t="s">
        <v>265</v>
      </c>
      <c r="C135" s="55" t="s">
        <v>266</v>
      </c>
      <c r="D135" s="55" t="s">
        <v>35</v>
      </c>
      <c r="E135" s="55" t="b">
        <v>0</v>
      </c>
      <c r="F135" s="55" t="s">
        <v>363</v>
      </c>
      <c r="G135" s="55">
        <v>20</v>
      </c>
      <c r="H135" s="56">
        <v>46119</v>
      </c>
    </row>
    <row r="136" spans="1:8" x14ac:dyDescent="0.45">
      <c r="A136" s="55">
        <v>532</v>
      </c>
      <c r="B136" s="55" t="s">
        <v>267</v>
      </c>
      <c r="C136" s="55" t="s">
        <v>266</v>
      </c>
      <c r="D136" s="55" t="s">
        <v>35</v>
      </c>
      <c r="E136" s="55" t="b">
        <v>0</v>
      </c>
      <c r="F136" s="55" t="s">
        <v>363</v>
      </c>
      <c r="G136" s="55">
        <v>13</v>
      </c>
      <c r="H136" s="56">
        <v>46119</v>
      </c>
    </row>
    <row r="137" spans="1:8" x14ac:dyDescent="0.45">
      <c r="A137" s="55">
        <v>742</v>
      </c>
      <c r="B137" s="55" t="s">
        <v>269</v>
      </c>
      <c r="C137" s="55" t="s">
        <v>205</v>
      </c>
      <c r="D137" s="55" t="s">
        <v>35</v>
      </c>
      <c r="E137" s="55" t="b">
        <v>1</v>
      </c>
      <c r="F137" s="55" t="s">
        <v>363</v>
      </c>
      <c r="G137" s="55">
        <v>2</v>
      </c>
      <c r="H137" s="56">
        <v>46119</v>
      </c>
    </row>
    <row r="138" spans="1:8" x14ac:dyDescent="0.45">
      <c r="A138" s="55">
        <v>741</v>
      </c>
      <c r="B138" s="55" t="s">
        <v>269</v>
      </c>
      <c r="C138" s="55" t="s">
        <v>271</v>
      </c>
      <c r="D138" s="55" t="s">
        <v>35</v>
      </c>
      <c r="E138" s="55" t="b">
        <v>0</v>
      </c>
      <c r="F138" s="55" t="s">
        <v>363</v>
      </c>
      <c r="G138" s="55">
        <v>4</v>
      </c>
      <c r="H138" s="56">
        <v>46119</v>
      </c>
    </row>
    <row r="139" spans="1:8" x14ac:dyDescent="0.45">
      <c r="A139" s="55">
        <v>1298</v>
      </c>
      <c r="B139" s="55" t="s">
        <v>269</v>
      </c>
      <c r="C139" s="55" t="s">
        <v>183</v>
      </c>
      <c r="D139" s="55" t="s">
        <v>35</v>
      </c>
      <c r="E139" s="55" t="b">
        <v>1</v>
      </c>
      <c r="F139" s="55" t="s">
        <v>363</v>
      </c>
      <c r="G139" s="55">
        <v>13</v>
      </c>
      <c r="H139" s="56">
        <v>46119</v>
      </c>
    </row>
    <row r="140" spans="1:8" x14ac:dyDescent="0.45">
      <c r="A140" s="55">
        <v>747</v>
      </c>
      <c r="B140" s="55" t="s">
        <v>269</v>
      </c>
      <c r="C140" s="55" t="s">
        <v>29</v>
      </c>
      <c r="D140" s="55" t="s">
        <v>35</v>
      </c>
      <c r="E140" s="55" t="b">
        <v>0</v>
      </c>
      <c r="F140" s="55" t="s">
        <v>363</v>
      </c>
      <c r="G140" s="55">
        <v>1</v>
      </c>
      <c r="H140" s="56">
        <v>46119</v>
      </c>
    </row>
    <row r="141" spans="1:8" x14ac:dyDescent="0.45">
      <c r="A141" s="55">
        <v>1386</v>
      </c>
      <c r="B141" s="55" t="s">
        <v>269</v>
      </c>
      <c r="C141" s="55" t="s">
        <v>270</v>
      </c>
      <c r="D141" s="55" t="s">
        <v>35</v>
      </c>
      <c r="E141" s="55" t="b">
        <v>1</v>
      </c>
      <c r="F141" s="55" t="s">
        <v>365</v>
      </c>
      <c r="H141" s="56">
        <v>46119</v>
      </c>
    </row>
    <row r="142" spans="1:8" x14ac:dyDescent="0.45">
      <c r="A142" s="55">
        <v>564</v>
      </c>
      <c r="B142" s="55" t="s">
        <v>420</v>
      </c>
      <c r="C142" s="55" t="s">
        <v>37</v>
      </c>
      <c r="D142" s="55" t="s">
        <v>35</v>
      </c>
      <c r="E142" s="55" t="b">
        <v>0</v>
      </c>
      <c r="F142" s="55" t="s">
        <v>363</v>
      </c>
      <c r="G142" s="55">
        <v>7</v>
      </c>
      <c r="H142" s="56">
        <v>46119</v>
      </c>
    </row>
    <row r="143" spans="1:8" x14ac:dyDescent="0.45">
      <c r="A143" s="55">
        <v>1165</v>
      </c>
      <c r="B143" s="55" t="s">
        <v>272</v>
      </c>
      <c r="C143" s="55" t="s">
        <v>222</v>
      </c>
      <c r="D143" s="55" t="s">
        <v>35</v>
      </c>
      <c r="E143" s="55" t="b">
        <v>0</v>
      </c>
      <c r="F143" s="55" t="s">
        <v>363</v>
      </c>
      <c r="G143" s="55">
        <v>10</v>
      </c>
      <c r="H143" s="56">
        <v>46119</v>
      </c>
    </row>
    <row r="144" spans="1:8" x14ac:dyDescent="0.45">
      <c r="A144" s="55">
        <v>405</v>
      </c>
      <c r="B144" s="55" t="s">
        <v>273</v>
      </c>
      <c r="C144" s="55" t="s">
        <v>266</v>
      </c>
      <c r="D144" s="55" t="s">
        <v>35</v>
      </c>
      <c r="E144" s="55" t="b">
        <v>0</v>
      </c>
      <c r="F144" s="55" t="s">
        <v>363</v>
      </c>
      <c r="G144" s="55">
        <v>18</v>
      </c>
      <c r="H144" s="56">
        <v>46119</v>
      </c>
    </row>
    <row r="145" spans="1:8" x14ac:dyDescent="0.45">
      <c r="A145" s="55">
        <v>1346</v>
      </c>
      <c r="B145" s="55" t="s">
        <v>274</v>
      </c>
      <c r="C145" s="55" t="s">
        <v>275</v>
      </c>
      <c r="D145" s="55" t="s">
        <v>35</v>
      </c>
      <c r="E145" s="55" t="b">
        <v>0</v>
      </c>
      <c r="F145" s="55" t="s">
        <v>363</v>
      </c>
      <c r="G145" s="55">
        <v>20</v>
      </c>
      <c r="H145" s="56">
        <v>46119</v>
      </c>
    </row>
    <row r="146" spans="1:8" x14ac:dyDescent="0.45">
      <c r="A146" s="55">
        <v>1192</v>
      </c>
      <c r="B146" s="55" t="s">
        <v>276</v>
      </c>
      <c r="C146" s="55" t="s">
        <v>277</v>
      </c>
      <c r="D146" s="55" t="s">
        <v>35</v>
      </c>
      <c r="E146" s="55" t="b">
        <v>0</v>
      </c>
      <c r="F146" s="55" t="s">
        <v>363</v>
      </c>
      <c r="G146" s="55">
        <v>10</v>
      </c>
      <c r="H146" s="56">
        <v>46119</v>
      </c>
    </row>
    <row r="147" spans="1:8" x14ac:dyDescent="0.45">
      <c r="A147" s="55">
        <v>1157</v>
      </c>
      <c r="B147" s="55" t="s">
        <v>278</v>
      </c>
      <c r="C147" s="55" t="s">
        <v>40</v>
      </c>
      <c r="D147" s="55" t="s">
        <v>35</v>
      </c>
      <c r="E147" s="55" t="b">
        <v>0</v>
      </c>
      <c r="F147" s="55" t="s">
        <v>364</v>
      </c>
      <c r="H147" s="56">
        <v>46119</v>
      </c>
    </row>
    <row r="148" spans="1:8" x14ac:dyDescent="0.45">
      <c r="A148" s="55">
        <v>1359</v>
      </c>
      <c r="B148" s="55" t="s">
        <v>279</v>
      </c>
      <c r="C148" s="55" t="s">
        <v>49</v>
      </c>
      <c r="D148" s="55" t="s">
        <v>35</v>
      </c>
      <c r="E148" s="55" t="b">
        <v>0</v>
      </c>
      <c r="F148" s="55" t="s">
        <v>366</v>
      </c>
      <c r="H148" s="56">
        <v>46119</v>
      </c>
    </row>
    <row r="149" spans="1:8" x14ac:dyDescent="0.45">
      <c r="A149" s="55">
        <v>1360</v>
      </c>
      <c r="B149" s="55" t="s">
        <v>279</v>
      </c>
      <c r="C149" s="55" t="s">
        <v>281</v>
      </c>
      <c r="D149" s="55" t="s">
        <v>35</v>
      </c>
      <c r="E149" s="55" t="b">
        <v>1</v>
      </c>
      <c r="F149" s="55" t="s">
        <v>365</v>
      </c>
      <c r="H149" s="56">
        <v>46119</v>
      </c>
    </row>
    <row r="150" spans="1:8" x14ac:dyDescent="0.45">
      <c r="A150" s="55">
        <v>1357</v>
      </c>
      <c r="B150" s="55" t="s">
        <v>279</v>
      </c>
      <c r="C150" s="55" t="s">
        <v>37</v>
      </c>
      <c r="D150" s="55" t="s">
        <v>35</v>
      </c>
      <c r="E150" s="55" t="b">
        <v>0</v>
      </c>
      <c r="F150" s="55" t="s">
        <v>363</v>
      </c>
      <c r="G150" s="55">
        <v>5</v>
      </c>
      <c r="H150" s="56">
        <v>46119</v>
      </c>
    </row>
    <row r="151" spans="1:8" x14ac:dyDescent="0.45">
      <c r="A151" s="55">
        <v>1358</v>
      </c>
      <c r="B151" s="55" t="s">
        <v>279</v>
      </c>
      <c r="C151" s="55" t="s">
        <v>280</v>
      </c>
      <c r="D151" s="55" t="s">
        <v>35</v>
      </c>
      <c r="E151" s="55" t="b">
        <v>1</v>
      </c>
      <c r="F151" s="55" t="s">
        <v>363</v>
      </c>
      <c r="G151" s="55">
        <v>7</v>
      </c>
      <c r="H151" s="56">
        <v>46119</v>
      </c>
    </row>
    <row r="152" spans="1:8" x14ac:dyDescent="0.45">
      <c r="A152" s="55">
        <v>1390</v>
      </c>
      <c r="B152" s="55" t="s">
        <v>419</v>
      </c>
      <c r="C152" s="55" t="s">
        <v>418</v>
      </c>
      <c r="D152" s="55" t="s">
        <v>35</v>
      </c>
      <c r="E152" s="55" t="b">
        <v>0</v>
      </c>
      <c r="F152" s="55" t="s">
        <v>364</v>
      </c>
      <c r="H152" s="56">
        <v>46119</v>
      </c>
    </row>
    <row r="153" spans="1:8" x14ac:dyDescent="0.45">
      <c r="A153" s="55">
        <v>1107</v>
      </c>
      <c r="B153" s="55" t="s">
        <v>282</v>
      </c>
      <c r="C153" s="55" t="s">
        <v>283</v>
      </c>
      <c r="D153" s="55" t="s">
        <v>35</v>
      </c>
      <c r="E153" s="55" t="b">
        <v>1</v>
      </c>
      <c r="F153" s="55" t="s">
        <v>364</v>
      </c>
      <c r="H153" s="56">
        <v>46119</v>
      </c>
    </row>
    <row r="154" spans="1:8" x14ac:dyDescent="0.45">
      <c r="A154" s="55">
        <v>35</v>
      </c>
      <c r="B154" s="55" t="s">
        <v>284</v>
      </c>
      <c r="C154" s="55" t="s">
        <v>285</v>
      </c>
      <c r="D154" s="55" t="s">
        <v>35</v>
      </c>
      <c r="E154" s="55" t="b">
        <v>0</v>
      </c>
      <c r="F154" s="55" t="s">
        <v>363</v>
      </c>
      <c r="G154" s="55">
        <v>3</v>
      </c>
      <c r="H154" s="56">
        <v>46119</v>
      </c>
    </row>
    <row r="155" spans="1:8" x14ac:dyDescent="0.45">
      <c r="A155" s="55">
        <v>1094</v>
      </c>
      <c r="B155" s="55" t="s">
        <v>286</v>
      </c>
      <c r="C155" s="55" t="s">
        <v>63</v>
      </c>
      <c r="D155" s="55" t="s">
        <v>35</v>
      </c>
      <c r="E155" s="55" t="b">
        <v>0</v>
      </c>
      <c r="F155" s="55" t="s">
        <v>363</v>
      </c>
      <c r="G155" s="55">
        <v>12</v>
      </c>
      <c r="H155" s="56">
        <v>46119</v>
      </c>
    </row>
    <row r="156" spans="1:8" x14ac:dyDescent="0.45">
      <c r="A156" s="55">
        <v>1325</v>
      </c>
      <c r="B156" s="55" t="s">
        <v>287</v>
      </c>
      <c r="C156" s="55" t="s">
        <v>288</v>
      </c>
      <c r="D156" s="55" t="s">
        <v>35</v>
      </c>
      <c r="E156" s="55" t="b">
        <v>0</v>
      </c>
      <c r="F156" s="55" t="s">
        <v>363</v>
      </c>
      <c r="G156" s="55">
        <v>3</v>
      </c>
      <c r="H156" s="56">
        <v>46119</v>
      </c>
    </row>
    <row r="157" spans="1:8" x14ac:dyDescent="0.45">
      <c r="A157" s="55">
        <v>1143</v>
      </c>
      <c r="B157" s="55" t="s">
        <v>289</v>
      </c>
      <c r="C157" s="55" t="s">
        <v>271</v>
      </c>
      <c r="D157" s="55" t="s">
        <v>35</v>
      </c>
      <c r="E157" s="55" t="b">
        <v>0</v>
      </c>
      <c r="F157" s="55" t="s">
        <v>363</v>
      </c>
      <c r="G157" s="55">
        <v>3</v>
      </c>
      <c r="H157" s="56">
        <v>46119</v>
      </c>
    </row>
    <row r="158" spans="1:8" x14ac:dyDescent="0.45">
      <c r="A158" s="55">
        <v>1401</v>
      </c>
      <c r="B158" s="55" t="s">
        <v>417</v>
      </c>
      <c r="C158" s="55" t="s">
        <v>416</v>
      </c>
      <c r="D158" s="55" t="s">
        <v>35</v>
      </c>
      <c r="E158" s="55" t="b">
        <v>1</v>
      </c>
      <c r="F158" s="55" t="s">
        <v>364</v>
      </c>
      <c r="H158" s="56">
        <v>46119</v>
      </c>
    </row>
    <row r="159" spans="1:8" x14ac:dyDescent="0.45">
      <c r="A159" s="55">
        <v>1285</v>
      </c>
      <c r="B159" s="55" t="s">
        <v>415</v>
      </c>
      <c r="C159" s="55" t="s">
        <v>40</v>
      </c>
      <c r="D159" s="55" t="s">
        <v>35</v>
      </c>
      <c r="E159" s="55" t="b">
        <v>0</v>
      </c>
      <c r="F159" s="55" t="s">
        <v>364</v>
      </c>
      <c r="H159" s="56">
        <v>46119</v>
      </c>
    </row>
    <row r="160" spans="1:8" x14ac:dyDescent="0.45">
      <c r="A160" s="55">
        <v>38</v>
      </c>
      <c r="B160" s="55" t="s">
        <v>290</v>
      </c>
      <c r="C160" s="55" t="s">
        <v>291</v>
      </c>
      <c r="D160" s="55" t="s">
        <v>35</v>
      </c>
      <c r="E160" s="55" t="b">
        <v>0</v>
      </c>
      <c r="F160" s="55" t="s">
        <v>363</v>
      </c>
      <c r="G160" s="55">
        <v>13</v>
      </c>
      <c r="H160" s="56">
        <v>46119</v>
      </c>
    </row>
    <row r="161" spans="1:8" x14ac:dyDescent="0.45">
      <c r="A161" s="55">
        <v>245</v>
      </c>
      <c r="B161" s="55" t="s">
        <v>292</v>
      </c>
      <c r="C161" s="55" t="s">
        <v>30</v>
      </c>
      <c r="D161" s="55" t="s">
        <v>35</v>
      </c>
      <c r="E161" s="55" t="b">
        <v>0</v>
      </c>
      <c r="F161" s="55" t="s">
        <v>363</v>
      </c>
      <c r="G161" s="55">
        <v>10</v>
      </c>
      <c r="H161" s="56">
        <v>46119</v>
      </c>
    </row>
    <row r="162" spans="1:8" x14ac:dyDescent="0.45">
      <c r="A162" s="55">
        <v>39</v>
      </c>
      <c r="B162" s="55" t="s">
        <v>292</v>
      </c>
      <c r="C162" s="55" t="s">
        <v>71</v>
      </c>
      <c r="D162" s="55" t="s">
        <v>35</v>
      </c>
      <c r="E162" s="55" t="b">
        <v>0</v>
      </c>
      <c r="F162" s="55" t="s">
        <v>363</v>
      </c>
      <c r="G162" s="55">
        <v>43</v>
      </c>
      <c r="H162" s="56">
        <v>46119</v>
      </c>
    </row>
    <row r="163" spans="1:8" x14ac:dyDescent="0.45">
      <c r="A163" s="55">
        <v>508</v>
      </c>
      <c r="B163" s="55" t="s">
        <v>293</v>
      </c>
      <c r="C163" s="55" t="s">
        <v>57</v>
      </c>
      <c r="D163" s="55" t="s">
        <v>35</v>
      </c>
      <c r="E163" s="55" t="b">
        <v>0</v>
      </c>
      <c r="F163" s="55" t="s">
        <v>363</v>
      </c>
      <c r="G163" s="55">
        <v>31</v>
      </c>
      <c r="H163" s="56">
        <v>46119</v>
      </c>
    </row>
    <row r="164" spans="1:8" x14ac:dyDescent="0.45">
      <c r="A164" s="55">
        <v>1392</v>
      </c>
      <c r="B164" s="55" t="s">
        <v>414</v>
      </c>
      <c r="C164" s="55" t="s">
        <v>413</v>
      </c>
      <c r="D164" s="55" t="s">
        <v>35</v>
      </c>
      <c r="E164" s="55" t="b">
        <v>1</v>
      </c>
      <c r="F164" s="55" t="s">
        <v>364</v>
      </c>
      <c r="H164" s="56">
        <v>46119</v>
      </c>
    </row>
    <row r="165" spans="1:8" x14ac:dyDescent="0.45">
      <c r="A165" s="55">
        <v>1141</v>
      </c>
      <c r="B165" s="55" t="s">
        <v>294</v>
      </c>
      <c r="C165" s="55" t="s">
        <v>295</v>
      </c>
      <c r="D165" s="55" t="s">
        <v>35</v>
      </c>
      <c r="E165" s="55" t="b">
        <v>1</v>
      </c>
      <c r="F165" s="55" t="s">
        <v>363</v>
      </c>
      <c r="G165" s="55">
        <v>15</v>
      </c>
      <c r="H165" s="56">
        <v>46119</v>
      </c>
    </row>
    <row r="166" spans="1:8" x14ac:dyDescent="0.45">
      <c r="A166" s="55">
        <v>891</v>
      </c>
      <c r="B166" s="55" t="s">
        <v>296</v>
      </c>
      <c r="C166" s="55" t="s">
        <v>297</v>
      </c>
      <c r="D166" s="55" t="s">
        <v>35</v>
      </c>
      <c r="E166" s="55" t="b">
        <v>1</v>
      </c>
      <c r="F166" s="55" t="s">
        <v>364</v>
      </c>
      <c r="H166" s="56">
        <v>46119</v>
      </c>
    </row>
    <row r="167" spans="1:8" x14ac:dyDescent="0.45">
      <c r="A167" s="55">
        <v>1352</v>
      </c>
      <c r="B167" s="55" t="s">
        <v>450</v>
      </c>
      <c r="C167" s="55" t="s">
        <v>37</v>
      </c>
      <c r="D167" s="55" t="s">
        <v>35</v>
      </c>
      <c r="E167" s="55" t="b">
        <v>0</v>
      </c>
      <c r="F167" s="55" t="s">
        <v>363</v>
      </c>
      <c r="G167" s="55">
        <v>11</v>
      </c>
      <c r="H167" s="56">
        <v>46119</v>
      </c>
    </row>
    <row r="168" spans="1:8" x14ac:dyDescent="0.45">
      <c r="A168" s="55">
        <v>1339</v>
      </c>
      <c r="B168" s="55" t="s">
        <v>300</v>
      </c>
      <c r="C168" s="55" t="s">
        <v>301</v>
      </c>
      <c r="D168" s="55" t="s">
        <v>35</v>
      </c>
      <c r="E168" s="55" t="b">
        <v>0</v>
      </c>
      <c r="F168" s="55" t="s">
        <v>364</v>
      </c>
      <c r="H168" s="56">
        <v>46119</v>
      </c>
    </row>
    <row r="169" spans="1:8" x14ac:dyDescent="0.45">
      <c r="A169" s="55">
        <v>914</v>
      </c>
      <c r="B169" s="55" t="s">
        <v>302</v>
      </c>
      <c r="C169" s="55" t="s">
        <v>199</v>
      </c>
      <c r="D169" s="55" t="s">
        <v>35</v>
      </c>
      <c r="E169" s="55" t="b">
        <v>0</v>
      </c>
      <c r="F169" s="55" t="s">
        <v>363</v>
      </c>
      <c r="G169" s="55">
        <v>14</v>
      </c>
      <c r="H169" s="56">
        <v>46119</v>
      </c>
    </row>
    <row r="170" spans="1:8" x14ac:dyDescent="0.45">
      <c r="A170" s="55">
        <v>597</v>
      </c>
      <c r="B170" s="55" t="s">
        <v>298</v>
      </c>
      <c r="C170" s="55" t="s">
        <v>299</v>
      </c>
      <c r="D170" s="55" t="s">
        <v>35</v>
      </c>
      <c r="E170" s="55" t="b">
        <v>0</v>
      </c>
      <c r="F170" s="55" t="s">
        <v>363</v>
      </c>
      <c r="G170" s="55">
        <v>36</v>
      </c>
      <c r="H170" s="56">
        <v>46119</v>
      </c>
    </row>
    <row r="171" spans="1:8" x14ac:dyDescent="0.45">
      <c r="A171" s="55">
        <v>1038</v>
      </c>
      <c r="B171" s="55" t="s">
        <v>302</v>
      </c>
      <c r="C171" s="55" t="s">
        <v>51</v>
      </c>
      <c r="D171" s="55" t="s">
        <v>35</v>
      </c>
      <c r="E171" s="55" t="b">
        <v>0</v>
      </c>
      <c r="F171" s="55" t="s">
        <v>363</v>
      </c>
      <c r="G171" s="55">
        <v>12</v>
      </c>
      <c r="H171" s="56">
        <v>46119</v>
      </c>
    </row>
    <row r="172" spans="1:8" x14ac:dyDescent="0.45">
      <c r="A172" s="55">
        <v>1242</v>
      </c>
      <c r="B172" s="55" t="s">
        <v>303</v>
      </c>
      <c r="C172" s="55" t="s">
        <v>231</v>
      </c>
      <c r="D172" s="55" t="s">
        <v>35</v>
      </c>
      <c r="E172" s="55" t="b">
        <v>0</v>
      </c>
      <c r="F172" s="55" t="s">
        <v>363</v>
      </c>
      <c r="G172" s="55">
        <v>15</v>
      </c>
      <c r="H172" s="56">
        <v>46119</v>
      </c>
    </row>
    <row r="173" spans="1:8" x14ac:dyDescent="0.45">
      <c r="A173" s="55">
        <v>1048</v>
      </c>
      <c r="B173" s="55" t="s">
        <v>304</v>
      </c>
      <c r="C173" s="55" t="s">
        <v>63</v>
      </c>
      <c r="D173" s="55" t="s">
        <v>35</v>
      </c>
      <c r="E173" s="55" t="b">
        <v>0</v>
      </c>
      <c r="F173" s="55" t="s">
        <v>363</v>
      </c>
      <c r="G173" s="55">
        <v>16</v>
      </c>
      <c r="H173" s="56">
        <v>46119</v>
      </c>
    </row>
    <row r="174" spans="1:8" x14ac:dyDescent="0.45">
      <c r="A174" s="55">
        <v>1055</v>
      </c>
      <c r="B174" s="55" t="s">
        <v>304</v>
      </c>
      <c r="C174" s="55" t="s">
        <v>305</v>
      </c>
      <c r="D174" s="55" t="s">
        <v>35</v>
      </c>
      <c r="E174" s="55" t="b">
        <v>0</v>
      </c>
      <c r="F174" s="55" t="s">
        <v>363</v>
      </c>
      <c r="G174" s="55">
        <v>1</v>
      </c>
      <c r="H174" s="56">
        <v>46119</v>
      </c>
    </row>
    <row r="175" spans="1:8" x14ac:dyDescent="0.45">
      <c r="A175" s="55">
        <v>820</v>
      </c>
      <c r="B175" s="55" t="s">
        <v>304</v>
      </c>
      <c r="C175" s="55" t="s">
        <v>187</v>
      </c>
      <c r="D175" s="55" t="s">
        <v>35</v>
      </c>
      <c r="E175" s="55" t="b">
        <v>1</v>
      </c>
      <c r="F175" s="55" t="s">
        <v>363</v>
      </c>
      <c r="G175" s="55">
        <v>6</v>
      </c>
      <c r="H175" s="56">
        <v>46119</v>
      </c>
    </row>
    <row r="176" spans="1:8" x14ac:dyDescent="0.45">
      <c r="A176" s="55">
        <v>687</v>
      </c>
      <c r="B176" s="55" t="s">
        <v>304</v>
      </c>
      <c r="C176" s="55" t="s">
        <v>306</v>
      </c>
      <c r="D176" s="55" t="s">
        <v>35</v>
      </c>
      <c r="E176" s="55" t="b">
        <v>0</v>
      </c>
      <c r="F176" s="55" t="s">
        <v>363</v>
      </c>
      <c r="G176" s="55">
        <v>7</v>
      </c>
      <c r="H176" s="56">
        <v>46119</v>
      </c>
    </row>
    <row r="177" spans="1:8" x14ac:dyDescent="0.45">
      <c r="A177" s="55">
        <v>1420</v>
      </c>
      <c r="B177" s="55" t="s">
        <v>506</v>
      </c>
      <c r="C177" s="55" t="s">
        <v>249</v>
      </c>
      <c r="D177" s="55" t="s">
        <v>35</v>
      </c>
      <c r="E177" s="55" t="b">
        <v>1</v>
      </c>
      <c r="F177" s="55" t="s">
        <v>363</v>
      </c>
      <c r="G177" s="55">
        <v>15</v>
      </c>
      <c r="H177" s="56">
        <v>46119</v>
      </c>
    </row>
    <row r="178" spans="1:8" x14ac:dyDescent="0.45">
      <c r="A178" s="55">
        <v>1410</v>
      </c>
      <c r="B178" s="55" t="s">
        <v>163</v>
      </c>
      <c r="C178" s="55" t="s">
        <v>412</v>
      </c>
      <c r="D178" s="55" t="s">
        <v>35</v>
      </c>
      <c r="E178" s="55" t="b">
        <v>0</v>
      </c>
      <c r="F178" s="55" t="s">
        <v>364</v>
      </c>
      <c r="H178" s="56">
        <v>46119</v>
      </c>
    </row>
    <row r="179" spans="1:8" x14ac:dyDescent="0.45">
      <c r="A179" s="55">
        <v>1161</v>
      </c>
      <c r="B179" s="55" t="s">
        <v>307</v>
      </c>
      <c r="C179" s="55" t="s">
        <v>308</v>
      </c>
      <c r="D179" s="55" t="s">
        <v>35</v>
      </c>
      <c r="E179" s="55" t="b">
        <v>0</v>
      </c>
      <c r="F179" s="55" t="s">
        <v>364</v>
      </c>
      <c r="H179" s="56">
        <v>46119</v>
      </c>
    </row>
    <row r="180" spans="1:8" x14ac:dyDescent="0.45">
      <c r="A180" s="55">
        <v>890</v>
      </c>
      <c r="B180" s="55" t="s">
        <v>309</v>
      </c>
      <c r="C180" s="55" t="s">
        <v>310</v>
      </c>
      <c r="D180" s="55" t="s">
        <v>138</v>
      </c>
      <c r="E180" s="55" t="b">
        <v>0</v>
      </c>
      <c r="F180" s="55" t="s">
        <v>363</v>
      </c>
      <c r="G180" s="55">
        <v>23</v>
      </c>
      <c r="H180" s="56">
        <v>46119</v>
      </c>
    </row>
    <row r="181" spans="1:8" x14ac:dyDescent="0.45">
      <c r="A181" s="55">
        <v>1166</v>
      </c>
      <c r="B181" s="55" t="s">
        <v>520</v>
      </c>
      <c r="C181" s="55" t="s">
        <v>193</v>
      </c>
      <c r="D181" s="55" t="s">
        <v>138</v>
      </c>
      <c r="E181" s="55" t="b">
        <v>0</v>
      </c>
      <c r="F181" s="55" t="s">
        <v>363</v>
      </c>
      <c r="G181" s="55">
        <v>5</v>
      </c>
      <c r="H181" s="56">
        <v>46119</v>
      </c>
    </row>
    <row r="182" spans="1:8" x14ac:dyDescent="0.45">
      <c r="A182" s="55">
        <v>45</v>
      </c>
      <c r="B182" s="55" t="s">
        <v>311</v>
      </c>
      <c r="C182" s="55" t="s">
        <v>312</v>
      </c>
      <c r="D182" s="55" t="s">
        <v>35</v>
      </c>
      <c r="E182" s="55" t="b">
        <v>0</v>
      </c>
      <c r="F182" s="55" t="s">
        <v>363</v>
      </c>
      <c r="G182" s="55">
        <v>20</v>
      </c>
      <c r="H182" s="56">
        <v>46119</v>
      </c>
    </row>
    <row r="183" spans="1:8" x14ac:dyDescent="0.45">
      <c r="A183" s="55">
        <v>1160</v>
      </c>
      <c r="B183" s="55" t="s">
        <v>262</v>
      </c>
      <c r="C183" s="55" t="s">
        <v>313</v>
      </c>
      <c r="D183" s="55" t="s">
        <v>35</v>
      </c>
      <c r="E183" s="55" t="b">
        <v>0</v>
      </c>
      <c r="F183" s="55" t="s">
        <v>364</v>
      </c>
      <c r="H183" s="56">
        <v>46119</v>
      </c>
    </row>
    <row r="184" spans="1:8" x14ac:dyDescent="0.45">
      <c r="A184" s="55">
        <v>945</v>
      </c>
      <c r="B184" s="55" t="s">
        <v>314</v>
      </c>
      <c r="C184" s="55" t="s">
        <v>49</v>
      </c>
      <c r="D184" s="55" t="s">
        <v>35</v>
      </c>
      <c r="E184" s="55" t="b">
        <v>0</v>
      </c>
      <c r="F184" s="55" t="s">
        <v>364</v>
      </c>
      <c r="H184" s="56">
        <v>46119</v>
      </c>
    </row>
    <row r="185" spans="1:8" x14ac:dyDescent="0.45">
      <c r="A185" s="55">
        <v>813</v>
      </c>
      <c r="B185" s="55" t="s">
        <v>314</v>
      </c>
      <c r="C185" s="55" t="s">
        <v>297</v>
      </c>
      <c r="D185" s="55" t="s">
        <v>35</v>
      </c>
      <c r="E185" s="55" t="b">
        <v>1</v>
      </c>
      <c r="F185" s="55" t="s">
        <v>363</v>
      </c>
      <c r="G185" s="55">
        <v>7</v>
      </c>
      <c r="H185" s="56">
        <v>46119</v>
      </c>
    </row>
    <row r="186" spans="1:8" x14ac:dyDescent="0.45">
      <c r="A186" s="55">
        <v>812</v>
      </c>
      <c r="B186" s="55" t="s">
        <v>314</v>
      </c>
      <c r="C186" s="55" t="s">
        <v>315</v>
      </c>
      <c r="D186" s="55" t="s">
        <v>35</v>
      </c>
      <c r="E186" s="55" t="b">
        <v>0</v>
      </c>
      <c r="F186" s="55" t="s">
        <v>363</v>
      </c>
      <c r="G186" s="55">
        <v>9</v>
      </c>
      <c r="H186" s="56">
        <v>46119</v>
      </c>
    </row>
    <row r="187" spans="1:8" x14ac:dyDescent="0.45">
      <c r="A187" s="55">
        <v>1129</v>
      </c>
      <c r="B187" s="55" t="s">
        <v>316</v>
      </c>
      <c r="C187" s="55" t="s">
        <v>317</v>
      </c>
      <c r="D187" s="55" t="s">
        <v>35</v>
      </c>
      <c r="E187" s="55" t="b">
        <v>0</v>
      </c>
      <c r="F187" s="55" t="s">
        <v>363</v>
      </c>
      <c r="G187" s="55">
        <v>12</v>
      </c>
      <c r="H187" s="56">
        <v>46119</v>
      </c>
    </row>
    <row r="188" spans="1:8" x14ac:dyDescent="0.45">
      <c r="A188" s="55">
        <v>915</v>
      </c>
      <c r="B188" s="55" t="s">
        <v>505</v>
      </c>
      <c r="C188" s="55" t="s">
        <v>264</v>
      </c>
      <c r="D188" s="55" t="s">
        <v>35</v>
      </c>
      <c r="E188" s="55" t="b">
        <v>0</v>
      </c>
      <c r="F188" s="55" t="s">
        <v>363</v>
      </c>
      <c r="G188" s="55">
        <v>8</v>
      </c>
      <c r="H188" s="56">
        <v>46119</v>
      </c>
    </row>
    <row r="189" spans="1:8" x14ac:dyDescent="0.45">
      <c r="A189" s="55">
        <v>860</v>
      </c>
      <c r="B189" s="55" t="s">
        <v>319</v>
      </c>
      <c r="C189" s="55" t="s">
        <v>320</v>
      </c>
      <c r="D189" s="55" t="s">
        <v>35</v>
      </c>
      <c r="E189" s="55" t="b">
        <v>1</v>
      </c>
      <c r="F189" s="55" t="s">
        <v>364</v>
      </c>
      <c r="H189" s="56">
        <v>46119</v>
      </c>
    </row>
    <row r="190" spans="1:8" x14ac:dyDescent="0.45">
      <c r="A190" s="55">
        <v>756</v>
      </c>
      <c r="B190" s="55" t="s">
        <v>319</v>
      </c>
      <c r="C190" s="55" t="s">
        <v>321</v>
      </c>
      <c r="D190" s="55" t="s">
        <v>35</v>
      </c>
      <c r="E190" s="55" t="b">
        <v>0</v>
      </c>
      <c r="F190" s="55" t="s">
        <v>364</v>
      </c>
      <c r="H190" s="56">
        <v>46119</v>
      </c>
    </row>
    <row r="191" spans="1:8" x14ac:dyDescent="0.45">
      <c r="A191" s="55">
        <v>407</v>
      </c>
      <c r="B191" s="55" t="s">
        <v>319</v>
      </c>
      <c r="C191" s="55" t="s">
        <v>322</v>
      </c>
      <c r="D191" s="55" t="s">
        <v>35</v>
      </c>
      <c r="E191" s="55" t="b">
        <v>0</v>
      </c>
      <c r="F191" s="55" t="s">
        <v>363</v>
      </c>
      <c r="G191" s="55">
        <v>5</v>
      </c>
      <c r="H191" s="56">
        <v>46119</v>
      </c>
    </row>
    <row r="192" spans="1:8" x14ac:dyDescent="0.45">
      <c r="A192" s="55">
        <v>1312</v>
      </c>
      <c r="B192" s="55" t="s">
        <v>323</v>
      </c>
      <c r="C192" s="55" t="s">
        <v>295</v>
      </c>
      <c r="D192" s="55" t="s">
        <v>35</v>
      </c>
      <c r="E192" s="55" t="b">
        <v>1</v>
      </c>
      <c r="F192" s="55" t="s">
        <v>363</v>
      </c>
      <c r="G192" s="55">
        <v>35</v>
      </c>
      <c r="H192" s="56">
        <v>46119</v>
      </c>
    </row>
    <row r="193" spans="1:8" x14ac:dyDescent="0.45">
      <c r="A193" s="55">
        <v>935</v>
      </c>
      <c r="B193" s="55" t="s">
        <v>324</v>
      </c>
      <c r="C193" s="55" t="s">
        <v>268</v>
      </c>
      <c r="D193" s="55" t="s">
        <v>35</v>
      </c>
      <c r="E193" s="55" t="b">
        <v>1</v>
      </c>
      <c r="F193" s="55" t="s">
        <v>364</v>
      </c>
      <c r="H193" s="56">
        <v>46119</v>
      </c>
    </row>
    <row r="194" spans="1:8" x14ac:dyDescent="0.45">
      <c r="A194" s="55">
        <v>999</v>
      </c>
      <c r="B194" s="55" t="s">
        <v>324</v>
      </c>
      <c r="C194" s="55" t="s">
        <v>325</v>
      </c>
      <c r="D194" s="55" t="s">
        <v>35</v>
      </c>
      <c r="E194" s="55" t="b">
        <v>1</v>
      </c>
      <c r="F194" s="55" t="s">
        <v>364</v>
      </c>
      <c r="H194" s="56">
        <v>46119</v>
      </c>
    </row>
    <row r="195" spans="1:8" x14ac:dyDescent="0.45">
      <c r="A195" s="55">
        <v>998</v>
      </c>
      <c r="B195" s="55" t="s">
        <v>324</v>
      </c>
      <c r="C195" s="55" t="s">
        <v>326</v>
      </c>
      <c r="D195" s="55" t="s">
        <v>35</v>
      </c>
      <c r="E195" s="55" t="b">
        <v>1</v>
      </c>
      <c r="F195" s="55" t="s">
        <v>363</v>
      </c>
      <c r="G195" s="55">
        <v>5</v>
      </c>
      <c r="H195" s="56">
        <v>46119</v>
      </c>
    </row>
    <row r="196" spans="1:8" x14ac:dyDescent="0.45">
      <c r="A196" s="55">
        <v>616</v>
      </c>
      <c r="B196" s="55" t="s">
        <v>324</v>
      </c>
      <c r="C196" s="55" t="s">
        <v>43</v>
      </c>
      <c r="D196" s="55" t="s">
        <v>35</v>
      </c>
      <c r="E196" s="55" t="b">
        <v>0</v>
      </c>
      <c r="F196" s="55" t="s">
        <v>363</v>
      </c>
      <c r="G196" s="55">
        <v>7</v>
      </c>
      <c r="H196" s="56">
        <v>46119</v>
      </c>
    </row>
    <row r="197" spans="1:8" x14ac:dyDescent="0.45">
      <c r="A197" s="55">
        <v>558</v>
      </c>
      <c r="B197" s="55" t="s">
        <v>327</v>
      </c>
      <c r="C197" s="55" t="s">
        <v>41</v>
      </c>
      <c r="D197" s="55" t="s">
        <v>35</v>
      </c>
      <c r="E197" s="55" t="b">
        <v>0</v>
      </c>
      <c r="F197" s="55" t="s">
        <v>363</v>
      </c>
      <c r="G197" s="55">
        <v>15</v>
      </c>
      <c r="H197" s="56">
        <v>46119</v>
      </c>
    </row>
    <row r="198" spans="1:8" x14ac:dyDescent="0.45">
      <c r="A198" s="55">
        <v>991</v>
      </c>
      <c r="B198" s="55" t="s">
        <v>444</v>
      </c>
      <c r="C198" s="55" t="s">
        <v>226</v>
      </c>
      <c r="D198" s="55" t="s">
        <v>35</v>
      </c>
      <c r="E198" s="55" t="b">
        <v>1</v>
      </c>
      <c r="F198" s="55" t="s">
        <v>365</v>
      </c>
      <c r="H198" s="56">
        <v>46119</v>
      </c>
    </row>
    <row r="199" spans="1:8" x14ac:dyDescent="0.45">
      <c r="A199" s="55">
        <v>359</v>
      </c>
      <c r="B199" s="55" t="s">
        <v>328</v>
      </c>
      <c r="C199" s="55" t="s">
        <v>28</v>
      </c>
      <c r="D199" s="55" t="s">
        <v>35</v>
      </c>
      <c r="E199" s="55" t="b">
        <v>0</v>
      </c>
      <c r="F199" s="55" t="s">
        <v>363</v>
      </c>
      <c r="G199" s="55">
        <v>24</v>
      </c>
      <c r="H199" s="56">
        <v>46119</v>
      </c>
    </row>
    <row r="200" spans="1:8" x14ac:dyDescent="0.45">
      <c r="A200" s="55">
        <v>1310</v>
      </c>
      <c r="B200" s="55" t="s">
        <v>329</v>
      </c>
      <c r="C200" s="55" t="s">
        <v>262</v>
      </c>
      <c r="D200" s="55" t="s">
        <v>35</v>
      </c>
      <c r="E200" s="55" t="b">
        <v>0</v>
      </c>
      <c r="F200" s="55" t="s">
        <v>364</v>
      </c>
      <c r="H200" s="56">
        <v>46119</v>
      </c>
    </row>
    <row r="201" spans="1:8" x14ac:dyDescent="0.45">
      <c r="A201" s="55">
        <v>1200</v>
      </c>
      <c r="B201" s="55" t="s">
        <v>331</v>
      </c>
      <c r="C201" s="55" t="s">
        <v>332</v>
      </c>
      <c r="D201" s="55" t="s">
        <v>35</v>
      </c>
      <c r="E201" s="55" t="b">
        <v>0</v>
      </c>
      <c r="F201" s="55" t="s">
        <v>363</v>
      </c>
      <c r="G201" s="55">
        <v>6</v>
      </c>
      <c r="H201" s="56">
        <v>46119</v>
      </c>
    </row>
    <row r="202" spans="1:8" x14ac:dyDescent="0.45">
      <c r="A202" s="55">
        <v>1411</v>
      </c>
      <c r="B202" s="55" t="s">
        <v>331</v>
      </c>
      <c r="C202" s="55" t="s">
        <v>69</v>
      </c>
      <c r="D202" s="55" t="s">
        <v>35</v>
      </c>
      <c r="E202" s="55" t="b">
        <v>1</v>
      </c>
      <c r="F202" s="55" t="s">
        <v>363</v>
      </c>
      <c r="G202" s="55">
        <v>3</v>
      </c>
      <c r="H202" s="56">
        <v>46119</v>
      </c>
    </row>
    <row r="203" spans="1:8" x14ac:dyDescent="0.45">
      <c r="A203" s="55">
        <v>1412</v>
      </c>
      <c r="B203" s="55" t="s">
        <v>331</v>
      </c>
      <c r="C203" s="55" t="s">
        <v>411</v>
      </c>
      <c r="D203" s="55" t="s">
        <v>35</v>
      </c>
      <c r="E203" s="55" t="b">
        <v>1</v>
      </c>
      <c r="F203" s="55" t="s">
        <v>366</v>
      </c>
      <c r="H203" s="56">
        <v>46119</v>
      </c>
    </row>
    <row r="204" spans="1:8" x14ac:dyDescent="0.45">
      <c r="A204" s="55">
        <v>1413</v>
      </c>
      <c r="B204" s="55" t="s">
        <v>331</v>
      </c>
      <c r="C204" s="55" t="s">
        <v>410</v>
      </c>
      <c r="D204" s="55" t="s">
        <v>35</v>
      </c>
      <c r="E204" s="55" t="b">
        <v>0</v>
      </c>
      <c r="F204" s="55" t="s">
        <v>366</v>
      </c>
      <c r="H204" s="56">
        <v>46119</v>
      </c>
    </row>
    <row r="205" spans="1:8" x14ac:dyDescent="0.45">
      <c r="A205" s="55">
        <v>1376</v>
      </c>
      <c r="B205" s="55" t="s">
        <v>233</v>
      </c>
      <c r="C205" s="55" t="s">
        <v>185</v>
      </c>
      <c r="D205" s="55" t="s">
        <v>35</v>
      </c>
      <c r="E205" s="55" t="b">
        <v>1</v>
      </c>
      <c r="F205" s="55" t="s">
        <v>364</v>
      </c>
      <c r="H205" s="56">
        <v>46119</v>
      </c>
    </row>
    <row r="206" spans="1:8" x14ac:dyDescent="0.45">
      <c r="A206" s="55">
        <v>1140</v>
      </c>
      <c r="B206" s="55" t="s">
        <v>333</v>
      </c>
      <c r="C206" s="55" t="s">
        <v>266</v>
      </c>
      <c r="D206" s="55" t="s">
        <v>35</v>
      </c>
      <c r="E206" s="55" t="b">
        <v>0</v>
      </c>
      <c r="F206" s="55" t="s">
        <v>364</v>
      </c>
      <c r="H206" s="56">
        <v>46119</v>
      </c>
    </row>
    <row r="207" spans="1:8" x14ac:dyDescent="0.45">
      <c r="A207" s="55">
        <v>989</v>
      </c>
      <c r="B207" s="55" t="s">
        <v>334</v>
      </c>
      <c r="C207" s="55" t="s">
        <v>73</v>
      </c>
      <c r="D207" s="55" t="s">
        <v>35</v>
      </c>
      <c r="E207" s="55" t="b">
        <v>0</v>
      </c>
      <c r="F207" s="55" t="s">
        <v>363</v>
      </c>
      <c r="G207" s="55">
        <v>3</v>
      </c>
      <c r="H207" s="56">
        <v>46119</v>
      </c>
    </row>
    <row r="208" spans="1:8" x14ac:dyDescent="0.45">
      <c r="A208" s="55">
        <v>1417</v>
      </c>
      <c r="B208" s="55" t="s">
        <v>335</v>
      </c>
      <c r="C208" s="55" t="s">
        <v>443</v>
      </c>
      <c r="D208" s="55" t="s">
        <v>35</v>
      </c>
      <c r="E208" s="55" t="b">
        <v>1</v>
      </c>
      <c r="F208" s="55" t="s">
        <v>363</v>
      </c>
      <c r="G208" s="55">
        <v>17</v>
      </c>
      <c r="H208" s="56">
        <v>46119</v>
      </c>
    </row>
    <row r="209" spans="1:8" x14ac:dyDescent="0.45">
      <c r="A209" s="55">
        <v>52</v>
      </c>
      <c r="B209" s="55" t="s">
        <v>338</v>
      </c>
      <c r="C209" s="55" t="s">
        <v>233</v>
      </c>
      <c r="D209" s="55" t="s">
        <v>35</v>
      </c>
      <c r="E209" s="55" t="b">
        <v>0</v>
      </c>
      <c r="F209" s="55" t="s">
        <v>364</v>
      </c>
      <c r="H209" s="56">
        <v>46119</v>
      </c>
    </row>
    <row r="210" spans="1:8" x14ac:dyDescent="0.45">
      <c r="A210" s="55">
        <v>62</v>
      </c>
      <c r="B210" s="55" t="s">
        <v>335</v>
      </c>
      <c r="C210" s="55" t="s">
        <v>30</v>
      </c>
      <c r="D210" s="55" t="s">
        <v>35</v>
      </c>
      <c r="E210" s="55" t="b">
        <v>0</v>
      </c>
      <c r="F210" s="55" t="s">
        <v>363</v>
      </c>
      <c r="G210" s="55">
        <v>4</v>
      </c>
      <c r="H210" s="56">
        <v>46119</v>
      </c>
    </row>
    <row r="211" spans="1:8" x14ac:dyDescent="0.45">
      <c r="A211" s="55">
        <v>930</v>
      </c>
      <c r="B211" s="55" t="s">
        <v>336</v>
      </c>
      <c r="C211" s="55" t="s">
        <v>337</v>
      </c>
      <c r="D211" s="55" t="s">
        <v>35</v>
      </c>
      <c r="E211" s="55" t="b">
        <v>1</v>
      </c>
      <c r="F211" s="55" t="s">
        <v>363</v>
      </c>
      <c r="G211" s="55">
        <v>6</v>
      </c>
      <c r="H211" s="56">
        <v>46119</v>
      </c>
    </row>
    <row r="212" spans="1:8" x14ac:dyDescent="0.45">
      <c r="A212" s="55">
        <v>1254</v>
      </c>
      <c r="B212" s="55" t="s">
        <v>504</v>
      </c>
      <c r="C212" s="55" t="s">
        <v>51</v>
      </c>
      <c r="D212" s="55" t="s">
        <v>35</v>
      </c>
      <c r="E212" s="55" t="b">
        <v>0</v>
      </c>
      <c r="F212" s="55" t="s">
        <v>363</v>
      </c>
      <c r="G212" s="55">
        <v>21</v>
      </c>
      <c r="H212" s="56">
        <v>46119</v>
      </c>
    </row>
    <row r="213" spans="1:8" x14ac:dyDescent="0.45">
      <c r="A213" s="55">
        <v>744</v>
      </c>
      <c r="B213" s="55" t="s">
        <v>339</v>
      </c>
      <c r="C213" s="55" t="s">
        <v>340</v>
      </c>
      <c r="D213" s="55" t="s">
        <v>35</v>
      </c>
      <c r="E213" s="55" t="b">
        <v>0</v>
      </c>
      <c r="F213" s="55" t="s">
        <v>363</v>
      </c>
      <c r="G213" s="55">
        <v>28</v>
      </c>
      <c r="H213" s="56">
        <v>46119</v>
      </c>
    </row>
    <row r="214" spans="1:8" x14ac:dyDescent="0.45">
      <c r="A214" s="55">
        <v>337</v>
      </c>
      <c r="B214" s="55" t="s">
        <v>341</v>
      </c>
      <c r="C214" s="55" t="s">
        <v>224</v>
      </c>
      <c r="D214" s="55" t="s">
        <v>35</v>
      </c>
      <c r="E214" s="55" t="b">
        <v>1</v>
      </c>
      <c r="F214" s="55" t="s">
        <v>363</v>
      </c>
      <c r="G214" s="55">
        <v>21</v>
      </c>
      <c r="H214" s="56">
        <v>46119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ED665-7E08-4E08-898B-1224E8D937BC}">
  <dimension ref="A1:H217"/>
  <sheetViews>
    <sheetView topLeftCell="A194" workbookViewId="0">
      <selection activeCell="H234" sqref="H234"/>
    </sheetView>
  </sheetViews>
  <sheetFormatPr defaultRowHeight="14.25" x14ac:dyDescent="0.45"/>
  <cols>
    <col min="1" max="7" width="9.06640625" style="57"/>
    <col min="8" max="8" width="10.19921875" style="57" bestFit="1" customWidth="1"/>
    <col min="9" max="16384" width="9.06640625" style="57"/>
  </cols>
  <sheetData>
    <row r="1" spans="1:8" x14ac:dyDescent="0.45">
      <c r="A1" s="57" t="s">
        <v>143</v>
      </c>
      <c r="B1" s="57" t="s">
        <v>26</v>
      </c>
      <c r="C1" s="57" t="s">
        <v>144</v>
      </c>
      <c r="D1" s="57" t="s">
        <v>142</v>
      </c>
      <c r="E1" s="57" t="s">
        <v>141</v>
      </c>
      <c r="F1" s="57" t="s">
        <v>361</v>
      </c>
      <c r="G1" s="57" t="s">
        <v>362</v>
      </c>
      <c r="H1" s="57" t="s">
        <v>318</v>
      </c>
    </row>
    <row r="2" spans="1:8" x14ac:dyDescent="0.45">
      <c r="A2" s="57">
        <v>1327</v>
      </c>
      <c r="B2" s="57" t="s">
        <v>27</v>
      </c>
      <c r="C2" s="57" t="s">
        <v>29</v>
      </c>
      <c r="D2" s="57" t="s">
        <v>35</v>
      </c>
      <c r="E2" s="57" t="b">
        <v>0</v>
      </c>
      <c r="F2" s="57" t="s">
        <v>364</v>
      </c>
      <c r="H2" s="58">
        <v>46121</v>
      </c>
    </row>
    <row r="3" spans="1:8" x14ac:dyDescent="0.45">
      <c r="A3" s="57">
        <v>1237</v>
      </c>
      <c r="B3" s="57" t="s">
        <v>27</v>
      </c>
      <c r="C3" s="57" t="s">
        <v>28</v>
      </c>
      <c r="D3" s="57" t="s">
        <v>35</v>
      </c>
      <c r="E3" s="57" t="b">
        <v>0</v>
      </c>
      <c r="F3" s="57" t="s">
        <v>363</v>
      </c>
      <c r="G3" s="57">
        <v>1</v>
      </c>
      <c r="H3" s="58">
        <v>46121</v>
      </c>
    </row>
    <row r="4" spans="1:8" x14ac:dyDescent="0.45">
      <c r="A4" s="57">
        <v>819</v>
      </c>
      <c r="B4" s="57" t="s">
        <v>31</v>
      </c>
      <c r="C4" s="57" t="s">
        <v>32</v>
      </c>
      <c r="D4" s="57" t="s">
        <v>35</v>
      </c>
      <c r="E4" s="57" t="b">
        <v>1</v>
      </c>
      <c r="F4" s="57" t="s">
        <v>363</v>
      </c>
      <c r="G4" s="57">
        <v>23</v>
      </c>
      <c r="H4" s="58">
        <v>46121</v>
      </c>
    </row>
    <row r="5" spans="1:8" x14ac:dyDescent="0.45">
      <c r="A5" s="57">
        <v>2</v>
      </c>
      <c r="B5" s="57" t="s">
        <v>33</v>
      </c>
      <c r="C5" s="57" t="s">
        <v>34</v>
      </c>
      <c r="D5" s="57" t="s">
        <v>35</v>
      </c>
      <c r="E5" s="57" t="b">
        <v>0</v>
      </c>
      <c r="F5" s="57" t="s">
        <v>363</v>
      </c>
      <c r="G5" s="57">
        <v>21</v>
      </c>
      <c r="H5" s="58">
        <v>46121</v>
      </c>
    </row>
    <row r="6" spans="1:8" x14ac:dyDescent="0.45">
      <c r="A6" s="57">
        <v>1370</v>
      </c>
      <c r="B6" s="57" t="s">
        <v>36</v>
      </c>
      <c r="C6" s="57" t="s">
        <v>37</v>
      </c>
      <c r="D6" s="57" t="s">
        <v>35</v>
      </c>
      <c r="E6" s="57" t="b">
        <v>0</v>
      </c>
      <c r="F6" s="57" t="s">
        <v>363</v>
      </c>
      <c r="G6" s="57">
        <v>4</v>
      </c>
      <c r="H6" s="58">
        <v>46121</v>
      </c>
    </row>
    <row r="7" spans="1:8" x14ac:dyDescent="0.45">
      <c r="A7" s="57">
        <v>1415</v>
      </c>
      <c r="B7" s="57" t="s">
        <v>36</v>
      </c>
      <c r="C7" s="57" t="s">
        <v>29</v>
      </c>
      <c r="D7" s="57" t="s">
        <v>35</v>
      </c>
      <c r="E7" s="57" t="b">
        <v>0</v>
      </c>
      <c r="F7" s="57" t="s">
        <v>365</v>
      </c>
      <c r="H7" s="58">
        <v>46121</v>
      </c>
    </row>
    <row r="8" spans="1:8" x14ac:dyDescent="0.45">
      <c r="A8" s="57">
        <v>1286</v>
      </c>
      <c r="B8" s="57" t="s">
        <v>38</v>
      </c>
      <c r="C8" s="57" t="s">
        <v>37</v>
      </c>
      <c r="D8" s="57" t="s">
        <v>35</v>
      </c>
      <c r="E8" s="57" t="b">
        <v>0</v>
      </c>
      <c r="F8" s="57" t="s">
        <v>363</v>
      </c>
      <c r="G8" s="57">
        <v>13</v>
      </c>
      <c r="H8" s="58">
        <v>46121</v>
      </c>
    </row>
    <row r="9" spans="1:8" x14ac:dyDescent="0.45">
      <c r="A9" s="57">
        <v>1381</v>
      </c>
      <c r="B9" s="57" t="s">
        <v>38</v>
      </c>
      <c r="C9" s="57" t="s">
        <v>39</v>
      </c>
      <c r="D9" s="57" t="s">
        <v>35</v>
      </c>
      <c r="E9" s="57" t="b">
        <v>0</v>
      </c>
      <c r="F9" s="57" t="s">
        <v>364</v>
      </c>
      <c r="H9" s="58">
        <v>46121</v>
      </c>
    </row>
    <row r="10" spans="1:8" x14ac:dyDescent="0.45">
      <c r="A10" s="57">
        <v>1112</v>
      </c>
      <c r="B10" s="57" t="s">
        <v>449</v>
      </c>
      <c r="C10" s="57" t="s">
        <v>448</v>
      </c>
      <c r="D10" s="57" t="s">
        <v>35</v>
      </c>
      <c r="E10" s="57" t="b">
        <v>0</v>
      </c>
      <c r="F10" s="57" t="s">
        <v>363</v>
      </c>
      <c r="G10" s="57">
        <v>16</v>
      </c>
      <c r="H10" s="58">
        <v>46121</v>
      </c>
    </row>
    <row r="11" spans="1:8" x14ac:dyDescent="0.45">
      <c r="A11" s="57">
        <v>1135</v>
      </c>
      <c r="B11" s="57" t="s">
        <v>42</v>
      </c>
      <c r="C11" s="57" t="s">
        <v>43</v>
      </c>
      <c r="D11" s="57" t="s">
        <v>35</v>
      </c>
      <c r="E11" s="57" t="b">
        <v>0</v>
      </c>
      <c r="F11" s="57" t="s">
        <v>363</v>
      </c>
      <c r="G11" s="57">
        <v>1</v>
      </c>
      <c r="H11" s="58">
        <v>46121</v>
      </c>
    </row>
    <row r="12" spans="1:8" x14ac:dyDescent="0.45">
      <c r="A12" s="57">
        <v>982</v>
      </c>
      <c r="B12" s="57" t="s">
        <v>442</v>
      </c>
      <c r="C12" s="57" t="s">
        <v>34</v>
      </c>
      <c r="D12" s="57" t="s">
        <v>35</v>
      </c>
      <c r="E12" s="57" t="b">
        <v>0</v>
      </c>
      <c r="F12" s="57" t="s">
        <v>363</v>
      </c>
      <c r="G12" s="57">
        <v>22</v>
      </c>
      <c r="H12" s="58">
        <v>46121</v>
      </c>
    </row>
    <row r="13" spans="1:8" x14ac:dyDescent="0.45">
      <c r="A13" s="57">
        <v>1328</v>
      </c>
      <c r="B13" s="57" t="s">
        <v>140</v>
      </c>
      <c r="C13" s="57" t="s">
        <v>44</v>
      </c>
      <c r="D13" s="57" t="s">
        <v>35</v>
      </c>
      <c r="E13" s="57" t="b">
        <v>0</v>
      </c>
      <c r="F13" s="57" t="s">
        <v>363</v>
      </c>
      <c r="G13" s="57">
        <v>4</v>
      </c>
      <c r="H13" s="58">
        <v>46121</v>
      </c>
    </row>
    <row r="14" spans="1:8" x14ac:dyDescent="0.45">
      <c r="A14" s="57">
        <v>369</v>
      </c>
      <c r="B14" s="57" t="s">
        <v>45</v>
      </c>
      <c r="C14" s="57" t="s">
        <v>46</v>
      </c>
      <c r="D14" s="57" t="s">
        <v>35</v>
      </c>
      <c r="E14" s="57" t="b">
        <v>0</v>
      </c>
      <c r="F14" s="57" t="s">
        <v>363</v>
      </c>
      <c r="G14" s="57">
        <v>8</v>
      </c>
      <c r="H14" s="58">
        <v>46121</v>
      </c>
    </row>
    <row r="15" spans="1:8" x14ac:dyDescent="0.45">
      <c r="A15" s="57">
        <v>7</v>
      </c>
      <c r="B15" s="57" t="s">
        <v>45</v>
      </c>
      <c r="C15" s="57" t="s">
        <v>47</v>
      </c>
      <c r="D15" s="57" t="s">
        <v>48</v>
      </c>
      <c r="E15" s="57" t="b">
        <v>0</v>
      </c>
      <c r="F15" s="57" t="s">
        <v>363</v>
      </c>
      <c r="G15" s="57">
        <v>32</v>
      </c>
      <c r="H15" s="58">
        <v>46121</v>
      </c>
    </row>
    <row r="16" spans="1:8" x14ac:dyDescent="0.45">
      <c r="A16" s="57">
        <v>473</v>
      </c>
      <c r="B16" s="57" t="s">
        <v>45</v>
      </c>
      <c r="C16" s="57" t="s">
        <v>49</v>
      </c>
      <c r="D16" s="57" t="s">
        <v>48</v>
      </c>
      <c r="E16" s="57" t="b">
        <v>0</v>
      </c>
      <c r="F16" s="57" t="s">
        <v>363</v>
      </c>
      <c r="G16" s="57">
        <v>33</v>
      </c>
      <c r="H16" s="58">
        <v>46121</v>
      </c>
    </row>
    <row r="17" spans="1:8" x14ac:dyDescent="0.45">
      <c r="A17" s="57">
        <v>1384</v>
      </c>
      <c r="B17" s="57" t="s">
        <v>50</v>
      </c>
      <c r="C17" s="57" t="s">
        <v>51</v>
      </c>
      <c r="D17" s="57" t="s">
        <v>35</v>
      </c>
      <c r="E17" s="57" t="b">
        <v>0</v>
      </c>
      <c r="F17" s="57" t="s">
        <v>363</v>
      </c>
      <c r="G17" s="57">
        <v>30</v>
      </c>
      <c r="H17" s="58">
        <v>46121</v>
      </c>
    </row>
    <row r="18" spans="1:8" x14ac:dyDescent="0.45">
      <c r="A18" s="57">
        <v>1348</v>
      </c>
      <c r="B18" s="57" t="s">
        <v>52</v>
      </c>
      <c r="C18" s="57" t="s">
        <v>53</v>
      </c>
      <c r="D18" s="57" t="s">
        <v>138</v>
      </c>
      <c r="E18" s="57" t="b">
        <v>1</v>
      </c>
      <c r="F18" s="57" t="s">
        <v>364</v>
      </c>
      <c r="H18" s="58">
        <v>46121</v>
      </c>
    </row>
    <row r="19" spans="1:8" x14ac:dyDescent="0.45">
      <c r="A19" s="57">
        <v>1275</v>
      </c>
      <c r="B19" s="57" t="s">
        <v>52</v>
      </c>
      <c r="C19" s="57" t="s">
        <v>54</v>
      </c>
      <c r="D19" s="57" t="s">
        <v>35</v>
      </c>
      <c r="E19" s="57" t="b">
        <v>1</v>
      </c>
      <c r="F19" s="57" t="s">
        <v>365</v>
      </c>
      <c r="H19" s="58">
        <v>46121</v>
      </c>
    </row>
    <row r="20" spans="1:8" x14ac:dyDescent="0.45">
      <c r="A20" s="57">
        <v>68</v>
      </c>
      <c r="B20" s="57" t="s">
        <v>55</v>
      </c>
      <c r="C20" s="57" t="s">
        <v>56</v>
      </c>
      <c r="D20" s="57" t="s">
        <v>48</v>
      </c>
      <c r="E20" s="57" t="b">
        <v>0</v>
      </c>
      <c r="F20" s="57" t="s">
        <v>363</v>
      </c>
      <c r="G20" s="57">
        <v>35</v>
      </c>
      <c r="H20" s="58">
        <v>46121</v>
      </c>
    </row>
    <row r="21" spans="1:8" x14ac:dyDescent="0.45">
      <c r="A21" s="57">
        <v>1035</v>
      </c>
      <c r="B21" s="57" t="s">
        <v>139</v>
      </c>
      <c r="C21" s="57" t="s">
        <v>57</v>
      </c>
      <c r="D21" s="57" t="s">
        <v>35</v>
      </c>
      <c r="E21" s="57" t="b">
        <v>0</v>
      </c>
      <c r="F21" s="57" t="s">
        <v>363</v>
      </c>
      <c r="G21" s="57">
        <v>6</v>
      </c>
      <c r="H21" s="58">
        <v>46121</v>
      </c>
    </row>
    <row r="22" spans="1:8" x14ac:dyDescent="0.45">
      <c r="A22" s="57">
        <v>1416</v>
      </c>
      <c r="B22" s="57" t="s">
        <v>447</v>
      </c>
      <c r="C22" s="57" t="s">
        <v>446</v>
      </c>
      <c r="D22" s="57" t="s">
        <v>35</v>
      </c>
      <c r="E22" s="57" t="b">
        <v>0</v>
      </c>
      <c r="F22" s="57" t="s">
        <v>364</v>
      </c>
      <c r="H22" s="58">
        <v>46121</v>
      </c>
    </row>
    <row r="23" spans="1:8" x14ac:dyDescent="0.45">
      <c r="A23" s="57">
        <v>1326</v>
      </c>
      <c r="B23" s="57" t="s">
        <v>58</v>
      </c>
      <c r="C23" s="57" t="s">
        <v>59</v>
      </c>
      <c r="D23" s="57" t="s">
        <v>35</v>
      </c>
      <c r="E23" s="57" t="b">
        <v>1</v>
      </c>
      <c r="F23" s="57" t="s">
        <v>364</v>
      </c>
      <c r="H23" s="58">
        <v>46121</v>
      </c>
    </row>
    <row r="24" spans="1:8" x14ac:dyDescent="0.45">
      <c r="A24" s="57">
        <v>477</v>
      </c>
      <c r="B24" s="57" t="s">
        <v>60</v>
      </c>
      <c r="C24" s="57" t="s">
        <v>62</v>
      </c>
      <c r="D24" s="57" t="s">
        <v>35</v>
      </c>
      <c r="E24" s="57" t="b">
        <v>1</v>
      </c>
      <c r="F24" s="57" t="s">
        <v>363</v>
      </c>
      <c r="G24" s="57">
        <v>34</v>
      </c>
      <c r="H24" s="58">
        <v>46121</v>
      </c>
    </row>
    <row r="25" spans="1:8" x14ac:dyDescent="0.45">
      <c r="A25" s="57">
        <v>10</v>
      </c>
      <c r="B25" s="57" t="s">
        <v>60</v>
      </c>
      <c r="C25" s="57" t="s">
        <v>61</v>
      </c>
      <c r="D25" s="57" t="s">
        <v>48</v>
      </c>
      <c r="E25" s="57" t="b">
        <v>0</v>
      </c>
      <c r="F25" s="57" t="s">
        <v>363</v>
      </c>
      <c r="G25" s="57">
        <v>35</v>
      </c>
      <c r="H25" s="58">
        <v>46121</v>
      </c>
    </row>
    <row r="26" spans="1:8" x14ac:dyDescent="0.45">
      <c r="A26" s="57">
        <v>1414</v>
      </c>
      <c r="B26" s="57" t="s">
        <v>441</v>
      </c>
      <c r="C26" s="57" t="s">
        <v>38</v>
      </c>
      <c r="D26" s="57" t="s">
        <v>35</v>
      </c>
      <c r="E26" s="57" t="b">
        <v>0</v>
      </c>
      <c r="F26" s="57" t="s">
        <v>363</v>
      </c>
      <c r="G26" s="57">
        <v>13</v>
      </c>
      <c r="H26" s="58">
        <v>46121</v>
      </c>
    </row>
    <row r="27" spans="1:8" x14ac:dyDescent="0.45">
      <c r="A27" s="57">
        <v>1029</v>
      </c>
      <c r="B27" s="57" t="s">
        <v>65</v>
      </c>
      <c r="C27" s="57" t="s">
        <v>66</v>
      </c>
      <c r="D27" s="57" t="s">
        <v>35</v>
      </c>
      <c r="E27" s="57" t="b">
        <v>0</v>
      </c>
      <c r="F27" s="57" t="s">
        <v>363</v>
      </c>
      <c r="G27" s="57">
        <v>28</v>
      </c>
      <c r="H27" s="58">
        <v>46121</v>
      </c>
    </row>
    <row r="28" spans="1:8" x14ac:dyDescent="0.45">
      <c r="A28" s="57">
        <v>13</v>
      </c>
      <c r="B28" s="57" t="s">
        <v>67</v>
      </c>
      <c r="C28" s="57" t="s">
        <v>51</v>
      </c>
      <c r="D28" s="57" t="s">
        <v>35</v>
      </c>
      <c r="E28" s="57" t="b">
        <v>0</v>
      </c>
      <c r="F28" s="57" t="s">
        <v>363</v>
      </c>
      <c r="G28" s="57">
        <v>28</v>
      </c>
      <c r="H28" s="58">
        <v>46121</v>
      </c>
    </row>
    <row r="29" spans="1:8" x14ac:dyDescent="0.45">
      <c r="A29" s="57">
        <v>1255</v>
      </c>
      <c r="B29" s="57" t="s">
        <v>68</v>
      </c>
      <c r="C29" s="57" t="s">
        <v>69</v>
      </c>
      <c r="D29" s="57" t="s">
        <v>35</v>
      </c>
      <c r="E29" s="57" t="b">
        <v>1</v>
      </c>
      <c r="F29" s="57" t="s">
        <v>363</v>
      </c>
      <c r="G29" s="57">
        <v>13</v>
      </c>
      <c r="H29" s="58">
        <v>46121</v>
      </c>
    </row>
    <row r="30" spans="1:8" x14ac:dyDescent="0.45">
      <c r="A30" s="57">
        <v>1405</v>
      </c>
      <c r="B30" s="57" t="s">
        <v>440</v>
      </c>
      <c r="C30" s="57" t="s">
        <v>439</v>
      </c>
      <c r="D30" s="57" t="s">
        <v>35</v>
      </c>
      <c r="E30" s="57" t="b">
        <v>1</v>
      </c>
      <c r="F30" s="57" t="s">
        <v>365</v>
      </c>
      <c r="H30" s="58">
        <v>46121</v>
      </c>
    </row>
    <row r="31" spans="1:8" x14ac:dyDescent="0.45">
      <c r="A31" s="57">
        <v>1421</v>
      </c>
      <c r="B31" s="57" t="s">
        <v>455</v>
      </c>
      <c r="C31" s="57" t="s">
        <v>524</v>
      </c>
      <c r="D31" s="57" t="s">
        <v>35</v>
      </c>
      <c r="E31" s="57" t="b">
        <v>1</v>
      </c>
      <c r="F31" s="57" t="s">
        <v>363</v>
      </c>
      <c r="G31" s="57">
        <v>12</v>
      </c>
      <c r="H31" s="58">
        <v>46121</v>
      </c>
    </row>
    <row r="32" spans="1:8" x14ac:dyDescent="0.45">
      <c r="A32" s="57">
        <v>1418</v>
      </c>
      <c r="B32" s="57" t="s">
        <v>455</v>
      </c>
      <c r="C32" s="57" t="s">
        <v>29</v>
      </c>
      <c r="D32" s="57" t="s">
        <v>35</v>
      </c>
      <c r="E32" s="57" t="b">
        <v>0</v>
      </c>
      <c r="F32" s="57" t="s">
        <v>364</v>
      </c>
      <c r="H32" s="58">
        <v>46121</v>
      </c>
    </row>
    <row r="33" spans="1:8" x14ac:dyDescent="0.45">
      <c r="A33" s="57">
        <v>919</v>
      </c>
      <c r="B33" s="57" t="s">
        <v>70</v>
      </c>
      <c r="C33" s="57" t="s">
        <v>51</v>
      </c>
      <c r="D33" s="57" t="s">
        <v>35</v>
      </c>
      <c r="E33" s="57" t="b">
        <v>0</v>
      </c>
      <c r="F33" s="57" t="s">
        <v>363</v>
      </c>
      <c r="G33" s="57">
        <v>16</v>
      </c>
      <c r="H33" s="58">
        <v>46121</v>
      </c>
    </row>
    <row r="34" spans="1:8" x14ac:dyDescent="0.45">
      <c r="A34" s="57">
        <v>1319</v>
      </c>
      <c r="B34" s="57" t="s">
        <v>72</v>
      </c>
      <c r="C34" s="57" t="s">
        <v>34</v>
      </c>
      <c r="D34" s="57" t="s">
        <v>35</v>
      </c>
      <c r="E34" s="57" t="b">
        <v>0</v>
      </c>
      <c r="F34" s="57" t="s">
        <v>363</v>
      </c>
      <c r="G34" s="57">
        <v>9</v>
      </c>
      <c r="H34" s="58">
        <v>46121</v>
      </c>
    </row>
    <row r="35" spans="1:8" x14ac:dyDescent="0.45">
      <c r="A35" s="57">
        <v>1389</v>
      </c>
      <c r="B35" s="57" t="s">
        <v>137</v>
      </c>
      <c r="C35" s="57" t="s">
        <v>136</v>
      </c>
      <c r="D35" s="57" t="s">
        <v>35</v>
      </c>
      <c r="E35" s="57" t="b">
        <v>0</v>
      </c>
      <c r="F35" s="57" t="s">
        <v>364</v>
      </c>
      <c r="H35" s="58">
        <v>46121</v>
      </c>
    </row>
    <row r="36" spans="1:8" x14ac:dyDescent="0.45">
      <c r="A36" s="57">
        <v>940</v>
      </c>
      <c r="B36" s="57" t="s">
        <v>453</v>
      </c>
      <c r="C36" s="57" t="s">
        <v>454</v>
      </c>
      <c r="D36" s="57" t="s">
        <v>35</v>
      </c>
      <c r="E36" s="57" t="b">
        <v>1</v>
      </c>
      <c r="F36" s="57" t="s">
        <v>363</v>
      </c>
      <c r="G36" s="57">
        <v>9</v>
      </c>
      <c r="H36" s="58">
        <v>46121</v>
      </c>
    </row>
    <row r="37" spans="1:8" x14ac:dyDescent="0.45">
      <c r="A37" s="57">
        <v>806</v>
      </c>
      <c r="B37" s="57" t="s">
        <v>453</v>
      </c>
      <c r="C37" s="57" t="s">
        <v>64</v>
      </c>
      <c r="D37" s="57" t="s">
        <v>35</v>
      </c>
      <c r="E37" s="57" t="b">
        <v>0</v>
      </c>
      <c r="F37" s="57" t="s">
        <v>363</v>
      </c>
      <c r="G37" s="57">
        <v>11</v>
      </c>
      <c r="H37" s="58">
        <v>46121</v>
      </c>
    </row>
    <row r="38" spans="1:8" x14ac:dyDescent="0.45">
      <c r="A38" s="57">
        <v>482</v>
      </c>
      <c r="B38" s="57" t="s">
        <v>74</v>
      </c>
      <c r="C38" s="57" t="s">
        <v>147</v>
      </c>
      <c r="D38" s="57" t="s">
        <v>35</v>
      </c>
      <c r="E38" s="57" t="b">
        <v>0</v>
      </c>
      <c r="F38" s="57" t="s">
        <v>363</v>
      </c>
      <c r="G38" s="57">
        <v>13</v>
      </c>
      <c r="H38" s="58">
        <v>46121</v>
      </c>
    </row>
    <row r="39" spans="1:8" x14ac:dyDescent="0.45">
      <c r="A39" s="57">
        <v>674</v>
      </c>
      <c r="B39" s="57" t="s">
        <v>148</v>
      </c>
      <c r="C39" s="57" t="s">
        <v>149</v>
      </c>
      <c r="D39" s="57" t="s">
        <v>138</v>
      </c>
      <c r="E39" s="57" t="b">
        <v>1</v>
      </c>
      <c r="F39" s="57" t="s">
        <v>363</v>
      </c>
      <c r="G39" s="57">
        <v>23</v>
      </c>
      <c r="H39" s="58">
        <v>46121</v>
      </c>
    </row>
    <row r="40" spans="1:8" x14ac:dyDescent="0.45">
      <c r="A40" s="57">
        <v>1061</v>
      </c>
      <c r="B40" s="57" t="s">
        <v>150</v>
      </c>
      <c r="C40" s="57" t="s">
        <v>151</v>
      </c>
      <c r="D40" s="57" t="s">
        <v>35</v>
      </c>
      <c r="E40" s="57" t="b">
        <v>0</v>
      </c>
      <c r="F40" s="57" t="s">
        <v>363</v>
      </c>
      <c r="G40" s="57">
        <v>19</v>
      </c>
      <c r="H40" s="58">
        <v>46121</v>
      </c>
    </row>
    <row r="41" spans="1:8" x14ac:dyDescent="0.45">
      <c r="A41" s="57">
        <v>763</v>
      </c>
      <c r="B41" s="57" t="s">
        <v>152</v>
      </c>
      <c r="C41" s="57" t="s">
        <v>57</v>
      </c>
      <c r="D41" s="57" t="s">
        <v>35</v>
      </c>
      <c r="E41" s="57" t="b">
        <v>0</v>
      </c>
      <c r="F41" s="57" t="s">
        <v>363</v>
      </c>
      <c r="G41" s="57">
        <v>17</v>
      </c>
      <c r="H41" s="58">
        <v>46121</v>
      </c>
    </row>
    <row r="42" spans="1:8" x14ac:dyDescent="0.45">
      <c r="A42" s="57">
        <v>1227</v>
      </c>
      <c r="B42" s="57" t="s">
        <v>153</v>
      </c>
      <c r="C42" s="57" t="s">
        <v>154</v>
      </c>
      <c r="D42" s="57" t="s">
        <v>35</v>
      </c>
      <c r="E42" s="57" t="b">
        <v>1</v>
      </c>
      <c r="F42" s="57" t="s">
        <v>363</v>
      </c>
      <c r="G42" s="57">
        <v>8</v>
      </c>
      <c r="H42" s="58">
        <v>46121</v>
      </c>
    </row>
    <row r="43" spans="1:8" x14ac:dyDescent="0.45">
      <c r="A43" s="57">
        <v>715</v>
      </c>
      <c r="B43" s="57" t="s">
        <v>155</v>
      </c>
      <c r="C43" s="57" t="s">
        <v>156</v>
      </c>
      <c r="D43" s="57" t="s">
        <v>35</v>
      </c>
      <c r="E43" s="57" t="b">
        <v>0</v>
      </c>
      <c r="F43" s="57" t="s">
        <v>363</v>
      </c>
      <c r="G43" s="57">
        <v>5</v>
      </c>
      <c r="H43" s="58">
        <v>46121</v>
      </c>
    </row>
    <row r="44" spans="1:8" x14ac:dyDescent="0.45">
      <c r="A44" s="57">
        <v>567</v>
      </c>
      <c r="B44" s="57" t="s">
        <v>157</v>
      </c>
      <c r="C44" s="57" t="s">
        <v>158</v>
      </c>
      <c r="D44" s="57" t="s">
        <v>35</v>
      </c>
      <c r="E44" s="57" t="b">
        <v>0</v>
      </c>
      <c r="F44" s="57" t="s">
        <v>363</v>
      </c>
      <c r="G44" s="57">
        <v>7</v>
      </c>
      <c r="H44" s="58">
        <v>46121</v>
      </c>
    </row>
    <row r="45" spans="1:8" x14ac:dyDescent="0.45">
      <c r="A45" s="57">
        <v>1391</v>
      </c>
      <c r="B45" s="57" t="s">
        <v>438</v>
      </c>
      <c r="C45" s="57" t="s">
        <v>437</v>
      </c>
      <c r="D45" s="57" t="s">
        <v>35</v>
      </c>
      <c r="E45" s="57" t="b">
        <v>1</v>
      </c>
      <c r="F45" s="57" t="s">
        <v>364</v>
      </c>
      <c r="H45" s="58">
        <v>46121</v>
      </c>
    </row>
    <row r="46" spans="1:8" x14ac:dyDescent="0.45">
      <c r="A46" s="57">
        <v>704</v>
      </c>
      <c r="B46" s="57" t="s">
        <v>159</v>
      </c>
      <c r="C46" s="57" t="s">
        <v>40</v>
      </c>
      <c r="D46" s="57" t="s">
        <v>35</v>
      </c>
      <c r="E46" s="57" t="b">
        <v>0</v>
      </c>
      <c r="F46" s="57" t="s">
        <v>363</v>
      </c>
      <c r="G46" s="57">
        <v>21</v>
      </c>
      <c r="H46" s="58">
        <v>46121</v>
      </c>
    </row>
    <row r="47" spans="1:8" x14ac:dyDescent="0.45">
      <c r="A47" s="57">
        <v>1283</v>
      </c>
      <c r="B47" s="57" t="s">
        <v>160</v>
      </c>
      <c r="C47" s="57" t="s">
        <v>161</v>
      </c>
      <c r="D47" s="57" t="s">
        <v>35</v>
      </c>
      <c r="E47" s="57" t="b">
        <v>0</v>
      </c>
      <c r="F47" s="57" t="s">
        <v>363</v>
      </c>
      <c r="G47" s="57">
        <v>18</v>
      </c>
      <c r="H47" s="58">
        <v>46121</v>
      </c>
    </row>
    <row r="48" spans="1:8" x14ac:dyDescent="0.45">
      <c r="A48" s="57">
        <v>295</v>
      </c>
      <c r="B48" s="57" t="s">
        <v>162</v>
      </c>
      <c r="C48" s="57" t="s">
        <v>163</v>
      </c>
      <c r="D48" s="57" t="s">
        <v>35</v>
      </c>
      <c r="E48" s="57" t="b">
        <v>0</v>
      </c>
      <c r="F48" s="57" t="s">
        <v>363</v>
      </c>
      <c r="G48" s="57">
        <v>15</v>
      </c>
      <c r="H48" s="58">
        <v>46121</v>
      </c>
    </row>
    <row r="49" spans="1:8" x14ac:dyDescent="0.45">
      <c r="A49" s="57">
        <v>1226</v>
      </c>
      <c r="B49" s="57" t="s">
        <v>164</v>
      </c>
      <c r="C49" s="57" t="s">
        <v>165</v>
      </c>
      <c r="D49" s="57" t="s">
        <v>35</v>
      </c>
      <c r="E49" s="57" t="b">
        <v>1</v>
      </c>
      <c r="F49" s="57" t="s">
        <v>364</v>
      </c>
      <c r="H49" s="58">
        <v>46121</v>
      </c>
    </row>
    <row r="50" spans="1:8" x14ac:dyDescent="0.45">
      <c r="A50" s="57">
        <v>1333</v>
      </c>
      <c r="B50" s="57" t="s">
        <v>523</v>
      </c>
      <c r="C50" s="57" t="s">
        <v>522</v>
      </c>
      <c r="D50" s="57" t="s">
        <v>35</v>
      </c>
      <c r="E50" s="57" t="b">
        <v>0</v>
      </c>
      <c r="F50" s="57" t="s">
        <v>363</v>
      </c>
      <c r="G50" s="57">
        <v>3</v>
      </c>
      <c r="H50" s="58">
        <v>46121</v>
      </c>
    </row>
    <row r="51" spans="1:8" x14ac:dyDescent="0.45">
      <c r="A51" s="57">
        <v>1185</v>
      </c>
      <c r="B51" s="57" t="s">
        <v>166</v>
      </c>
      <c r="C51" s="57" t="s">
        <v>167</v>
      </c>
      <c r="D51" s="57" t="s">
        <v>35</v>
      </c>
      <c r="E51" s="57" t="b">
        <v>1</v>
      </c>
      <c r="F51" s="57" t="s">
        <v>365</v>
      </c>
      <c r="H51" s="58">
        <v>46121</v>
      </c>
    </row>
    <row r="52" spans="1:8" x14ac:dyDescent="0.45">
      <c r="A52" s="57">
        <v>1065</v>
      </c>
      <c r="B52" s="57" t="s">
        <v>166</v>
      </c>
      <c r="C52" s="57" t="s">
        <v>43</v>
      </c>
      <c r="D52" s="57" t="s">
        <v>35</v>
      </c>
      <c r="E52" s="57" t="b">
        <v>0</v>
      </c>
      <c r="F52" s="57" t="s">
        <v>363</v>
      </c>
      <c r="G52" s="57">
        <v>1</v>
      </c>
      <c r="H52" s="58">
        <v>46121</v>
      </c>
    </row>
    <row r="53" spans="1:8" x14ac:dyDescent="0.45">
      <c r="A53" s="57">
        <v>1407</v>
      </c>
      <c r="B53" s="57" t="s">
        <v>436</v>
      </c>
      <c r="C53" s="57" t="s">
        <v>435</v>
      </c>
      <c r="D53" s="57" t="s">
        <v>35</v>
      </c>
      <c r="E53" s="57" t="b">
        <v>0</v>
      </c>
      <c r="F53" s="57" t="s">
        <v>364</v>
      </c>
      <c r="H53" s="58">
        <v>46121</v>
      </c>
    </row>
    <row r="54" spans="1:8" x14ac:dyDescent="0.45">
      <c r="A54" s="57">
        <v>1096</v>
      </c>
      <c r="B54" s="57" t="s">
        <v>169</v>
      </c>
      <c r="C54" s="57" t="s">
        <v>170</v>
      </c>
      <c r="D54" s="57" t="s">
        <v>35</v>
      </c>
      <c r="E54" s="57" t="b">
        <v>0</v>
      </c>
      <c r="F54" s="57" t="s">
        <v>365</v>
      </c>
      <c r="H54" s="58">
        <v>46121</v>
      </c>
    </row>
    <row r="55" spans="1:8" x14ac:dyDescent="0.45">
      <c r="A55" s="57">
        <v>1236</v>
      </c>
      <c r="B55" s="57" t="s">
        <v>169</v>
      </c>
      <c r="C55" s="57" t="s">
        <v>171</v>
      </c>
      <c r="D55" s="57" t="s">
        <v>35</v>
      </c>
      <c r="E55" s="57" t="b">
        <v>1</v>
      </c>
      <c r="F55" s="57" t="s">
        <v>363</v>
      </c>
      <c r="G55" s="57">
        <v>5</v>
      </c>
      <c r="H55" s="58">
        <v>46121</v>
      </c>
    </row>
    <row r="56" spans="1:8" x14ac:dyDescent="0.45">
      <c r="A56" s="57">
        <v>699</v>
      </c>
      <c r="B56" s="57" t="s">
        <v>169</v>
      </c>
      <c r="C56" s="57" t="s">
        <v>172</v>
      </c>
      <c r="D56" s="57" t="s">
        <v>35</v>
      </c>
      <c r="E56" s="57" t="b">
        <v>0</v>
      </c>
      <c r="F56" s="57" t="s">
        <v>363</v>
      </c>
      <c r="G56" s="57">
        <v>5</v>
      </c>
      <c r="H56" s="58">
        <v>46121</v>
      </c>
    </row>
    <row r="57" spans="1:8" x14ac:dyDescent="0.45">
      <c r="A57" s="57">
        <v>1000</v>
      </c>
      <c r="B57" s="57" t="s">
        <v>175</v>
      </c>
      <c r="C57" s="57" t="s">
        <v>176</v>
      </c>
      <c r="D57" s="57" t="s">
        <v>35</v>
      </c>
      <c r="E57" s="57" t="b">
        <v>0</v>
      </c>
      <c r="F57" s="57" t="s">
        <v>364</v>
      </c>
      <c r="H57" s="58">
        <v>46121</v>
      </c>
    </row>
    <row r="58" spans="1:8" x14ac:dyDescent="0.45">
      <c r="A58" s="57">
        <v>1332</v>
      </c>
      <c r="B58" s="57" t="s">
        <v>177</v>
      </c>
      <c r="C58" s="57" t="s">
        <v>178</v>
      </c>
      <c r="D58" s="57" t="s">
        <v>35</v>
      </c>
      <c r="E58" s="57" t="b">
        <v>1</v>
      </c>
      <c r="F58" s="57" t="s">
        <v>364</v>
      </c>
      <c r="H58" s="58">
        <v>46121</v>
      </c>
    </row>
    <row r="59" spans="1:8" x14ac:dyDescent="0.45">
      <c r="A59" s="57">
        <v>682</v>
      </c>
      <c r="B59" s="57" t="s">
        <v>173</v>
      </c>
      <c r="C59" s="57" t="s">
        <v>174</v>
      </c>
      <c r="D59" s="57" t="s">
        <v>35</v>
      </c>
      <c r="E59" s="57" t="b">
        <v>0</v>
      </c>
      <c r="F59" s="57" t="s">
        <v>363</v>
      </c>
      <c r="G59" s="57">
        <v>11</v>
      </c>
      <c r="H59" s="58">
        <v>46121</v>
      </c>
    </row>
    <row r="60" spans="1:8" x14ac:dyDescent="0.45">
      <c r="A60" s="57">
        <v>1393</v>
      </c>
      <c r="B60" s="57" t="s">
        <v>434</v>
      </c>
      <c r="C60" s="57" t="s">
        <v>185</v>
      </c>
      <c r="D60" s="57" t="s">
        <v>35</v>
      </c>
      <c r="E60" s="57" t="b">
        <v>1</v>
      </c>
      <c r="F60" s="57" t="s">
        <v>363</v>
      </c>
      <c r="G60" s="57">
        <v>10</v>
      </c>
      <c r="H60" s="58">
        <v>46121</v>
      </c>
    </row>
    <row r="61" spans="1:8" x14ac:dyDescent="0.45">
      <c r="A61" s="57">
        <v>1355</v>
      </c>
      <c r="B61" s="57" t="s">
        <v>179</v>
      </c>
      <c r="C61" s="57" t="s">
        <v>180</v>
      </c>
      <c r="D61" s="57" t="s">
        <v>35</v>
      </c>
      <c r="E61" s="57" t="b">
        <v>0</v>
      </c>
      <c r="F61" s="57" t="s">
        <v>365</v>
      </c>
      <c r="H61" s="58">
        <v>46121</v>
      </c>
    </row>
    <row r="62" spans="1:8" x14ac:dyDescent="0.45">
      <c r="A62" s="57">
        <v>1164</v>
      </c>
      <c r="B62" s="57" t="s">
        <v>181</v>
      </c>
      <c r="C62" s="57" t="s">
        <v>182</v>
      </c>
      <c r="D62" s="57" t="s">
        <v>138</v>
      </c>
      <c r="E62" s="57" t="b">
        <v>1</v>
      </c>
      <c r="F62" s="57" t="s">
        <v>364</v>
      </c>
      <c r="H62" s="58">
        <v>46121</v>
      </c>
    </row>
    <row r="63" spans="1:8" x14ac:dyDescent="0.45">
      <c r="A63" s="57">
        <v>1062</v>
      </c>
      <c r="B63" s="57" t="s">
        <v>181</v>
      </c>
      <c r="C63" s="57" t="s">
        <v>64</v>
      </c>
      <c r="D63" s="57" t="s">
        <v>35</v>
      </c>
      <c r="E63" s="57" t="b">
        <v>0</v>
      </c>
      <c r="F63" s="57" t="s">
        <v>363</v>
      </c>
      <c r="G63" s="57">
        <v>9</v>
      </c>
      <c r="H63" s="58">
        <v>46121</v>
      </c>
    </row>
    <row r="64" spans="1:8" x14ac:dyDescent="0.45">
      <c r="A64" s="57">
        <v>938</v>
      </c>
      <c r="B64" s="57" t="s">
        <v>181</v>
      </c>
      <c r="C64" s="57" t="s">
        <v>183</v>
      </c>
      <c r="D64" s="57" t="s">
        <v>35</v>
      </c>
      <c r="E64" s="57" t="b">
        <v>1</v>
      </c>
      <c r="F64" s="57" t="s">
        <v>363</v>
      </c>
      <c r="G64" s="57">
        <v>7</v>
      </c>
      <c r="H64" s="58">
        <v>46121</v>
      </c>
    </row>
    <row r="65" spans="1:8" x14ac:dyDescent="0.45">
      <c r="A65" s="57">
        <v>1034</v>
      </c>
      <c r="B65" s="57" t="s">
        <v>433</v>
      </c>
      <c r="C65" s="57" t="s">
        <v>64</v>
      </c>
      <c r="D65" s="57" t="s">
        <v>35</v>
      </c>
      <c r="E65" s="57" t="b">
        <v>0</v>
      </c>
      <c r="F65" s="57" t="s">
        <v>364</v>
      </c>
      <c r="H65" s="58">
        <v>46121</v>
      </c>
    </row>
    <row r="66" spans="1:8" x14ac:dyDescent="0.45">
      <c r="A66" s="57">
        <v>1402</v>
      </c>
      <c r="B66" s="57" t="s">
        <v>432</v>
      </c>
      <c r="C66" s="57" t="s">
        <v>168</v>
      </c>
      <c r="D66" s="57" t="s">
        <v>35</v>
      </c>
      <c r="E66" s="57" t="b">
        <v>0</v>
      </c>
      <c r="F66" s="57" t="s">
        <v>363</v>
      </c>
      <c r="G66" s="57">
        <v>7</v>
      </c>
      <c r="H66" s="58">
        <v>46121</v>
      </c>
    </row>
    <row r="67" spans="1:8" x14ac:dyDescent="0.45">
      <c r="A67" s="57">
        <v>939</v>
      </c>
      <c r="B67" s="57" t="s">
        <v>184</v>
      </c>
      <c r="C67" s="57" t="s">
        <v>185</v>
      </c>
      <c r="D67" s="57" t="s">
        <v>35</v>
      </c>
      <c r="E67" s="57" t="b">
        <v>1</v>
      </c>
      <c r="F67" s="57" t="s">
        <v>363</v>
      </c>
      <c r="G67" s="57">
        <v>12</v>
      </c>
      <c r="H67" s="58">
        <v>46121</v>
      </c>
    </row>
    <row r="68" spans="1:8" x14ac:dyDescent="0.45">
      <c r="A68" s="57">
        <v>1377</v>
      </c>
      <c r="B68" s="57" t="s">
        <v>186</v>
      </c>
      <c r="C68" s="57" t="s">
        <v>187</v>
      </c>
      <c r="D68" s="57" t="s">
        <v>35</v>
      </c>
      <c r="E68" s="57" t="b">
        <v>1</v>
      </c>
      <c r="F68" s="57" t="s">
        <v>363</v>
      </c>
      <c r="G68" s="57">
        <v>12</v>
      </c>
      <c r="H68" s="58">
        <v>46121</v>
      </c>
    </row>
    <row r="69" spans="1:8" x14ac:dyDescent="0.45">
      <c r="A69" s="57">
        <v>1281</v>
      </c>
      <c r="B69" s="57" t="s">
        <v>188</v>
      </c>
      <c r="C69" s="57" t="s">
        <v>189</v>
      </c>
      <c r="D69" s="57" t="s">
        <v>35</v>
      </c>
      <c r="E69" s="57" t="b">
        <v>0</v>
      </c>
      <c r="F69" s="57" t="s">
        <v>363</v>
      </c>
      <c r="G69" s="57">
        <v>19</v>
      </c>
      <c r="H69" s="58">
        <v>46121</v>
      </c>
    </row>
    <row r="70" spans="1:8" x14ac:dyDescent="0.45">
      <c r="A70" s="57">
        <v>933</v>
      </c>
      <c r="B70" s="57" t="s">
        <v>192</v>
      </c>
      <c r="C70" s="57" t="s">
        <v>193</v>
      </c>
      <c r="D70" s="57" t="s">
        <v>35</v>
      </c>
      <c r="E70" s="57" t="b">
        <v>0</v>
      </c>
      <c r="F70" s="57" t="s">
        <v>364</v>
      </c>
      <c r="H70" s="58">
        <v>46121</v>
      </c>
    </row>
    <row r="71" spans="1:8" x14ac:dyDescent="0.45">
      <c r="A71" s="57">
        <v>1274</v>
      </c>
      <c r="B71" s="57" t="s">
        <v>190</v>
      </c>
      <c r="C71" s="57" t="s">
        <v>191</v>
      </c>
      <c r="D71" s="57" t="s">
        <v>35</v>
      </c>
      <c r="E71" s="57" t="b">
        <v>1</v>
      </c>
      <c r="F71" s="57" t="s">
        <v>364</v>
      </c>
      <c r="H71" s="58">
        <v>46121</v>
      </c>
    </row>
    <row r="72" spans="1:8" x14ac:dyDescent="0.45">
      <c r="A72" s="57">
        <v>493</v>
      </c>
      <c r="B72" s="57" t="s">
        <v>194</v>
      </c>
      <c r="C72" s="57" t="s">
        <v>49</v>
      </c>
      <c r="D72" s="57" t="s">
        <v>48</v>
      </c>
      <c r="E72" s="57" t="b">
        <v>0</v>
      </c>
      <c r="F72" s="57" t="s">
        <v>363</v>
      </c>
      <c r="G72" s="57">
        <v>37</v>
      </c>
      <c r="H72" s="58">
        <v>46121</v>
      </c>
    </row>
    <row r="73" spans="1:8" x14ac:dyDescent="0.45">
      <c r="A73" s="57">
        <v>1279</v>
      </c>
      <c r="B73" s="57" t="s">
        <v>195</v>
      </c>
      <c r="C73" s="57" t="s">
        <v>196</v>
      </c>
      <c r="D73" s="57" t="s">
        <v>35</v>
      </c>
      <c r="E73" s="57" t="b">
        <v>0</v>
      </c>
      <c r="F73" s="57" t="s">
        <v>363</v>
      </c>
      <c r="G73" s="57">
        <v>4</v>
      </c>
      <c r="H73" s="58">
        <v>46121</v>
      </c>
    </row>
    <row r="74" spans="1:8" x14ac:dyDescent="0.45">
      <c r="A74" s="57">
        <v>1193</v>
      </c>
      <c r="B74" s="57" t="s">
        <v>197</v>
      </c>
      <c r="C74" s="57" t="s">
        <v>200</v>
      </c>
      <c r="D74" s="57" t="s">
        <v>35</v>
      </c>
      <c r="E74" s="57" t="b">
        <v>0</v>
      </c>
      <c r="F74" s="57" t="s">
        <v>364</v>
      </c>
      <c r="H74" s="58">
        <v>46121</v>
      </c>
    </row>
    <row r="75" spans="1:8" x14ac:dyDescent="0.45">
      <c r="A75" s="57">
        <v>1194</v>
      </c>
      <c r="B75" s="57" t="s">
        <v>197</v>
      </c>
      <c r="C75" s="57" t="s">
        <v>201</v>
      </c>
      <c r="D75" s="57" t="s">
        <v>35</v>
      </c>
      <c r="E75" s="57" t="b">
        <v>1</v>
      </c>
      <c r="F75" s="57" t="s">
        <v>364</v>
      </c>
      <c r="H75" s="58">
        <v>46121</v>
      </c>
    </row>
    <row r="76" spans="1:8" x14ac:dyDescent="0.45">
      <c r="A76" s="57">
        <v>1196</v>
      </c>
      <c r="B76" s="57" t="s">
        <v>197</v>
      </c>
      <c r="C76" s="57" t="s">
        <v>198</v>
      </c>
      <c r="D76" s="57" t="s">
        <v>35</v>
      </c>
      <c r="E76" s="57" t="b">
        <v>0</v>
      </c>
      <c r="F76" s="57" t="s">
        <v>365</v>
      </c>
      <c r="H76" s="58">
        <v>46121</v>
      </c>
    </row>
    <row r="77" spans="1:8" x14ac:dyDescent="0.45">
      <c r="A77" s="57">
        <v>1195</v>
      </c>
      <c r="B77" s="57" t="s">
        <v>197</v>
      </c>
      <c r="C77" s="57" t="s">
        <v>199</v>
      </c>
      <c r="D77" s="57" t="s">
        <v>35</v>
      </c>
      <c r="E77" s="57" t="b">
        <v>0</v>
      </c>
      <c r="F77" s="57" t="s">
        <v>365</v>
      </c>
      <c r="H77" s="58">
        <v>46121</v>
      </c>
    </row>
    <row r="78" spans="1:8" x14ac:dyDescent="0.45">
      <c r="A78" s="57">
        <v>1176</v>
      </c>
      <c r="B78" s="57" t="s">
        <v>203</v>
      </c>
      <c r="C78" s="57" t="s">
        <v>204</v>
      </c>
      <c r="D78" s="57" t="s">
        <v>35</v>
      </c>
      <c r="E78" s="57" t="b">
        <v>0</v>
      </c>
      <c r="F78" s="57" t="s">
        <v>365</v>
      </c>
      <c r="H78" s="58">
        <v>46121</v>
      </c>
    </row>
    <row r="79" spans="1:8" x14ac:dyDescent="0.45">
      <c r="A79" s="57">
        <v>1174</v>
      </c>
      <c r="B79" s="57" t="s">
        <v>203</v>
      </c>
      <c r="C79" s="57" t="s">
        <v>205</v>
      </c>
      <c r="D79" s="57" t="s">
        <v>35</v>
      </c>
      <c r="E79" s="57" t="b">
        <v>1</v>
      </c>
      <c r="F79" s="57" t="s">
        <v>363</v>
      </c>
      <c r="G79" s="57">
        <v>6</v>
      </c>
      <c r="H79" s="58">
        <v>46121</v>
      </c>
    </row>
    <row r="80" spans="1:8" x14ac:dyDescent="0.45">
      <c r="A80" s="57">
        <v>1175</v>
      </c>
      <c r="B80" s="57" t="s">
        <v>203</v>
      </c>
      <c r="C80" s="57" t="s">
        <v>200</v>
      </c>
      <c r="D80" s="57" t="s">
        <v>35</v>
      </c>
      <c r="E80" s="57" t="b">
        <v>0</v>
      </c>
      <c r="F80" s="57" t="s">
        <v>363</v>
      </c>
      <c r="G80" s="57">
        <v>12</v>
      </c>
      <c r="H80" s="58">
        <v>46121</v>
      </c>
    </row>
    <row r="81" spans="1:8" x14ac:dyDescent="0.45">
      <c r="A81" s="57">
        <v>1109</v>
      </c>
      <c r="B81" s="57" t="s">
        <v>206</v>
      </c>
      <c r="C81" s="57" t="s">
        <v>163</v>
      </c>
      <c r="D81" s="57" t="s">
        <v>35</v>
      </c>
      <c r="E81" s="57" t="b">
        <v>0</v>
      </c>
      <c r="F81" s="57" t="s">
        <v>364</v>
      </c>
      <c r="H81" s="58">
        <v>46121</v>
      </c>
    </row>
    <row r="82" spans="1:8" x14ac:dyDescent="0.45">
      <c r="A82" s="57">
        <v>1073</v>
      </c>
      <c r="B82" s="57" t="s">
        <v>207</v>
      </c>
      <c r="C82" s="57" t="s">
        <v>200</v>
      </c>
      <c r="D82" s="57" t="s">
        <v>35</v>
      </c>
      <c r="E82" s="57" t="b">
        <v>0</v>
      </c>
      <c r="F82" s="57" t="s">
        <v>363</v>
      </c>
      <c r="G82" s="57">
        <v>3</v>
      </c>
      <c r="H82" s="58">
        <v>46121</v>
      </c>
    </row>
    <row r="83" spans="1:8" x14ac:dyDescent="0.45">
      <c r="A83" s="57">
        <v>1400</v>
      </c>
      <c r="B83" s="57" t="s">
        <v>431</v>
      </c>
      <c r="C83" s="57" t="s">
        <v>430</v>
      </c>
      <c r="D83" s="57" t="s">
        <v>35</v>
      </c>
      <c r="E83" s="57" t="b">
        <v>0</v>
      </c>
      <c r="F83" s="57" t="s">
        <v>364</v>
      </c>
      <c r="H83" s="58">
        <v>46121</v>
      </c>
    </row>
    <row r="84" spans="1:8" x14ac:dyDescent="0.45">
      <c r="A84" s="57">
        <v>1367</v>
      </c>
      <c r="B84" s="57" t="s">
        <v>208</v>
      </c>
      <c r="C84" s="57" t="s">
        <v>198</v>
      </c>
      <c r="D84" s="57" t="s">
        <v>35</v>
      </c>
      <c r="E84" s="57" t="b">
        <v>0</v>
      </c>
      <c r="F84" s="57" t="s">
        <v>365</v>
      </c>
      <c r="H84" s="58">
        <v>46121</v>
      </c>
    </row>
    <row r="85" spans="1:8" x14ac:dyDescent="0.45">
      <c r="A85" s="57">
        <v>1366</v>
      </c>
      <c r="B85" s="57" t="s">
        <v>208</v>
      </c>
      <c r="C85" s="57" t="s">
        <v>211</v>
      </c>
      <c r="D85" s="57" t="s">
        <v>35</v>
      </c>
      <c r="E85" s="57" t="b">
        <v>1</v>
      </c>
      <c r="F85" s="57" t="s">
        <v>364</v>
      </c>
      <c r="H85" s="58">
        <v>46121</v>
      </c>
    </row>
    <row r="86" spans="1:8" x14ac:dyDescent="0.45">
      <c r="A86" s="57">
        <v>1365</v>
      </c>
      <c r="B86" s="57" t="s">
        <v>208</v>
      </c>
      <c r="C86" s="57" t="s">
        <v>210</v>
      </c>
      <c r="D86" s="57" t="s">
        <v>35</v>
      </c>
      <c r="E86" s="57" t="b">
        <v>1</v>
      </c>
      <c r="F86" s="57" t="s">
        <v>363</v>
      </c>
      <c r="G86" s="57">
        <v>7</v>
      </c>
      <c r="H86" s="58">
        <v>46121</v>
      </c>
    </row>
    <row r="87" spans="1:8" x14ac:dyDescent="0.45">
      <c r="A87" s="57">
        <v>897</v>
      </c>
      <c r="B87" s="57" t="s">
        <v>208</v>
      </c>
      <c r="C87" s="57" t="s">
        <v>209</v>
      </c>
      <c r="D87" s="57" t="s">
        <v>35</v>
      </c>
      <c r="E87" s="57" t="b">
        <v>0</v>
      </c>
      <c r="F87" s="57" t="s">
        <v>363</v>
      </c>
      <c r="G87" s="57">
        <v>13</v>
      </c>
      <c r="H87" s="58">
        <v>46121</v>
      </c>
    </row>
    <row r="88" spans="1:8" x14ac:dyDescent="0.45">
      <c r="A88" s="57">
        <v>1308</v>
      </c>
      <c r="B88" s="57" t="s">
        <v>212</v>
      </c>
      <c r="C88" s="57" t="s">
        <v>213</v>
      </c>
      <c r="D88" s="57" t="s">
        <v>35</v>
      </c>
      <c r="E88" s="57" t="b">
        <v>1</v>
      </c>
      <c r="F88" s="57" t="s">
        <v>363</v>
      </c>
      <c r="G88" s="57">
        <v>2</v>
      </c>
      <c r="H88" s="58">
        <v>46121</v>
      </c>
    </row>
    <row r="89" spans="1:8" x14ac:dyDescent="0.45">
      <c r="A89" s="57">
        <v>1206</v>
      </c>
      <c r="B89" s="57" t="s">
        <v>214</v>
      </c>
      <c r="C89" s="57" t="s">
        <v>215</v>
      </c>
      <c r="D89" s="57" t="s">
        <v>35</v>
      </c>
      <c r="E89" s="57" t="b">
        <v>1</v>
      </c>
      <c r="F89" s="57" t="s">
        <v>363</v>
      </c>
      <c r="G89" s="57">
        <v>8</v>
      </c>
      <c r="H89" s="58">
        <v>46121</v>
      </c>
    </row>
    <row r="90" spans="1:8" x14ac:dyDescent="0.45">
      <c r="A90" s="57">
        <v>1205</v>
      </c>
      <c r="B90" s="57" t="s">
        <v>214</v>
      </c>
      <c r="C90" s="57" t="s">
        <v>61</v>
      </c>
      <c r="D90" s="57" t="s">
        <v>35</v>
      </c>
      <c r="E90" s="57" t="b">
        <v>0</v>
      </c>
      <c r="F90" s="57" t="s">
        <v>363</v>
      </c>
      <c r="G90" s="57">
        <v>14</v>
      </c>
      <c r="H90" s="58">
        <v>46121</v>
      </c>
    </row>
    <row r="91" spans="1:8" x14ac:dyDescent="0.45">
      <c r="A91" s="57">
        <v>1406</v>
      </c>
      <c r="B91" s="57" t="s">
        <v>429</v>
      </c>
      <c r="C91" s="57" t="s">
        <v>315</v>
      </c>
      <c r="D91" s="57" t="s">
        <v>35</v>
      </c>
      <c r="E91" s="57" t="b">
        <v>0</v>
      </c>
      <c r="F91" s="57" t="s">
        <v>363</v>
      </c>
      <c r="G91" s="57">
        <v>9</v>
      </c>
      <c r="H91" s="58">
        <v>46121</v>
      </c>
    </row>
    <row r="92" spans="1:8" x14ac:dyDescent="0.45">
      <c r="A92" s="57">
        <v>1182</v>
      </c>
      <c r="B92" s="57" t="s">
        <v>216</v>
      </c>
      <c r="C92" s="57" t="s">
        <v>168</v>
      </c>
      <c r="D92" s="57" t="s">
        <v>35</v>
      </c>
      <c r="E92" s="57" t="b">
        <v>0</v>
      </c>
      <c r="F92" s="57" t="s">
        <v>363</v>
      </c>
      <c r="G92" s="57">
        <v>8</v>
      </c>
      <c r="H92" s="58">
        <v>46121</v>
      </c>
    </row>
    <row r="93" spans="1:8" x14ac:dyDescent="0.45">
      <c r="A93" s="57">
        <v>1340</v>
      </c>
      <c r="B93" s="57" t="s">
        <v>217</v>
      </c>
      <c r="C93" s="57" t="s">
        <v>218</v>
      </c>
      <c r="D93" s="57" t="s">
        <v>35</v>
      </c>
      <c r="E93" s="57" t="b">
        <v>0</v>
      </c>
      <c r="F93" s="57" t="s">
        <v>363</v>
      </c>
      <c r="G93" s="57">
        <v>8</v>
      </c>
      <c r="H93" s="58">
        <v>46121</v>
      </c>
    </row>
    <row r="94" spans="1:8" x14ac:dyDescent="0.45">
      <c r="A94" s="57">
        <v>21</v>
      </c>
      <c r="B94" s="57" t="s">
        <v>219</v>
      </c>
      <c r="C94" s="57" t="s">
        <v>220</v>
      </c>
      <c r="D94" s="57" t="s">
        <v>35</v>
      </c>
      <c r="E94" s="57" t="b">
        <v>0</v>
      </c>
      <c r="F94" s="57" t="s">
        <v>364</v>
      </c>
      <c r="H94" s="58">
        <v>46121</v>
      </c>
    </row>
    <row r="95" spans="1:8" x14ac:dyDescent="0.45">
      <c r="A95" s="57">
        <v>1049</v>
      </c>
      <c r="B95" s="57" t="s">
        <v>221</v>
      </c>
      <c r="C95" s="57" t="s">
        <v>222</v>
      </c>
      <c r="D95" s="57" t="s">
        <v>35</v>
      </c>
      <c r="E95" s="57" t="b">
        <v>0</v>
      </c>
      <c r="F95" s="57" t="s">
        <v>363</v>
      </c>
      <c r="G95" s="57">
        <v>19</v>
      </c>
      <c r="H95" s="58">
        <v>46121</v>
      </c>
    </row>
    <row r="96" spans="1:8" x14ac:dyDescent="0.45">
      <c r="A96" s="57">
        <v>120</v>
      </c>
      <c r="B96" s="57" t="s">
        <v>223</v>
      </c>
      <c r="C96" s="57" t="s">
        <v>224</v>
      </c>
      <c r="D96" s="57" t="s">
        <v>35</v>
      </c>
      <c r="E96" s="57" t="b">
        <v>1</v>
      </c>
      <c r="F96" s="57" t="s">
        <v>363</v>
      </c>
      <c r="G96" s="57">
        <v>12</v>
      </c>
      <c r="H96" s="58">
        <v>46121</v>
      </c>
    </row>
    <row r="97" spans="1:8" x14ac:dyDescent="0.45">
      <c r="A97" s="57">
        <v>990</v>
      </c>
      <c r="B97" s="57" t="s">
        <v>445</v>
      </c>
      <c r="C97" s="57" t="s">
        <v>149</v>
      </c>
      <c r="D97" s="57" t="s">
        <v>35</v>
      </c>
      <c r="E97" s="57" t="b">
        <v>1</v>
      </c>
      <c r="F97" s="57" t="s">
        <v>363</v>
      </c>
      <c r="G97" s="57">
        <v>10</v>
      </c>
      <c r="H97" s="58">
        <v>46121</v>
      </c>
    </row>
    <row r="98" spans="1:8" x14ac:dyDescent="0.45">
      <c r="A98" s="57">
        <v>1395</v>
      </c>
      <c r="B98" s="57" t="s">
        <v>428</v>
      </c>
      <c r="C98" s="57" t="s">
        <v>427</v>
      </c>
      <c r="D98" s="57" t="s">
        <v>35</v>
      </c>
      <c r="E98" s="57" t="b">
        <v>1</v>
      </c>
      <c r="F98" s="57" t="s">
        <v>365</v>
      </c>
      <c r="H98" s="58">
        <v>46121</v>
      </c>
    </row>
    <row r="99" spans="1:8" x14ac:dyDescent="0.45">
      <c r="A99" s="57">
        <v>1158</v>
      </c>
      <c r="B99" s="57" t="s">
        <v>225</v>
      </c>
      <c r="C99" s="57" t="s">
        <v>226</v>
      </c>
      <c r="D99" s="57" t="s">
        <v>35</v>
      </c>
      <c r="E99" s="57" t="b">
        <v>1</v>
      </c>
      <c r="F99" s="57" t="s">
        <v>364</v>
      </c>
      <c r="H99" s="58">
        <v>46121</v>
      </c>
    </row>
    <row r="100" spans="1:8" x14ac:dyDescent="0.45">
      <c r="A100" s="57">
        <v>23</v>
      </c>
      <c r="B100" s="57" t="s">
        <v>227</v>
      </c>
      <c r="C100" s="57" t="s">
        <v>40</v>
      </c>
      <c r="D100" s="57" t="s">
        <v>35</v>
      </c>
      <c r="E100" s="57" t="b">
        <v>0</v>
      </c>
      <c r="F100" s="57" t="s">
        <v>363</v>
      </c>
      <c r="G100" s="57">
        <v>10</v>
      </c>
      <c r="H100" s="58">
        <v>46121</v>
      </c>
    </row>
    <row r="101" spans="1:8" x14ac:dyDescent="0.45">
      <c r="A101" s="57">
        <v>1152</v>
      </c>
      <c r="B101" s="57" t="s">
        <v>228</v>
      </c>
      <c r="C101" s="57" t="s">
        <v>229</v>
      </c>
      <c r="D101" s="57" t="s">
        <v>138</v>
      </c>
      <c r="E101" s="57" t="b">
        <v>1</v>
      </c>
      <c r="F101" s="57" t="s">
        <v>366</v>
      </c>
      <c r="H101" s="58">
        <v>46121</v>
      </c>
    </row>
    <row r="102" spans="1:8" x14ac:dyDescent="0.45">
      <c r="A102" s="57">
        <v>581</v>
      </c>
      <c r="B102" s="57" t="s">
        <v>230</v>
      </c>
      <c r="C102" s="57" t="s">
        <v>231</v>
      </c>
      <c r="D102" s="57" t="s">
        <v>35</v>
      </c>
      <c r="E102" s="57" t="b">
        <v>0</v>
      </c>
      <c r="F102" s="57" t="s">
        <v>363</v>
      </c>
      <c r="G102" s="57">
        <v>13</v>
      </c>
      <c r="H102" s="58">
        <v>46121</v>
      </c>
    </row>
    <row r="103" spans="1:8" x14ac:dyDescent="0.45">
      <c r="A103" s="57">
        <v>1374</v>
      </c>
      <c r="B103" s="57" t="s">
        <v>232</v>
      </c>
      <c r="C103" s="57" t="s">
        <v>233</v>
      </c>
      <c r="D103" s="57" t="s">
        <v>35</v>
      </c>
      <c r="E103" s="57" t="b">
        <v>0</v>
      </c>
      <c r="F103" s="57" t="s">
        <v>364</v>
      </c>
      <c r="H103" s="58">
        <v>46121</v>
      </c>
    </row>
    <row r="104" spans="1:8" x14ac:dyDescent="0.45">
      <c r="A104" s="57">
        <v>25</v>
      </c>
      <c r="B104" s="57" t="s">
        <v>29</v>
      </c>
      <c r="C104" s="57" t="s">
        <v>234</v>
      </c>
      <c r="D104" s="57" t="s">
        <v>35</v>
      </c>
      <c r="E104" s="57" t="b">
        <v>0</v>
      </c>
      <c r="F104" s="57" t="s">
        <v>363</v>
      </c>
      <c r="G104" s="57">
        <v>8</v>
      </c>
      <c r="H104" s="58">
        <v>46121</v>
      </c>
    </row>
    <row r="105" spans="1:8" x14ac:dyDescent="0.45">
      <c r="A105" s="57">
        <v>415</v>
      </c>
      <c r="B105" s="57" t="s">
        <v>235</v>
      </c>
      <c r="C105" s="57" t="s">
        <v>237</v>
      </c>
      <c r="D105" s="57" t="s">
        <v>35</v>
      </c>
      <c r="E105" s="57" t="b">
        <v>0</v>
      </c>
      <c r="F105" s="57" t="s">
        <v>363</v>
      </c>
      <c r="G105" s="57">
        <v>6</v>
      </c>
      <c r="H105" s="58">
        <v>46121</v>
      </c>
    </row>
    <row r="106" spans="1:8" x14ac:dyDescent="0.45">
      <c r="A106" s="57">
        <v>1144</v>
      </c>
      <c r="B106" s="57" t="s">
        <v>235</v>
      </c>
      <c r="C106" s="57" t="s">
        <v>236</v>
      </c>
      <c r="D106" s="57" t="s">
        <v>138</v>
      </c>
      <c r="E106" s="57" t="b">
        <v>0</v>
      </c>
      <c r="F106" s="57" t="s">
        <v>366</v>
      </c>
      <c r="H106" s="58">
        <v>46121</v>
      </c>
    </row>
    <row r="107" spans="1:8" x14ac:dyDescent="0.45">
      <c r="A107" s="57">
        <v>203</v>
      </c>
      <c r="B107" s="57" t="s">
        <v>238</v>
      </c>
      <c r="C107" s="57" t="s">
        <v>239</v>
      </c>
      <c r="D107" s="57" t="s">
        <v>35</v>
      </c>
      <c r="E107" s="57" t="b">
        <v>0</v>
      </c>
      <c r="F107" s="57" t="s">
        <v>363</v>
      </c>
      <c r="G107" s="57">
        <v>9</v>
      </c>
      <c r="H107" s="58">
        <v>46121</v>
      </c>
    </row>
    <row r="108" spans="1:8" x14ac:dyDescent="0.45">
      <c r="A108" s="57">
        <v>956</v>
      </c>
      <c r="B108" s="57" t="s">
        <v>240</v>
      </c>
      <c r="C108" s="57" t="s">
        <v>156</v>
      </c>
      <c r="D108" s="57" t="s">
        <v>35</v>
      </c>
      <c r="E108" s="57" t="b">
        <v>0</v>
      </c>
      <c r="F108" s="57" t="s">
        <v>363</v>
      </c>
      <c r="G108" s="57">
        <v>13</v>
      </c>
      <c r="H108" s="58">
        <v>46121</v>
      </c>
    </row>
    <row r="109" spans="1:8" x14ac:dyDescent="0.45">
      <c r="A109" s="57">
        <v>1273</v>
      </c>
      <c r="B109" s="57" t="s">
        <v>241</v>
      </c>
      <c r="C109" s="57" t="s">
        <v>242</v>
      </c>
      <c r="D109" s="57" t="s">
        <v>35</v>
      </c>
      <c r="E109" s="57" t="b">
        <v>1</v>
      </c>
      <c r="F109" s="57" t="s">
        <v>363</v>
      </c>
      <c r="G109" s="57">
        <v>22</v>
      </c>
      <c r="H109" s="58">
        <v>46121</v>
      </c>
    </row>
    <row r="110" spans="1:8" x14ac:dyDescent="0.45">
      <c r="A110" s="57">
        <v>1272</v>
      </c>
      <c r="B110" s="57" t="s">
        <v>241</v>
      </c>
      <c r="C110" s="57" t="s">
        <v>202</v>
      </c>
      <c r="D110" s="57" t="s">
        <v>35</v>
      </c>
      <c r="E110" s="57" t="b">
        <v>0</v>
      </c>
      <c r="F110" s="57" t="s">
        <v>363</v>
      </c>
      <c r="G110" s="57">
        <v>24</v>
      </c>
      <c r="H110" s="58">
        <v>46121</v>
      </c>
    </row>
    <row r="111" spans="1:8" x14ac:dyDescent="0.45">
      <c r="A111" s="57">
        <v>846</v>
      </c>
      <c r="B111" s="57" t="s">
        <v>243</v>
      </c>
      <c r="C111" s="57" t="s">
        <v>244</v>
      </c>
      <c r="D111" s="57" t="s">
        <v>35</v>
      </c>
      <c r="E111" s="57" t="b">
        <v>0</v>
      </c>
      <c r="F111" s="57" t="s">
        <v>363</v>
      </c>
      <c r="G111" s="57">
        <v>17</v>
      </c>
      <c r="H111" s="58">
        <v>46121</v>
      </c>
    </row>
    <row r="112" spans="1:8" x14ac:dyDescent="0.45">
      <c r="A112" s="57">
        <v>1162</v>
      </c>
      <c r="B112" s="57" t="s">
        <v>245</v>
      </c>
      <c r="C112" s="57" t="s">
        <v>200</v>
      </c>
      <c r="D112" s="57" t="s">
        <v>35</v>
      </c>
      <c r="E112" s="57" t="b">
        <v>0</v>
      </c>
      <c r="F112" s="57" t="s">
        <v>364</v>
      </c>
      <c r="H112" s="58">
        <v>46121</v>
      </c>
    </row>
    <row r="113" spans="1:8" x14ac:dyDescent="0.45">
      <c r="A113" s="57">
        <v>1244</v>
      </c>
      <c r="B113" s="57" t="s">
        <v>246</v>
      </c>
      <c r="C113" s="57" t="s">
        <v>156</v>
      </c>
      <c r="D113" s="57" t="s">
        <v>35</v>
      </c>
      <c r="E113" s="57" t="b">
        <v>0</v>
      </c>
      <c r="F113" s="57" t="s">
        <v>363</v>
      </c>
      <c r="G113" s="57">
        <v>2</v>
      </c>
      <c r="H113" s="58">
        <v>46121</v>
      </c>
    </row>
    <row r="114" spans="1:8" x14ac:dyDescent="0.45">
      <c r="A114" s="57">
        <v>1379</v>
      </c>
      <c r="B114" s="57" t="s">
        <v>246</v>
      </c>
      <c r="C114" s="57" t="s">
        <v>247</v>
      </c>
      <c r="D114" s="57" t="s">
        <v>35</v>
      </c>
      <c r="E114" s="57" t="b">
        <v>1</v>
      </c>
      <c r="F114" s="57" t="s">
        <v>364</v>
      </c>
      <c r="H114" s="58">
        <v>46121</v>
      </c>
    </row>
    <row r="115" spans="1:8" x14ac:dyDescent="0.45">
      <c r="A115" s="57">
        <v>1362</v>
      </c>
      <c r="B115" s="57" t="s">
        <v>248</v>
      </c>
      <c r="C115" s="57" t="s">
        <v>249</v>
      </c>
      <c r="D115" s="57" t="s">
        <v>35</v>
      </c>
      <c r="E115" s="57" t="b">
        <v>1</v>
      </c>
      <c r="F115" s="57" t="s">
        <v>363</v>
      </c>
      <c r="G115" s="57">
        <v>22</v>
      </c>
      <c r="H115" s="58">
        <v>46121</v>
      </c>
    </row>
    <row r="116" spans="1:8" x14ac:dyDescent="0.45">
      <c r="A116" s="57">
        <v>1403</v>
      </c>
      <c r="B116" s="57" t="s">
        <v>426</v>
      </c>
      <c r="C116" s="57" t="s">
        <v>410</v>
      </c>
      <c r="D116" s="57" t="s">
        <v>35</v>
      </c>
      <c r="E116" s="57" t="b">
        <v>0</v>
      </c>
      <c r="F116" s="57" t="s">
        <v>363</v>
      </c>
      <c r="G116" s="57">
        <v>8</v>
      </c>
      <c r="H116" s="58">
        <v>46121</v>
      </c>
    </row>
    <row r="117" spans="1:8" x14ac:dyDescent="0.45">
      <c r="A117" s="57">
        <v>1404</v>
      </c>
      <c r="B117" s="57" t="s">
        <v>426</v>
      </c>
      <c r="C117" s="57" t="s">
        <v>320</v>
      </c>
      <c r="D117" s="57" t="s">
        <v>35</v>
      </c>
      <c r="E117" s="57" t="b">
        <v>1</v>
      </c>
      <c r="F117" s="57" t="s">
        <v>364</v>
      </c>
      <c r="H117" s="58">
        <v>46121</v>
      </c>
    </row>
    <row r="118" spans="1:8" x14ac:dyDescent="0.45">
      <c r="A118" s="57">
        <v>1229</v>
      </c>
      <c r="B118" s="57" t="s">
        <v>250</v>
      </c>
      <c r="C118" s="57" t="s">
        <v>251</v>
      </c>
      <c r="D118" s="57" t="s">
        <v>35</v>
      </c>
      <c r="E118" s="57" t="b">
        <v>1</v>
      </c>
      <c r="F118" s="57" t="s">
        <v>364</v>
      </c>
      <c r="H118" s="58">
        <v>46121</v>
      </c>
    </row>
    <row r="119" spans="1:8" x14ac:dyDescent="0.45">
      <c r="A119" s="57">
        <v>1408</v>
      </c>
      <c r="B119" s="57" t="s">
        <v>424</v>
      </c>
      <c r="C119" s="57" t="s">
        <v>425</v>
      </c>
      <c r="D119" s="57" t="s">
        <v>35</v>
      </c>
      <c r="E119" s="57" t="b">
        <v>0</v>
      </c>
      <c r="F119" s="57" t="s">
        <v>363</v>
      </c>
      <c r="G119" s="57">
        <v>20</v>
      </c>
      <c r="H119" s="58">
        <v>46121</v>
      </c>
    </row>
    <row r="120" spans="1:8" x14ac:dyDescent="0.45">
      <c r="A120" s="57">
        <v>1409</v>
      </c>
      <c r="B120" s="57" t="s">
        <v>424</v>
      </c>
      <c r="C120" s="57" t="s">
        <v>423</v>
      </c>
      <c r="D120" s="57" t="s">
        <v>35</v>
      </c>
      <c r="E120" s="57" t="b">
        <v>1</v>
      </c>
      <c r="F120" s="57" t="s">
        <v>363</v>
      </c>
      <c r="G120" s="57">
        <v>15</v>
      </c>
      <c r="H120" s="58">
        <v>46121</v>
      </c>
    </row>
    <row r="121" spans="1:8" x14ac:dyDescent="0.45">
      <c r="A121" s="57">
        <v>1198</v>
      </c>
      <c r="B121" s="57" t="s">
        <v>252</v>
      </c>
      <c r="C121" s="57" t="s">
        <v>253</v>
      </c>
      <c r="D121" s="57" t="s">
        <v>35</v>
      </c>
      <c r="E121" s="57" t="b">
        <v>0</v>
      </c>
      <c r="F121" s="57" t="s">
        <v>363</v>
      </c>
      <c r="G121" s="57">
        <v>5</v>
      </c>
      <c r="H121" s="58">
        <v>46121</v>
      </c>
    </row>
    <row r="122" spans="1:8" x14ac:dyDescent="0.45">
      <c r="A122" s="57">
        <v>1260</v>
      </c>
      <c r="B122" s="57" t="s">
        <v>508</v>
      </c>
      <c r="C122" s="57" t="s">
        <v>454</v>
      </c>
      <c r="D122" s="57" t="s">
        <v>35</v>
      </c>
      <c r="E122" s="57" t="b">
        <v>1</v>
      </c>
      <c r="F122" s="57" t="s">
        <v>363</v>
      </c>
      <c r="G122" s="57">
        <v>15</v>
      </c>
      <c r="H122" s="58">
        <v>46121</v>
      </c>
    </row>
    <row r="123" spans="1:8" x14ac:dyDescent="0.45">
      <c r="A123" s="57">
        <v>1361</v>
      </c>
      <c r="B123" s="57" t="s">
        <v>254</v>
      </c>
      <c r="C123" s="57" t="s">
        <v>255</v>
      </c>
      <c r="D123" s="57" t="s">
        <v>35</v>
      </c>
      <c r="E123" s="57" t="b">
        <v>0</v>
      </c>
      <c r="F123" s="57" t="s">
        <v>363</v>
      </c>
      <c r="G123" s="57">
        <v>16</v>
      </c>
      <c r="H123" s="58">
        <v>46121</v>
      </c>
    </row>
    <row r="124" spans="1:8" x14ac:dyDescent="0.45">
      <c r="A124" s="57">
        <v>1100</v>
      </c>
      <c r="B124" s="57" t="s">
        <v>256</v>
      </c>
      <c r="C124" s="57" t="s">
        <v>37</v>
      </c>
      <c r="D124" s="57" t="s">
        <v>35</v>
      </c>
      <c r="E124" s="57" t="b">
        <v>0</v>
      </c>
      <c r="F124" s="57" t="s">
        <v>363</v>
      </c>
      <c r="G124" s="57">
        <v>13</v>
      </c>
      <c r="H124" s="58">
        <v>46121</v>
      </c>
    </row>
    <row r="125" spans="1:8" x14ac:dyDescent="0.45">
      <c r="A125" s="57">
        <v>1385</v>
      </c>
      <c r="B125" s="57" t="s">
        <v>257</v>
      </c>
      <c r="C125" s="57" t="s">
        <v>6</v>
      </c>
      <c r="D125" s="57" t="s">
        <v>35</v>
      </c>
      <c r="E125" s="57" t="b">
        <v>0</v>
      </c>
      <c r="F125" s="57" t="s">
        <v>364</v>
      </c>
      <c r="H125" s="58">
        <v>46121</v>
      </c>
    </row>
    <row r="126" spans="1:8" x14ac:dyDescent="0.45">
      <c r="A126" s="57">
        <v>1394</v>
      </c>
      <c r="B126" s="57" t="s">
        <v>257</v>
      </c>
      <c r="C126" s="57" t="s">
        <v>330</v>
      </c>
      <c r="D126" s="57" t="s">
        <v>35</v>
      </c>
      <c r="E126" s="57" t="b">
        <v>0</v>
      </c>
      <c r="F126" s="57" t="s">
        <v>365</v>
      </c>
      <c r="H126" s="58">
        <v>46121</v>
      </c>
    </row>
    <row r="127" spans="1:8" x14ac:dyDescent="0.45">
      <c r="A127" s="57">
        <v>1419</v>
      </c>
      <c r="B127" s="57" t="s">
        <v>485</v>
      </c>
      <c r="C127" s="57" t="s">
        <v>451</v>
      </c>
      <c r="D127" s="57" t="s">
        <v>35</v>
      </c>
      <c r="E127" s="57" t="b">
        <v>0</v>
      </c>
      <c r="F127" s="57" t="s">
        <v>364</v>
      </c>
      <c r="H127" s="58">
        <v>46121</v>
      </c>
    </row>
    <row r="128" spans="1:8" x14ac:dyDescent="0.45">
      <c r="A128" s="57">
        <v>967</v>
      </c>
      <c r="B128" s="57" t="s">
        <v>258</v>
      </c>
      <c r="C128" s="57" t="s">
        <v>198</v>
      </c>
      <c r="D128" s="57" t="s">
        <v>35</v>
      </c>
      <c r="E128" s="57" t="b">
        <v>0</v>
      </c>
      <c r="F128" s="57" t="s">
        <v>363</v>
      </c>
      <c r="G128" s="57">
        <v>5</v>
      </c>
      <c r="H128" s="58">
        <v>46121</v>
      </c>
    </row>
    <row r="129" spans="1:8" x14ac:dyDescent="0.45">
      <c r="A129" s="57">
        <v>1373</v>
      </c>
      <c r="B129" s="57" t="s">
        <v>507</v>
      </c>
      <c r="C129" s="57" t="s">
        <v>30</v>
      </c>
      <c r="D129" s="57" t="s">
        <v>35</v>
      </c>
      <c r="E129" s="57" t="b">
        <v>0</v>
      </c>
      <c r="F129" s="57" t="s">
        <v>363</v>
      </c>
      <c r="G129" s="57">
        <v>10</v>
      </c>
      <c r="H129" s="58">
        <v>46121</v>
      </c>
    </row>
    <row r="130" spans="1:8" x14ac:dyDescent="0.45">
      <c r="A130" s="57">
        <v>1045</v>
      </c>
      <c r="B130" s="57" t="s">
        <v>259</v>
      </c>
      <c r="C130" s="57" t="s">
        <v>260</v>
      </c>
      <c r="D130" s="57" t="s">
        <v>35</v>
      </c>
      <c r="E130" s="57" t="b">
        <v>1</v>
      </c>
      <c r="F130" s="57" t="s">
        <v>363</v>
      </c>
      <c r="G130" s="57">
        <v>5</v>
      </c>
      <c r="H130" s="58">
        <v>46121</v>
      </c>
    </row>
    <row r="131" spans="1:8" x14ac:dyDescent="0.45">
      <c r="A131" s="57">
        <v>1046</v>
      </c>
      <c r="B131" s="57" t="s">
        <v>259</v>
      </c>
      <c r="C131" s="57" t="s">
        <v>261</v>
      </c>
      <c r="D131" s="57" t="s">
        <v>35</v>
      </c>
      <c r="E131" s="57" t="b">
        <v>0</v>
      </c>
      <c r="F131" s="57" t="s">
        <v>363</v>
      </c>
      <c r="G131" s="57">
        <v>35</v>
      </c>
      <c r="H131" s="58">
        <v>46121</v>
      </c>
    </row>
    <row r="132" spans="1:8" x14ac:dyDescent="0.45">
      <c r="A132" s="57">
        <v>1396</v>
      </c>
      <c r="B132" s="57" t="s">
        <v>421</v>
      </c>
      <c r="C132" s="57" t="s">
        <v>57</v>
      </c>
      <c r="D132" s="57" t="s">
        <v>35</v>
      </c>
      <c r="E132" s="57" t="b">
        <v>0</v>
      </c>
      <c r="F132" s="57" t="s">
        <v>364</v>
      </c>
      <c r="H132" s="58">
        <v>46121</v>
      </c>
    </row>
    <row r="133" spans="1:8" x14ac:dyDescent="0.45">
      <c r="A133" s="57">
        <v>1397</v>
      </c>
      <c r="B133" s="57" t="s">
        <v>421</v>
      </c>
      <c r="C133" s="57" t="s">
        <v>422</v>
      </c>
      <c r="D133" s="57" t="s">
        <v>35</v>
      </c>
      <c r="E133" s="57" t="b">
        <v>1</v>
      </c>
      <c r="F133" s="57" t="s">
        <v>364</v>
      </c>
      <c r="H133" s="58">
        <v>46121</v>
      </c>
    </row>
    <row r="134" spans="1:8" x14ac:dyDescent="0.45">
      <c r="A134" s="57">
        <v>1398</v>
      </c>
      <c r="B134" s="57" t="s">
        <v>421</v>
      </c>
      <c r="C134" s="57" t="s">
        <v>49</v>
      </c>
      <c r="D134" s="57" t="s">
        <v>35</v>
      </c>
      <c r="E134" s="57" t="b">
        <v>0</v>
      </c>
      <c r="F134" s="57" t="s">
        <v>365</v>
      </c>
      <c r="H134" s="58">
        <v>46121</v>
      </c>
    </row>
    <row r="135" spans="1:8" x14ac:dyDescent="0.45">
      <c r="A135" s="57">
        <v>1399</v>
      </c>
      <c r="B135" s="57" t="s">
        <v>421</v>
      </c>
      <c r="C135" s="57" t="s">
        <v>182</v>
      </c>
      <c r="D135" s="57" t="s">
        <v>35</v>
      </c>
      <c r="E135" s="57" t="b">
        <v>1</v>
      </c>
      <c r="F135" s="57" t="s">
        <v>365</v>
      </c>
      <c r="H135" s="58">
        <v>46121</v>
      </c>
    </row>
    <row r="136" spans="1:8" x14ac:dyDescent="0.45">
      <c r="A136" s="57">
        <v>771</v>
      </c>
      <c r="B136" s="57" t="s">
        <v>263</v>
      </c>
      <c r="C136" s="57" t="s">
        <v>264</v>
      </c>
      <c r="D136" s="57" t="s">
        <v>35</v>
      </c>
      <c r="E136" s="57" t="b">
        <v>0</v>
      </c>
      <c r="F136" s="57" t="s">
        <v>363</v>
      </c>
      <c r="G136" s="57">
        <v>14</v>
      </c>
      <c r="H136" s="58">
        <v>46121</v>
      </c>
    </row>
    <row r="137" spans="1:8" x14ac:dyDescent="0.45">
      <c r="A137" s="57">
        <v>1265</v>
      </c>
      <c r="B137" s="57" t="s">
        <v>265</v>
      </c>
      <c r="C137" s="57" t="s">
        <v>266</v>
      </c>
      <c r="D137" s="57" t="s">
        <v>35</v>
      </c>
      <c r="E137" s="57" t="b">
        <v>0</v>
      </c>
      <c r="F137" s="57" t="s">
        <v>363</v>
      </c>
      <c r="G137" s="57">
        <v>20</v>
      </c>
      <c r="H137" s="58">
        <v>46121</v>
      </c>
    </row>
    <row r="138" spans="1:8" x14ac:dyDescent="0.45">
      <c r="A138" s="57">
        <v>532</v>
      </c>
      <c r="B138" s="57" t="s">
        <v>267</v>
      </c>
      <c r="C138" s="57" t="s">
        <v>266</v>
      </c>
      <c r="D138" s="57" t="s">
        <v>35</v>
      </c>
      <c r="E138" s="57" t="b">
        <v>0</v>
      </c>
      <c r="F138" s="57" t="s">
        <v>363</v>
      </c>
      <c r="G138" s="57">
        <v>13</v>
      </c>
      <c r="H138" s="58">
        <v>46121</v>
      </c>
    </row>
    <row r="139" spans="1:8" x14ac:dyDescent="0.45">
      <c r="A139" s="57">
        <v>742</v>
      </c>
      <c r="B139" s="57" t="s">
        <v>269</v>
      </c>
      <c r="C139" s="57" t="s">
        <v>205</v>
      </c>
      <c r="D139" s="57" t="s">
        <v>35</v>
      </c>
      <c r="E139" s="57" t="b">
        <v>1</v>
      </c>
      <c r="F139" s="57" t="s">
        <v>363</v>
      </c>
      <c r="G139" s="57">
        <v>2</v>
      </c>
      <c r="H139" s="58">
        <v>46121</v>
      </c>
    </row>
    <row r="140" spans="1:8" x14ac:dyDescent="0.45">
      <c r="A140" s="57">
        <v>741</v>
      </c>
      <c r="B140" s="57" t="s">
        <v>269</v>
      </c>
      <c r="C140" s="57" t="s">
        <v>271</v>
      </c>
      <c r="D140" s="57" t="s">
        <v>35</v>
      </c>
      <c r="E140" s="57" t="b">
        <v>0</v>
      </c>
      <c r="F140" s="57" t="s">
        <v>363</v>
      </c>
      <c r="G140" s="57">
        <v>4</v>
      </c>
      <c r="H140" s="58">
        <v>46121</v>
      </c>
    </row>
    <row r="141" spans="1:8" x14ac:dyDescent="0.45">
      <c r="A141" s="57">
        <v>1298</v>
      </c>
      <c r="B141" s="57" t="s">
        <v>269</v>
      </c>
      <c r="C141" s="57" t="s">
        <v>183</v>
      </c>
      <c r="D141" s="57" t="s">
        <v>35</v>
      </c>
      <c r="E141" s="57" t="b">
        <v>1</v>
      </c>
      <c r="F141" s="57" t="s">
        <v>363</v>
      </c>
      <c r="G141" s="57">
        <v>13</v>
      </c>
      <c r="H141" s="58">
        <v>46121</v>
      </c>
    </row>
    <row r="142" spans="1:8" x14ac:dyDescent="0.45">
      <c r="A142" s="57">
        <v>747</v>
      </c>
      <c r="B142" s="57" t="s">
        <v>269</v>
      </c>
      <c r="C142" s="57" t="s">
        <v>29</v>
      </c>
      <c r="D142" s="57" t="s">
        <v>35</v>
      </c>
      <c r="E142" s="57" t="b">
        <v>0</v>
      </c>
      <c r="F142" s="57" t="s">
        <v>363</v>
      </c>
      <c r="G142" s="57">
        <v>1</v>
      </c>
      <c r="H142" s="58">
        <v>46121</v>
      </c>
    </row>
    <row r="143" spans="1:8" x14ac:dyDescent="0.45">
      <c r="A143" s="57">
        <v>1386</v>
      </c>
      <c r="B143" s="57" t="s">
        <v>269</v>
      </c>
      <c r="C143" s="57" t="s">
        <v>270</v>
      </c>
      <c r="D143" s="57" t="s">
        <v>35</v>
      </c>
      <c r="E143" s="57" t="b">
        <v>1</v>
      </c>
      <c r="F143" s="57" t="s">
        <v>365</v>
      </c>
      <c r="H143" s="58">
        <v>46121</v>
      </c>
    </row>
    <row r="144" spans="1:8" x14ac:dyDescent="0.45">
      <c r="A144" s="57">
        <v>564</v>
      </c>
      <c r="B144" s="57" t="s">
        <v>420</v>
      </c>
      <c r="C144" s="57" t="s">
        <v>37</v>
      </c>
      <c r="D144" s="57" t="s">
        <v>35</v>
      </c>
      <c r="E144" s="57" t="b">
        <v>0</v>
      </c>
      <c r="F144" s="57" t="s">
        <v>363</v>
      </c>
      <c r="G144" s="57">
        <v>7</v>
      </c>
      <c r="H144" s="58">
        <v>46121</v>
      </c>
    </row>
    <row r="145" spans="1:8" x14ac:dyDescent="0.45">
      <c r="A145" s="57">
        <v>1165</v>
      </c>
      <c r="B145" s="57" t="s">
        <v>272</v>
      </c>
      <c r="C145" s="57" t="s">
        <v>222</v>
      </c>
      <c r="D145" s="57" t="s">
        <v>35</v>
      </c>
      <c r="E145" s="57" t="b">
        <v>0</v>
      </c>
      <c r="F145" s="57" t="s">
        <v>363</v>
      </c>
      <c r="G145" s="57">
        <v>10</v>
      </c>
      <c r="H145" s="58">
        <v>46121</v>
      </c>
    </row>
    <row r="146" spans="1:8" x14ac:dyDescent="0.45">
      <c r="A146" s="57">
        <v>405</v>
      </c>
      <c r="B146" s="57" t="s">
        <v>273</v>
      </c>
      <c r="C146" s="57" t="s">
        <v>266</v>
      </c>
      <c r="D146" s="57" t="s">
        <v>35</v>
      </c>
      <c r="E146" s="57" t="b">
        <v>0</v>
      </c>
      <c r="F146" s="57" t="s">
        <v>363</v>
      </c>
      <c r="G146" s="57">
        <v>18</v>
      </c>
      <c r="H146" s="58">
        <v>46121</v>
      </c>
    </row>
    <row r="147" spans="1:8" x14ac:dyDescent="0.45">
      <c r="A147" s="57">
        <v>1346</v>
      </c>
      <c r="B147" s="57" t="s">
        <v>274</v>
      </c>
      <c r="C147" s="57" t="s">
        <v>275</v>
      </c>
      <c r="D147" s="57" t="s">
        <v>35</v>
      </c>
      <c r="E147" s="57" t="b">
        <v>0</v>
      </c>
      <c r="F147" s="57" t="s">
        <v>363</v>
      </c>
      <c r="G147" s="57">
        <v>20</v>
      </c>
      <c r="H147" s="58">
        <v>46121</v>
      </c>
    </row>
    <row r="148" spans="1:8" x14ac:dyDescent="0.45">
      <c r="A148" s="57">
        <v>1192</v>
      </c>
      <c r="B148" s="57" t="s">
        <v>276</v>
      </c>
      <c r="C148" s="57" t="s">
        <v>277</v>
      </c>
      <c r="D148" s="57" t="s">
        <v>35</v>
      </c>
      <c r="E148" s="57" t="b">
        <v>0</v>
      </c>
      <c r="F148" s="57" t="s">
        <v>363</v>
      </c>
      <c r="G148" s="57">
        <v>10</v>
      </c>
      <c r="H148" s="58">
        <v>46121</v>
      </c>
    </row>
    <row r="149" spans="1:8" x14ac:dyDescent="0.45">
      <c r="A149" s="57">
        <v>1157</v>
      </c>
      <c r="B149" s="57" t="s">
        <v>278</v>
      </c>
      <c r="C149" s="57" t="s">
        <v>40</v>
      </c>
      <c r="D149" s="57" t="s">
        <v>35</v>
      </c>
      <c r="E149" s="57" t="b">
        <v>0</v>
      </c>
      <c r="F149" s="57" t="s">
        <v>364</v>
      </c>
      <c r="H149" s="58">
        <v>46121</v>
      </c>
    </row>
    <row r="150" spans="1:8" x14ac:dyDescent="0.45">
      <c r="A150" s="57">
        <v>1359</v>
      </c>
      <c r="B150" s="57" t="s">
        <v>279</v>
      </c>
      <c r="C150" s="57" t="s">
        <v>49</v>
      </c>
      <c r="D150" s="57" t="s">
        <v>35</v>
      </c>
      <c r="E150" s="57" t="b">
        <v>0</v>
      </c>
      <c r="F150" s="57" t="s">
        <v>366</v>
      </c>
      <c r="H150" s="58">
        <v>46121</v>
      </c>
    </row>
    <row r="151" spans="1:8" x14ac:dyDescent="0.45">
      <c r="A151" s="57">
        <v>1360</v>
      </c>
      <c r="B151" s="57" t="s">
        <v>279</v>
      </c>
      <c r="C151" s="57" t="s">
        <v>281</v>
      </c>
      <c r="D151" s="57" t="s">
        <v>35</v>
      </c>
      <c r="E151" s="57" t="b">
        <v>1</v>
      </c>
      <c r="F151" s="57" t="s">
        <v>365</v>
      </c>
      <c r="H151" s="58">
        <v>46121</v>
      </c>
    </row>
    <row r="152" spans="1:8" x14ac:dyDescent="0.45">
      <c r="A152" s="57">
        <v>1357</v>
      </c>
      <c r="B152" s="57" t="s">
        <v>279</v>
      </c>
      <c r="C152" s="57" t="s">
        <v>37</v>
      </c>
      <c r="D152" s="57" t="s">
        <v>35</v>
      </c>
      <c r="E152" s="57" t="b">
        <v>0</v>
      </c>
      <c r="F152" s="57" t="s">
        <v>363</v>
      </c>
      <c r="G152" s="57">
        <v>5</v>
      </c>
      <c r="H152" s="58">
        <v>46121</v>
      </c>
    </row>
    <row r="153" spans="1:8" x14ac:dyDescent="0.45">
      <c r="A153" s="57">
        <v>1358</v>
      </c>
      <c r="B153" s="57" t="s">
        <v>279</v>
      </c>
      <c r="C153" s="57" t="s">
        <v>280</v>
      </c>
      <c r="D153" s="57" t="s">
        <v>35</v>
      </c>
      <c r="E153" s="57" t="b">
        <v>1</v>
      </c>
      <c r="F153" s="57" t="s">
        <v>363</v>
      </c>
      <c r="G153" s="57">
        <v>7</v>
      </c>
      <c r="H153" s="58">
        <v>46121</v>
      </c>
    </row>
    <row r="154" spans="1:8" x14ac:dyDescent="0.45">
      <c r="A154" s="57">
        <v>1390</v>
      </c>
      <c r="B154" s="57" t="s">
        <v>419</v>
      </c>
      <c r="C154" s="57" t="s">
        <v>418</v>
      </c>
      <c r="D154" s="57" t="s">
        <v>35</v>
      </c>
      <c r="E154" s="57" t="b">
        <v>0</v>
      </c>
      <c r="F154" s="57" t="s">
        <v>364</v>
      </c>
      <c r="H154" s="58">
        <v>46121</v>
      </c>
    </row>
    <row r="155" spans="1:8" x14ac:dyDescent="0.45">
      <c r="A155" s="57">
        <v>1107</v>
      </c>
      <c r="B155" s="57" t="s">
        <v>282</v>
      </c>
      <c r="C155" s="57" t="s">
        <v>283</v>
      </c>
      <c r="D155" s="57" t="s">
        <v>35</v>
      </c>
      <c r="E155" s="57" t="b">
        <v>1</v>
      </c>
      <c r="F155" s="57" t="s">
        <v>364</v>
      </c>
      <c r="H155" s="58">
        <v>46121</v>
      </c>
    </row>
    <row r="156" spans="1:8" x14ac:dyDescent="0.45">
      <c r="A156" s="57">
        <v>35</v>
      </c>
      <c r="B156" s="57" t="s">
        <v>284</v>
      </c>
      <c r="C156" s="57" t="s">
        <v>285</v>
      </c>
      <c r="D156" s="57" t="s">
        <v>35</v>
      </c>
      <c r="E156" s="57" t="b">
        <v>0</v>
      </c>
      <c r="F156" s="57" t="s">
        <v>363</v>
      </c>
      <c r="G156" s="57">
        <v>3</v>
      </c>
      <c r="H156" s="58">
        <v>46121</v>
      </c>
    </row>
    <row r="157" spans="1:8" x14ac:dyDescent="0.45">
      <c r="A157" s="57">
        <v>1094</v>
      </c>
      <c r="B157" s="57" t="s">
        <v>286</v>
      </c>
      <c r="C157" s="57" t="s">
        <v>63</v>
      </c>
      <c r="D157" s="57" t="s">
        <v>35</v>
      </c>
      <c r="E157" s="57" t="b">
        <v>0</v>
      </c>
      <c r="F157" s="57" t="s">
        <v>363</v>
      </c>
      <c r="G157" s="57">
        <v>12</v>
      </c>
      <c r="H157" s="58">
        <v>46121</v>
      </c>
    </row>
    <row r="158" spans="1:8" x14ac:dyDescent="0.45">
      <c r="A158" s="57">
        <v>1325</v>
      </c>
      <c r="B158" s="57" t="s">
        <v>287</v>
      </c>
      <c r="C158" s="57" t="s">
        <v>288</v>
      </c>
      <c r="D158" s="57" t="s">
        <v>35</v>
      </c>
      <c r="E158" s="57" t="b">
        <v>0</v>
      </c>
      <c r="F158" s="57" t="s">
        <v>363</v>
      </c>
      <c r="G158" s="57">
        <v>3</v>
      </c>
      <c r="H158" s="58">
        <v>46121</v>
      </c>
    </row>
    <row r="159" spans="1:8" x14ac:dyDescent="0.45">
      <c r="A159" s="57">
        <v>1143</v>
      </c>
      <c r="B159" s="57" t="s">
        <v>289</v>
      </c>
      <c r="C159" s="57" t="s">
        <v>271</v>
      </c>
      <c r="D159" s="57" t="s">
        <v>35</v>
      </c>
      <c r="E159" s="57" t="b">
        <v>0</v>
      </c>
      <c r="F159" s="57" t="s">
        <v>363</v>
      </c>
      <c r="G159" s="57">
        <v>3</v>
      </c>
      <c r="H159" s="58">
        <v>46121</v>
      </c>
    </row>
    <row r="160" spans="1:8" x14ac:dyDescent="0.45">
      <c r="A160" s="57">
        <v>1401</v>
      </c>
      <c r="B160" s="57" t="s">
        <v>417</v>
      </c>
      <c r="C160" s="57" t="s">
        <v>416</v>
      </c>
      <c r="D160" s="57" t="s">
        <v>35</v>
      </c>
      <c r="E160" s="57" t="b">
        <v>1</v>
      </c>
      <c r="F160" s="57" t="s">
        <v>364</v>
      </c>
      <c r="H160" s="58">
        <v>46121</v>
      </c>
    </row>
    <row r="161" spans="1:8" x14ac:dyDescent="0.45">
      <c r="A161" s="57">
        <v>1285</v>
      </c>
      <c r="B161" s="57" t="s">
        <v>415</v>
      </c>
      <c r="C161" s="57" t="s">
        <v>40</v>
      </c>
      <c r="D161" s="57" t="s">
        <v>35</v>
      </c>
      <c r="E161" s="57" t="b">
        <v>0</v>
      </c>
      <c r="F161" s="57" t="s">
        <v>364</v>
      </c>
      <c r="H161" s="58">
        <v>46121</v>
      </c>
    </row>
    <row r="162" spans="1:8" x14ac:dyDescent="0.45">
      <c r="A162" s="57">
        <v>38</v>
      </c>
      <c r="B162" s="57" t="s">
        <v>290</v>
      </c>
      <c r="C162" s="57" t="s">
        <v>291</v>
      </c>
      <c r="D162" s="57" t="s">
        <v>35</v>
      </c>
      <c r="E162" s="57" t="b">
        <v>0</v>
      </c>
      <c r="F162" s="57" t="s">
        <v>363</v>
      </c>
      <c r="G162" s="57">
        <v>13</v>
      </c>
      <c r="H162" s="58">
        <v>46121</v>
      </c>
    </row>
    <row r="163" spans="1:8" x14ac:dyDescent="0.45">
      <c r="A163" s="57">
        <v>245</v>
      </c>
      <c r="B163" s="57" t="s">
        <v>292</v>
      </c>
      <c r="C163" s="57" t="s">
        <v>30</v>
      </c>
      <c r="D163" s="57" t="s">
        <v>35</v>
      </c>
      <c r="E163" s="57" t="b">
        <v>0</v>
      </c>
      <c r="F163" s="57" t="s">
        <v>363</v>
      </c>
      <c r="G163" s="57">
        <v>10</v>
      </c>
      <c r="H163" s="58">
        <v>46121</v>
      </c>
    </row>
    <row r="164" spans="1:8" x14ac:dyDescent="0.45">
      <c r="A164" s="57">
        <v>39</v>
      </c>
      <c r="B164" s="57" t="s">
        <v>292</v>
      </c>
      <c r="C164" s="57" t="s">
        <v>71</v>
      </c>
      <c r="D164" s="57" t="s">
        <v>35</v>
      </c>
      <c r="E164" s="57" t="b">
        <v>0</v>
      </c>
      <c r="F164" s="57" t="s">
        <v>363</v>
      </c>
      <c r="G164" s="57">
        <v>43</v>
      </c>
      <c r="H164" s="58">
        <v>46121</v>
      </c>
    </row>
    <row r="165" spans="1:8" x14ac:dyDescent="0.45">
      <c r="A165" s="57">
        <v>508</v>
      </c>
      <c r="B165" s="57" t="s">
        <v>293</v>
      </c>
      <c r="C165" s="57" t="s">
        <v>57</v>
      </c>
      <c r="D165" s="57" t="s">
        <v>35</v>
      </c>
      <c r="E165" s="57" t="b">
        <v>0</v>
      </c>
      <c r="F165" s="57" t="s">
        <v>363</v>
      </c>
      <c r="G165" s="57">
        <v>31</v>
      </c>
      <c r="H165" s="58">
        <v>46121</v>
      </c>
    </row>
    <row r="166" spans="1:8" x14ac:dyDescent="0.45">
      <c r="A166" s="57">
        <v>1392</v>
      </c>
      <c r="B166" s="57" t="s">
        <v>414</v>
      </c>
      <c r="C166" s="57" t="s">
        <v>413</v>
      </c>
      <c r="D166" s="57" t="s">
        <v>35</v>
      </c>
      <c r="E166" s="57" t="b">
        <v>1</v>
      </c>
      <c r="F166" s="57" t="s">
        <v>364</v>
      </c>
      <c r="H166" s="58">
        <v>46121</v>
      </c>
    </row>
    <row r="167" spans="1:8" x14ac:dyDescent="0.45">
      <c r="A167" s="57">
        <v>1141</v>
      </c>
      <c r="B167" s="57" t="s">
        <v>294</v>
      </c>
      <c r="C167" s="57" t="s">
        <v>295</v>
      </c>
      <c r="D167" s="57" t="s">
        <v>35</v>
      </c>
      <c r="E167" s="57" t="b">
        <v>1</v>
      </c>
      <c r="F167" s="57" t="s">
        <v>363</v>
      </c>
      <c r="G167" s="57">
        <v>15</v>
      </c>
      <c r="H167" s="58">
        <v>46121</v>
      </c>
    </row>
    <row r="168" spans="1:8" x14ac:dyDescent="0.45">
      <c r="A168" s="57">
        <v>891</v>
      </c>
      <c r="B168" s="57" t="s">
        <v>296</v>
      </c>
      <c r="C168" s="57" t="s">
        <v>297</v>
      </c>
      <c r="D168" s="57" t="s">
        <v>35</v>
      </c>
      <c r="E168" s="57" t="b">
        <v>1</v>
      </c>
      <c r="F168" s="57" t="s">
        <v>364</v>
      </c>
      <c r="H168" s="58">
        <v>46121</v>
      </c>
    </row>
    <row r="169" spans="1:8" x14ac:dyDescent="0.45">
      <c r="A169" s="57">
        <v>1352</v>
      </c>
      <c r="B169" s="57" t="s">
        <v>450</v>
      </c>
      <c r="C169" s="57" t="s">
        <v>37</v>
      </c>
      <c r="D169" s="57" t="s">
        <v>35</v>
      </c>
      <c r="E169" s="57" t="b">
        <v>0</v>
      </c>
      <c r="F169" s="57" t="s">
        <v>363</v>
      </c>
      <c r="G169" s="57">
        <v>11</v>
      </c>
      <c r="H169" s="58">
        <v>46121</v>
      </c>
    </row>
    <row r="170" spans="1:8" x14ac:dyDescent="0.45">
      <c r="A170" s="57">
        <v>1339</v>
      </c>
      <c r="B170" s="57" t="s">
        <v>300</v>
      </c>
      <c r="C170" s="57" t="s">
        <v>301</v>
      </c>
      <c r="D170" s="57" t="s">
        <v>35</v>
      </c>
      <c r="E170" s="57" t="b">
        <v>0</v>
      </c>
      <c r="F170" s="57" t="s">
        <v>364</v>
      </c>
      <c r="H170" s="58">
        <v>46121</v>
      </c>
    </row>
    <row r="171" spans="1:8" x14ac:dyDescent="0.45">
      <c r="A171" s="57">
        <v>914</v>
      </c>
      <c r="B171" s="57" t="s">
        <v>302</v>
      </c>
      <c r="C171" s="57" t="s">
        <v>199</v>
      </c>
      <c r="D171" s="57" t="s">
        <v>35</v>
      </c>
      <c r="E171" s="57" t="b">
        <v>0</v>
      </c>
      <c r="F171" s="57" t="s">
        <v>363</v>
      </c>
      <c r="G171" s="57">
        <v>14</v>
      </c>
      <c r="H171" s="58">
        <v>46121</v>
      </c>
    </row>
    <row r="172" spans="1:8" x14ac:dyDescent="0.45">
      <c r="A172" s="57">
        <v>597</v>
      </c>
      <c r="B172" s="57" t="s">
        <v>298</v>
      </c>
      <c r="C172" s="57" t="s">
        <v>299</v>
      </c>
      <c r="D172" s="57" t="s">
        <v>35</v>
      </c>
      <c r="E172" s="57" t="b">
        <v>0</v>
      </c>
      <c r="F172" s="57" t="s">
        <v>363</v>
      </c>
      <c r="G172" s="57">
        <v>36</v>
      </c>
      <c r="H172" s="58">
        <v>46121</v>
      </c>
    </row>
    <row r="173" spans="1:8" x14ac:dyDescent="0.45">
      <c r="A173" s="57">
        <v>1038</v>
      </c>
      <c r="B173" s="57" t="s">
        <v>302</v>
      </c>
      <c r="C173" s="57" t="s">
        <v>51</v>
      </c>
      <c r="D173" s="57" t="s">
        <v>35</v>
      </c>
      <c r="E173" s="57" t="b">
        <v>0</v>
      </c>
      <c r="F173" s="57" t="s">
        <v>363</v>
      </c>
      <c r="G173" s="57">
        <v>12</v>
      </c>
      <c r="H173" s="58">
        <v>46121</v>
      </c>
    </row>
    <row r="174" spans="1:8" x14ac:dyDescent="0.45">
      <c r="A174" s="57">
        <v>1242</v>
      </c>
      <c r="B174" s="57" t="s">
        <v>303</v>
      </c>
      <c r="C174" s="57" t="s">
        <v>231</v>
      </c>
      <c r="D174" s="57" t="s">
        <v>35</v>
      </c>
      <c r="E174" s="57" t="b">
        <v>0</v>
      </c>
      <c r="F174" s="57" t="s">
        <v>363</v>
      </c>
      <c r="G174" s="57">
        <v>15</v>
      </c>
      <c r="H174" s="58">
        <v>46121</v>
      </c>
    </row>
    <row r="175" spans="1:8" x14ac:dyDescent="0.45">
      <c r="A175" s="57">
        <v>1048</v>
      </c>
      <c r="B175" s="57" t="s">
        <v>304</v>
      </c>
      <c r="C175" s="57" t="s">
        <v>63</v>
      </c>
      <c r="D175" s="57" t="s">
        <v>35</v>
      </c>
      <c r="E175" s="57" t="b">
        <v>0</v>
      </c>
      <c r="F175" s="57" t="s">
        <v>363</v>
      </c>
      <c r="G175" s="57">
        <v>16</v>
      </c>
      <c r="H175" s="58">
        <v>46121</v>
      </c>
    </row>
    <row r="176" spans="1:8" x14ac:dyDescent="0.45">
      <c r="A176" s="57">
        <v>1055</v>
      </c>
      <c r="B176" s="57" t="s">
        <v>304</v>
      </c>
      <c r="C176" s="57" t="s">
        <v>305</v>
      </c>
      <c r="D176" s="57" t="s">
        <v>35</v>
      </c>
      <c r="E176" s="57" t="b">
        <v>0</v>
      </c>
      <c r="F176" s="57" t="s">
        <v>363</v>
      </c>
      <c r="G176" s="57">
        <v>1</v>
      </c>
      <c r="H176" s="58">
        <v>46121</v>
      </c>
    </row>
    <row r="177" spans="1:8" x14ac:dyDescent="0.45">
      <c r="A177" s="57">
        <v>1095</v>
      </c>
      <c r="B177" s="57" t="s">
        <v>304</v>
      </c>
      <c r="C177" s="57" t="s">
        <v>521</v>
      </c>
      <c r="D177" s="57" t="s">
        <v>35</v>
      </c>
      <c r="E177" s="57" t="b">
        <v>0</v>
      </c>
      <c r="F177" s="57" t="s">
        <v>363</v>
      </c>
      <c r="G177" s="57">
        <v>33</v>
      </c>
      <c r="H177" s="58">
        <v>46121</v>
      </c>
    </row>
    <row r="178" spans="1:8" x14ac:dyDescent="0.45">
      <c r="A178" s="57">
        <v>820</v>
      </c>
      <c r="B178" s="57" t="s">
        <v>304</v>
      </c>
      <c r="C178" s="57" t="s">
        <v>187</v>
      </c>
      <c r="D178" s="57" t="s">
        <v>35</v>
      </c>
      <c r="E178" s="57" t="b">
        <v>1</v>
      </c>
      <c r="F178" s="57" t="s">
        <v>363</v>
      </c>
      <c r="G178" s="57">
        <v>6</v>
      </c>
      <c r="H178" s="58">
        <v>46121</v>
      </c>
    </row>
    <row r="179" spans="1:8" x14ac:dyDescent="0.45">
      <c r="A179" s="57">
        <v>687</v>
      </c>
      <c r="B179" s="57" t="s">
        <v>304</v>
      </c>
      <c r="C179" s="57" t="s">
        <v>306</v>
      </c>
      <c r="D179" s="57" t="s">
        <v>35</v>
      </c>
      <c r="E179" s="57" t="b">
        <v>0</v>
      </c>
      <c r="F179" s="57" t="s">
        <v>363</v>
      </c>
      <c r="G179" s="57">
        <v>7</v>
      </c>
      <c r="H179" s="58">
        <v>46121</v>
      </c>
    </row>
    <row r="180" spans="1:8" x14ac:dyDescent="0.45">
      <c r="A180" s="57">
        <v>1420</v>
      </c>
      <c r="B180" s="57" t="s">
        <v>506</v>
      </c>
      <c r="C180" s="57" t="s">
        <v>249</v>
      </c>
      <c r="D180" s="57" t="s">
        <v>35</v>
      </c>
      <c r="E180" s="57" t="b">
        <v>1</v>
      </c>
      <c r="F180" s="57" t="s">
        <v>363</v>
      </c>
      <c r="G180" s="57">
        <v>15</v>
      </c>
      <c r="H180" s="58">
        <v>46121</v>
      </c>
    </row>
    <row r="181" spans="1:8" x14ac:dyDescent="0.45">
      <c r="A181" s="57">
        <v>1410</v>
      </c>
      <c r="B181" s="57" t="s">
        <v>163</v>
      </c>
      <c r="C181" s="57" t="s">
        <v>412</v>
      </c>
      <c r="D181" s="57" t="s">
        <v>35</v>
      </c>
      <c r="E181" s="57" t="b">
        <v>0</v>
      </c>
      <c r="F181" s="57" t="s">
        <v>364</v>
      </c>
      <c r="H181" s="58">
        <v>46121</v>
      </c>
    </row>
    <row r="182" spans="1:8" x14ac:dyDescent="0.45">
      <c r="A182" s="57">
        <v>1161</v>
      </c>
      <c r="B182" s="57" t="s">
        <v>307</v>
      </c>
      <c r="C182" s="57" t="s">
        <v>308</v>
      </c>
      <c r="D182" s="57" t="s">
        <v>35</v>
      </c>
      <c r="E182" s="57" t="b">
        <v>0</v>
      </c>
      <c r="F182" s="57" t="s">
        <v>364</v>
      </c>
      <c r="H182" s="58">
        <v>46121</v>
      </c>
    </row>
    <row r="183" spans="1:8" x14ac:dyDescent="0.45">
      <c r="A183" s="57">
        <v>890</v>
      </c>
      <c r="B183" s="57" t="s">
        <v>309</v>
      </c>
      <c r="C183" s="57" t="s">
        <v>310</v>
      </c>
      <c r="D183" s="57" t="s">
        <v>138</v>
      </c>
      <c r="E183" s="57" t="b">
        <v>0</v>
      </c>
      <c r="F183" s="57" t="s">
        <v>363</v>
      </c>
      <c r="G183" s="57">
        <v>23</v>
      </c>
      <c r="H183" s="58">
        <v>46121</v>
      </c>
    </row>
    <row r="184" spans="1:8" x14ac:dyDescent="0.45">
      <c r="A184" s="57">
        <v>1166</v>
      </c>
      <c r="B184" s="57" t="s">
        <v>520</v>
      </c>
      <c r="C184" s="57" t="s">
        <v>193</v>
      </c>
      <c r="D184" s="57" t="s">
        <v>138</v>
      </c>
      <c r="E184" s="57" t="b">
        <v>0</v>
      </c>
      <c r="F184" s="57" t="s">
        <v>363</v>
      </c>
      <c r="G184" s="57">
        <v>5</v>
      </c>
      <c r="H184" s="58">
        <v>46121</v>
      </c>
    </row>
    <row r="185" spans="1:8" x14ac:dyDescent="0.45">
      <c r="A185" s="57">
        <v>45</v>
      </c>
      <c r="B185" s="57" t="s">
        <v>311</v>
      </c>
      <c r="C185" s="57" t="s">
        <v>312</v>
      </c>
      <c r="D185" s="57" t="s">
        <v>35</v>
      </c>
      <c r="E185" s="57" t="b">
        <v>0</v>
      </c>
      <c r="F185" s="57" t="s">
        <v>363</v>
      </c>
      <c r="G185" s="57">
        <v>20</v>
      </c>
      <c r="H185" s="58">
        <v>46121</v>
      </c>
    </row>
    <row r="186" spans="1:8" x14ac:dyDescent="0.45">
      <c r="A186" s="57">
        <v>1160</v>
      </c>
      <c r="B186" s="57" t="s">
        <v>262</v>
      </c>
      <c r="C186" s="57" t="s">
        <v>313</v>
      </c>
      <c r="D186" s="57" t="s">
        <v>35</v>
      </c>
      <c r="E186" s="57" t="b">
        <v>0</v>
      </c>
      <c r="F186" s="57" t="s">
        <v>364</v>
      </c>
      <c r="H186" s="58">
        <v>46121</v>
      </c>
    </row>
    <row r="187" spans="1:8" x14ac:dyDescent="0.45">
      <c r="A187" s="57">
        <v>945</v>
      </c>
      <c r="B187" s="57" t="s">
        <v>314</v>
      </c>
      <c r="C187" s="57" t="s">
        <v>49</v>
      </c>
      <c r="D187" s="57" t="s">
        <v>35</v>
      </c>
      <c r="E187" s="57" t="b">
        <v>0</v>
      </c>
      <c r="F187" s="57" t="s">
        <v>364</v>
      </c>
      <c r="H187" s="58">
        <v>46121</v>
      </c>
    </row>
    <row r="188" spans="1:8" x14ac:dyDescent="0.45">
      <c r="A188" s="57">
        <v>813</v>
      </c>
      <c r="B188" s="57" t="s">
        <v>314</v>
      </c>
      <c r="C188" s="57" t="s">
        <v>297</v>
      </c>
      <c r="D188" s="57" t="s">
        <v>35</v>
      </c>
      <c r="E188" s="57" t="b">
        <v>1</v>
      </c>
      <c r="F188" s="57" t="s">
        <v>363</v>
      </c>
      <c r="G188" s="57">
        <v>7</v>
      </c>
      <c r="H188" s="58">
        <v>46121</v>
      </c>
    </row>
    <row r="189" spans="1:8" x14ac:dyDescent="0.45">
      <c r="A189" s="57">
        <v>812</v>
      </c>
      <c r="B189" s="57" t="s">
        <v>314</v>
      </c>
      <c r="C189" s="57" t="s">
        <v>315</v>
      </c>
      <c r="D189" s="57" t="s">
        <v>35</v>
      </c>
      <c r="E189" s="57" t="b">
        <v>0</v>
      </c>
      <c r="F189" s="57" t="s">
        <v>363</v>
      </c>
      <c r="G189" s="57">
        <v>9</v>
      </c>
      <c r="H189" s="58">
        <v>46121</v>
      </c>
    </row>
    <row r="190" spans="1:8" x14ac:dyDescent="0.45">
      <c r="A190" s="57">
        <v>1129</v>
      </c>
      <c r="B190" s="57" t="s">
        <v>316</v>
      </c>
      <c r="C190" s="57" t="s">
        <v>317</v>
      </c>
      <c r="D190" s="57" t="s">
        <v>35</v>
      </c>
      <c r="E190" s="57" t="b">
        <v>0</v>
      </c>
      <c r="F190" s="57" t="s">
        <v>363</v>
      </c>
      <c r="G190" s="57">
        <v>12</v>
      </c>
      <c r="H190" s="58">
        <v>46121</v>
      </c>
    </row>
    <row r="191" spans="1:8" x14ac:dyDescent="0.45">
      <c r="A191" s="57">
        <v>915</v>
      </c>
      <c r="B191" s="57" t="s">
        <v>505</v>
      </c>
      <c r="C191" s="57" t="s">
        <v>264</v>
      </c>
      <c r="D191" s="57" t="s">
        <v>35</v>
      </c>
      <c r="E191" s="57" t="b">
        <v>0</v>
      </c>
      <c r="F191" s="57" t="s">
        <v>363</v>
      </c>
      <c r="G191" s="57">
        <v>8</v>
      </c>
      <c r="H191" s="58">
        <v>46121</v>
      </c>
    </row>
    <row r="192" spans="1:8" x14ac:dyDescent="0.45">
      <c r="A192" s="57">
        <v>860</v>
      </c>
      <c r="B192" s="57" t="s">
        <v>319</v>
      </c>
      <c r="C192" s="57" t="s">
        <v>320</v>
      </c>
      <c r="D192" s="57" t="s">
        <v>35</v>
      </c>
      <c r="E192" s="57" t="b">
        <v>1</v>
      </c>
      <c r="F192" s="57" t="s">
        <v>364</v>
      </c>
      <c r="H192" s="58">
        <v>46121</v>
      </c>
    </row>
    <row r="193" spans="1:8" x14ac:dyDescent="0.45">
      <c r="A193" s="57">
        <v>756</v>
      </c>
      <c r="B193" s="57" t="s">
        <v>319</v>
      </c>
      <c r="C193" s="57" t="s">
        <v>321</v>
      </c>
      <c r="D193" s="57" t="s">
        <v>35</v>
      </c>
      <c r="E193" s="57" t="b">
        <v>0</v>
      </c>
      <c r="F193" s="57" t="s">
        <v>364</v>
      </c>
      <c r="H193" s="58">
        <v>46121</v>
      </c>
    </row>
    <row r="194" spans="1:8" x14ac:dyDescent="0.45">
      <c r="A194" s="57">
        <v>407</v>
      </c>
      <c r="B194" s="57" t="s">
        <v>319</v>
      </c>
      <c r="C194" s="57" t="s">
        <v>322</v>
      </c>
      <c r="D194" s="57" t="s">
        <v>35</v>
      </c>
      <c r="E194" s="57" t="b">
        <v>0</v>
      </c>
      <c r="F194" s="57" t="s">
        <v>363</v>
      </c>
      <c r="G194" s="57">
        <v>5</v>
      </c>
      <c r="H194" s="58">
        <v>46121</v>
      </c>
    </row>
    <row r="195" spans="1:8" x14ac:dyDescent="0.45">
      <c r="A195" s="57">
        <v>1312</v>
      </c>
      <c r="B195" s="57" t="s">
        <v>323</v>
      </c>
      <c r="C195" s="57" t="s">
        <v>295</v>
      </c>
      <c r="D195" s="57" t="s">
        <v>35</v>
      </c>
      <c r="E195" s="57" t="b">
        <v>1</v>
      </c>
      <c r="F195" s="57" t="s">
        <v>363</v>
      </c>
      <c r="G195" s="57">
        <v>35</v>
      </c>
      <c r="H195" s="58">
        <v>46121</v>
      </c>
    </row>
    <row r="196" spans="1:8" x14ac:dyDescent="0.45">
      <c r="A196" s="57">
        <v>935</v>
      </c>
      <c r="B196" s="57" t="s">
        <v>324</v>
      </c>
      <c r="C196" s="57" t="s">
        <v>268</v>
      </c>
      <c r="D196" s="57" t="s">
        <v>35</v>
      </c>
      <c r="E196" s="57" t="b">
        <v>1</v>
      </c>
      <c r="F196" s="57" t="s">
        <v>364</v>
      </c>
      <c r="H196" s="58">
        <v>46121</v>
      </c>
    </row>
    <row r="197" spans="1:8" x14ac:dyDescent="0.45">
      <c r="A197" s="57">
        <v>999</v>
      </c>
      <c r="B197" s="57" t="s">
        <v>324</v>
      </c>
      <c r="C197" s="57" t="s">
        <v>325</v>
      </c>
      <c r="D197" s="57" t="s">
        <v>35</v>
      </c>
      <c r="E197" s="57" t="b">
        <v>1</v>
      </c>
      <c r="F197" s="57" t="s">
        <v>364</v>
      </c>
      <c r="H197" s="58">
        <v>46121</v>
      </c>
    </row>
    <row r="198" spans="1:8" x14ac:dyDescent="0.45">
      <c r="A198" s="57">
        <v>998</v>
      </c>
      <c r="B198" s="57" t="s">
        <v>324</v>
      </c>
      <c r="C198" s="57" t="s">
        <v>326</v>
      </c>
      <c r="D198" s="57" t="s">
        <v>35</v>
      </c>
      <c r="E198" s="57" t="b">
        <v>1</v>
      </c>
      <c r="F198" s="57" t="s">
        <v>363</v>
      </c>
      <c r="G198" s="57">
        <v>5</v>
      </c>
      <c r="H198" s="58">
        <v>46121</v>
      </c>
    </row>
    <row r="199" spans="1:8" x14ac:dyDescent="0.45">
      <c r="A199" s="57">
        <v>616</v>
      </c>
      <c r="B199" s="57" t="s">
        <v>324</v>
      </c>
      <c r="C199" s="57" t="s">
        <v>43</v>
      </c>
      <c r="D199" s="57" t="s">
        <v>35</v>
      </c>
      <c r="E199" s="57" t="b">
        <v>0</v>
      </c>
      <c r="F199" s="57" t="s">
        <v>363</v>
      </c>
      <c r="G199" s="57">
        <v>7</v>
      </c>
      <c r="H199" s="58">
        <v>46121</v>
      </c>
    </row>
    <row r="200" spans="1:8" x14ac:dyDescent="0.45">
      <c r="A200" s="57">
        <v>558</v>
      </c>
      <c r="B200" s="57" t="s">
        <v>327</v>
      </c>
      <c r="C200" s="57" t="s">
        <v>41</v>
      </c>
      <c r="D200" s="57" t="s">
        <v>35</v>
      </c>
      <c r="E200" s="57" t="b">
        <v>0</v>
      </c>
      <c r="F200" s="57" t="s">
        <v>363</v>
      </c>
      <c r="G200" s="57">
        <v>15</v>
      </c>
      <c r="H200" s="58">
        <v>46121</v>
      </c>
    </row>
    <row r="201" spans="1:8" x14ac:dyDescent="0.45">
      <c r="A201" s="57">
        <v>991</v>
      </c>
      <c r="B201" s="57" t="s">
        <v>444</v>
      </c>
      <c r="C201" s="57" t="s">
        <v>226</v>
      </c>
      <c r="D201" s="57" t="s">
        <v>35</v>
      </c>
      <c r="E201" s="57" t="b">
        <v>1</v>
      </c>
      <c r="F201" s="57" t="s">
        <v>365</v>
      </c>
      <c r="H201" s="58">
        <v>46121</v>
      </c>
    </row>
    <row r="202" spans="1:8" x14ac:dyDescent="0.45">
      <c r="A202" s="57">
        <v>359</v>
      </c>
      <c r="B202" s="57" t="s">
        <v>328</v>
      </c>
      <c r="C202" s="57" t="s">
        <v>28</v>
      </c>
      <c r="D202" s="57" t="s">
        <v>35</v>
      </c>
      <c r="E202" s="57" t="b">
        <v>0</v>
      </c>
      <c r="F202" s="57" t="s">
        <v>363</v>
      </c>
      <c r="G202" s="57">
        <v>24</v>
      </c>
      <c r="H202" s="58">
        <v>46121</v>
      </c>
    </row>
    <row r="203" spans="1:8" x14ac:dyDescent="0.45">
      <c r="A203" s="57">
        <v>1310</v>
      </c>
      <c r="B203" s="57" t="s">
        <v>329</v>
      </c>
      <c r="C203" s="57" t="s">
        <v>262</v>
      </c>
      <c r="D203" s="57" t="s">
        <v>35</v>
      </c>
      <c r="E203" s="57" t="b">
        <v>0</v>
      </c>
      <c r="F203" s="57" t="s">
        <v>364</v>
      </c>
      <c r="H203" s="58">
        <v>46121</v>
      </c>
    </row>
    <row r="204" spans="1:8" x14ac:dyDescent="0.45">
      <c r="A204" s="57">
        <v>1200</v>
      </c>
      <c r="B204" s="57" t="s">
        <v>331</v>
      </c>
      <c r="C204" s="57" t="s">
        <v>332</v>
      </c>
      <c r="D204" s="57" t="s">
        <v>35</v>
      </c>
      <c r="E204" s="57" t="b">
        <v>0</v>
      </c>
      <c r="F204" s="57" t="s">
        <v>363</v>
      </c>
      <c r="G204" s="57">
        <v>6</v>
      </c>
      <c r="H204" s="58">
        <v>46121</v>
      </c>
    </row>
    <row r="205" spans="1:8" x14ac:dyDescent="0.45">
      <c r="A205" s="57">
        <v>1411</v>
      </c>
      <c r="B205" s="57" t="s">
        <v>331</v>
      </c>
      <c r="C205" s="57" t="s">
        <v>69</v>
      </c>
      <c r="D205" s="57" t="s">
        <v>35</v>
      </c>
      <c r="E205" s="57" t="b">
        <v>1</v>
      </c>
      <c r="F205" s="57" t="s">
        <v>363</v>
      </c>
      <c r="G205" s="57">
        <v>3</v>
      </c>
      <c r="H205" s="58">
        <v>46121</v>
      </c>
    </row>
    <row r="206" spans="1:8" x14ac:dyDescent="0.45">
      <c r="A206" s="57">
        <v>1412</v>
      </c>
      <c r="B206" s="57" t="s">
        <v>331</v>
      </c>
      <c r="C206" s="57" t="s">
        <v>411</v>
      </c>
      <c r="D206" s="57" t="s">
        <v>35</v>
      </c>
      <c r="E206" s="57" t="b">
        <v>1</v>
      </c>
      <c r="F206" s="57" t="s">
        <v>366</v>
      </c>
      <c r="H206" s="58">
        <v>46121</v>
      </c>
    </row>
    <row r="207" spans="1:8" x14ac:dyDescent="0.45">
      <c r="A207" s="57">
        <v>1413</v>
      </c>
      <c r="B207" s="57" t="s">
        <v>331</v>
      </c>
      <c r="C207" s="57" t="s">
        <v>410</v>
      </c>
      <c r="D207" s="57" t="s">
        <v>35</v>
      </c>
      <c r="E207" s="57" t="b">
        <v>0</v>
      </c>
      <c r="F207" s="57" t="s">
        <v>366</v>
      </c>
      <c r="H207" s="58">
        <v>46121</v>
      </c>
    </row>
    <row r="208" spans="1:8" x14ac:dyDescent="0.45">
      <c r="A208" s="57">
        <v>1376</v>
      </c>
      <c r="B208" s="57" t="s">
        <v>233</v>
      </c>
      <c r="C208" s="57" t="s">
        <v>185</v>
      </c>
      <c r="D208" s="57" t="s">
        <v>35</v>
      </c>
      <c r="E208" s="57" t="b">
        <v>1</v>
      </c>
      <c r="F208" s="57" t="s">
        <v>364</v>
      </c>
      <c r="H208" s="58">
        <v>46121</v>
      </c>
    </row>
    <row r="209" spans="1:8" x14ac:dyDescent="0.45">
      <c r="A209" s="57">
        <v>1140</v>
      </c>
      <c r="B209" s="57" t="s">
        <v>333</v>
      </c>
      <c r="C209" s="57" t="s">
        <v>266</v>
      </c>
      <c r="D209" s="57" t="s">
        <v>35</v>
      </c>
      <c r="E209" s="57" t="b">
        <v>0</v>
      </c>
      <c r="F209" s="57" t="s">
        <v>364</v>
      </c>
      <c r="H209" s="58">
        <v>46121</v>
      </c>
    </row>
    <row r="210" spans="1:8" x14ac:dyDescent="0.45">
      <c r="A210" s="57">
        <v>989</v>
      </c>
      <c r="B210" s="57" t="s">
        <v>334</v>
      </c>
      <c r="C210" s="57" t="s">
        <v>73</v>
      </c>
      <c r="D210" s="57" t="s">
        <v>35</v>
      </c>
      <c r="E210" s="57" t="b">
        <v>0</v>
      </c>
      <c r="F210" s="57" t="s">
        <v>363</v>
      </c>
      <c r="G210" s="57">
        <v>3</v>
      </c>
      <c r="H210" s="58">
        <v>46121</v>
      </c>
    </row>
    <row r="211" spans="1:8" x14ac:dyDescent="0.45">
      <c r="A211" s="57">
        <v>1417</v>
      </c>
      <c r="B211" s="57" t="s">
        <v>335</v>
      </c>
      <c r="C211" s="57" t="s">
        <v>443</v>
      </c>
      <c r="D211" s="57" t="s">
        <v>35</v>
      </c>
      <c r="E211" s="57" t="b">
        <v>1</v>
      </c>
      <c r="F211" s="57" t="s">
        <v>363</v>
      </c>
      <c r="G211" s="57">
        <v>17</v>
      </c>
      <c r="H211" s="58">
        <v>46121</v>
      </c>
    </row>
    <row r="212" spans="1:8" x14ac:dyDescent="0.45">
      <c r="A212" s="57">
        <v>52</v>
      </c>
      <c r="B212" s="57" t="s">
        <v>338</v>
      </c>
      <c r="C212" s="57" t="s">
        <v>233</v>
      </c>
      <c r="D212" s="57" t="s">
        <v>35</v>
      </c>
      <c r="E212" s="57" t="b">
        <v>0</v>
      </c>
      <c r="F212" s="57" t="s">
        <v>364</v>
      </c>
      <c r="H212" s="58">
        <v>46121</v>
      </c>
    </row>
    <row r="213" spans="1:8" x14ac:dyDescent="0.45">
      <c r="A213" s="57">
        <v>62</v>
      </c>
      <c r="B213" s="57" t="s">
        <v>335</v>
      </c>
      <c r="C213" s="57" t="s">
        <v>30</v>
      </c>
      <c r="D213" s="57" t="s">
        <v>35</v>
      </c>
      <c r="E213" s="57" t="b">
        <v>0</v>
      </c>
      <c r="F213" s="57" t="s">
        <v>363</v>
      </c>
      <c r="G213" s="57">
        <v>4</v>
      </c>
      <c r="H213" s="58">
        <v>46121</v>
      </c>
    </row>
    <row r="214" spans="1:8" x14ac:dyDescent="0.45">
      <c r="A214" s="57">
        <v>930</v>
      </c>
      <c r="B214" s="57" t="s">
        <v>336</v>
      </c>
      <c r="C214" s="57" t="s">
        <v>337</v>
      </c>
      <c r="D214" s="57" t="s">
        <v>35</v>
      </c>
      <c r="E214" s="57" t="b">
        <v>1</v>
      </c>
      <c r="F214" s="57" t="s">
        <v>363</v>
      </c>
      <c r="G214" s="57">
        <v>6</v>
      </c>
      <c r="H214" s="58">
        <v>46121</v>
      </c>
    </row>
    <row r="215" spans="1:8" x14ac:dyDescent="0.45">
      <c r="A215" s="57">
        <v>1254</v>
      </c>
      <c r="B215" s="57" t="s">
        <v>504</v>
      </c>
      <c r="C215" s="57" t="s">
        <v>51</v>
      </c>
      <c r="D215" s="57" t="s">
        <v>35</v>
      </c>
      <c r="E215" s="57" t="b">
        <v>0</v>
      </c>
      <c r="F215" s="57" t="s">
        <v>363</v>
      </c>
      <c r="G215" s="57">
        <v>21</v>
      </c>
      <c r="H215" s="58">
        <v>46121</v>
      </c>
    </row>
    <row r="216" spans="1:8" x14ac:dyDescent="0.45">
      <c r="A216" s="57">
        <v>744</v>
      </c>
      <c r="B216" s="57" t="s">
        <v>339</v>
      </c>
      <c r="C216" s="57" t="s">
        <v>340</v>
      </c>
      <c r="D216" s="57" t="s">
        <v>35</v>
      </c>
      <c r="E216" s="57" t="b">
        <v>0</v>
      </c>
      <c r="F216" s="57" t="s">
        <v>363</v>
      </c>
      <c r="G216" s="57">
        <v>28</v>
      </c>
      <c r="H216" s="58">
        <v>46121</v>
      </c>
    </row>
    <row r="217" spans="1:8" x14ac:dyDescent="0.45">
      <c r="A217" s="57">
        <v>337</v>
      </c>
      <c r="B217" s="57" t="s">
        <v>341</v>
      </c>
      <c r="C217" s="57" t="s">
        <v>224</v>
      </c>
      <c r="D217" s="57" t="s">
        <v>35</v>
      </c>
      <c r="E217" s="57" t="b">
        <v>1</v>
      </c>
      <c r="F217" s="57" t="s">
        <v>363</v>
      </c>
      <c r="G217" s="57">
        <v>21</v>
      </c>
      <c r="H217" s="58">
        <v>46121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6F02A-F167-462C-806B-A0209411AD16}">
  <dimension ref="A1:H218"/>
  <sheetViews>
    <sheetView topLeftCell="A181" workbookViewId="0">
      <selection activeCell="A2" sqref="A2:H218"/>
    </sheetView>
  </sheetViews>
  <sheetFormatPr defaultRowHeight="14.25" x14ac:dyDescent="0.45"/>
  <cols>
    <col min="1" max="7" width="9.06640625" style="60"/>
    <col min="8" max="8" width="10.19921875" style="60" bestFit="1" customWidth="1"/>
    <col min="9" max="16384" width="9.06640625" style="60"/>
  </cols>
  <sheetData>
    <row r="1" spans="1:8" x14ac:dyDescent="0.45">
      <c r="A1" s="60" t="s">
        <v>143</v>
      </c>
      <c r="B1" s="60" t="s">
        <v>26</v>
      </c>
      <c r="C1" s="60" t="s">
        <v>144</v>
      </c>
      <c r="D1" s="60" t="s">
        <v>142</v>
      </c>
      <c r="E1" s="60" t="s">
        <v>141</v>
      </c>
      <c r="F1" s="60" t="s">
        <v>361</v>
      </c>
      <c r="G1" s="60" t="s">
        <v>362</v>
      </c>
      <c r="H1" s="60" t="s">
        <v>318</v>
      </c>
    </row>
    <row r="2" spans="1:8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H2" s="61">
        <v>46125</v>
      </c>
    </row>
    <row r="3" spans="1:8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</row>
    <row r="4" spans="1:8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</row>
    <row r="5" spans="1:8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</row>
    <row r="6" spans="1:8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</row>
    <row r="7" spans="1:8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H7" s="61">
        <v>46125</v>
      </c>
    </row>
    <row r="8" spans="1:8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</row>
    <row r="9" spans="1:8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H9" s="61">
        <v>46125</v>
      </c>
    </row>
    <row r="10" spans="1:8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</row>
    <row r="11" spans="1:8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</row>
    <row r="12" spans="1:8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</row>
    <row r="13" spans="1:8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</row>
    <row r="14" spans="1:8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</row>
    <row r="15" spans="1:8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</row>
    <row r="16" spans="1:8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</row>
    <row r="17" spans="1:8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</row>
    <row r="18" spans="1:8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H18" s="61">
        <v>46125</v>
      </c>
    </row>
    <row r="19" spans="1:8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H19" s="61">
        <v>46125</v>
      </c>
    </row>
    <row r="20" spans="1:8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</row>
    <row r="21" spans="1:8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</row>
    <row r="22" spans="1:8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H22" s="61">
        <v>46125</v>
      </c>
    </row>
    <row r="23" spans="1:8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H23" s="61">
        <v>46125</v>
      </c>
    </row>
    <row r="24" spans="1:8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</row>
    <row r="25" spans="1:8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</row>
    <row r="26" spans="1:8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</row>
    <row r="27" spans="1:8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</row>
    <row r="28" spans="1:8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</row>
    <row r="29" spans="1:8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</row>
    <row r="30" spans="1:8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H30" s="61">
        <v>46125</v>
      </c>
    </row>
    <row r="31" spans="1:8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</row>
    <row r="32" spans="1:8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H32" s="61">
        <v>46125</v>
      </c>
    </row>
    <row r="33" spans="1:8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</row>
    <row r="34" spans="1:8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</row>
    <row r="35" spans="1:8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H35" s="61">
        <v>46125</v>
      </c>
    </row>
    <row r="36" spans="1:8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</row>
    <row r="37" spans="1:8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</row>
    <row r="38" spans="1:8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</row>
    <row r="39" spans="1:8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</row>
    <row r="40" spans="1:8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</row>
    <row r="41" spans="1:8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</row>
    <row r="42" spans="1:8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</row>
    <row r="43" spans="1:8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</row>
    <row r="44" spans="1:8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</row>
    <row r="45" spans="1:8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H45" s="61">
        <v>46125</v>
      </c>
    </row>
    <row r="46" spans="1:8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</row>
    <row r="47" spans="1:8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</row>
    <row r="48" spans="1:8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</row>
    <row r="49" spans="1:8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H49" s="61">
        <v>46125</v>
      </c>
    </row>
    <row r="50" spans="1:8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</row>
    <row r="51" spans="1:8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H51" s="61">
        <v>46125</v>
      </c>
    </row>
    <row r="52" spans="1:8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</row>
    <row r="53" spans="1:8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H53" s="61">
        <v>46125</v>
      </c>
    </row>
    <row r="54" spans="1:8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H54" s="61">
        <v>46125</v>
      </c>
    </row>
    <row r="55" spans="1:8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</row>
    <row r="56" spans="1:8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</row>
    <row r="57" spans="1:8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H57" s="61">
        <v>46125</v>
      </c>
    </row>
    <row r="58" spans="1:8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H58" s="61">
        <v>46125</v>
      </c>
    </row>
    <row r="59" spans="1:8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</row>
    <row r="60" spans="1:8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</row>
    <row r="61" spans="1:8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H61" s="61">
        <v>46125</v>
      </c>
    </row>
    <row r="62" spans="1:8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H62" s="61">
        <v>46125</v>
      </c>
    </row>
    <row r="63" spans="1:8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</row>
    <row r="64" spans="1:8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</row>
    <row r="65" spans="1:8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H65" s="61">
        <v>46125</v>
      </c>
    </row>
    <row r="66" spans="1:8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</row>
    <row r="67" spans="1:8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</row>
    <row r="68" spans="1:8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</row>
    <row r="69" spans="1:8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</row>
    <row r="70" spans="1:8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H70" s="61">
        <v>46125</v>
      </c>
    </row>
    <row r="71" spans="1:8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H71" s="61">
        <v>46125</v>
      </c>
    </row>
    <row r="72" spans="1:8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</row>
    <row r="73" spans="1:8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</row>
    <row r="74" spans="1:8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H74" s="61">
        <v>46125</v>
      </c>
    </row>
    <row r="75" spans="1:8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H75" s="61">
        <v>46125</v>
      </c>
    </row>
    <row r="76" spans="1:8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H76" s="61">
        <v>46125</v>
      </c>
    </row>
    <row r="77" spans="1:8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H77" s="61">
        <v>46125</v>
      </c>
    </row>
    <row r="78" spans="1:8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H78" s="61">
        <v>46125</v>
      </c>
    </row>
    <row r="79" spans="1:8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</row>
    <row r="80" spans="1:8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</row>
    <row r="81" spans="1:8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H81" s="61">
        <v>46125</v>
      </c>
    </row>
    <row r="82" spans="1:8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</row>
    <row r="83" spans="1:8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H83" s="61">
        <v>46125</v>
      </c>
    </row>
    <row r="84" spans="1:8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H84" s="61">
        <v>46125</v>
      </c>
    </row>
    <row r="85" spans="1:8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H85" s="61">
        <v>46125</v>
      </c>
    </row>
    <row r="86" spans="1:8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</row>
    <row r="87" spans="1:8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</row>
    <row r="88" spans="1:8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</row>
    <row r="89" spans="1:8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</row>
    <row r="90" spans="1:8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</row>
    <row r="91" spans="1:8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</row>
    <row r="92" spans="1:8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</row>
    <row r="93" spans="1:8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</row>
    <row r="94" spans="1:8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H94" s="61">
        <v>46125</v>
      </c>
    </row>
    <row r="95" spans="1:8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</row>
    <row r="96" spans="1:8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</row>
    <row r="97" spans="1:8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</row>
    <row r="98" spans="1:8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H98" s="61">
        <v>46125</v>
      </c>
    </row>
    <row r="99" spans="1:8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H99" s="61">
        <v>46125</v>
      </c>
    </row>
    <row r="100" spans="1:8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</row>
    <row r="101" spans="1:8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H101" s="61">
        <v>46125</v>
      </c>
    </row>
    <row r="102" spans="1:8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</row>
    <row r="103" spans="1:8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H103" s="61">
        <v>46125</v>
      </c>
    </row>
    <row r="104" spans="1:8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</row>
    <row r="105" spans="1:8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</row>
    <row r="106" spans="1:8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H106" s="61">
        <v>46125</v>
      </c>
    </row>
    <row r="107" spans="1:8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</row>
    <row r="108" spans="1:8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</row>
    <row r="109" spans="1:8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</row>
    <row r="110" spans="1:8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</row>
    <row r="111" spans="1:8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</row>
    <row r="112" spans="1:8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H112" s="61">
        <v>46125</v>
      </c>
    </row>
    <row r="113" spans="1:8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</row>
    <row r="114" spans="1:8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H114" s="61">
        <v>46125</v>
      </c>
    </row>
    <row r="115" spans="1:8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</row>
    <row r="116" spans="1:8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</row>
    <row r="117" spans="1:8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H117" s="61">
        <v>46125</v>
      </c>
    </row>
    <row r="118" spans="1:8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H118" s="61">
        <v>46125</v>
      </c>
    </row>
    <row r="119" spans="1:8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</row>
    <row r="120" spans="1:8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</row>
    <row r="121" spans="1:8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</row>
    <row r="122" spans="1:8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</row>
    <row r="123" spans="1:8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</row>
    <row r="124" spans="1:8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</row>
    <row r="125" spans="1:8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H125" s="61">
        <v>46125</v>
      </c>
    </row>
    <row r="126" spans="1:8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H126" s="61">
        <v>46125</v>
      </c>
    </row>
    <row r="127" spans="1:8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H127" s="61">
        <v>46125</v>
      </c>
    </row>
    <row r="128" spans="1:8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</row>
    <row r="129" spans="1:8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</row>
    <row r="130" spans="1:8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</row>
    <row r="131" spans="1:8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</row>
    <row r="132" spans="1:8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H132" s="61">
        <v>46125</v>
      </c>
    </row>
    <row r="133" spans="1:8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H133" s="61">
        <v>46125</v>
      </c>
    </row>
    <row r="134" spans="1:8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H134" s="61">
        <v>46125</v>
      </c>
    </row>
    <row r="135" spans="1:8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H135" s="61">
        <v>46125</v>
      </c>
    </row>
    <row r="136" spans="1:8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</row>
    <row r="137" spans="1:8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</row>
    <row r="138" spans="1:8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</row>
    <row r="139" spans="1:8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</row>
    <row r="140" spans="1:8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</row>
    <row r="141" spans="1:8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</row>
    <row r="142" spans="1:8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</row>
    <row r="143" spans="1:8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H143" s="61">
        <v>46125</v>
      </c>
    </row>
    <row r="144" spans="1:8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</row>
    <row r="145" spans="1:8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</row>
    <row r="146" spans="1:8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</row>
    <row r="147" spans="1:8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</row>
    <row r="148" spans="1:8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</row>
    <row r="149" spans="1:8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H149" s="61">
        <v>46125</v>
      </c>
    </row>
    <row r="150" spans="1:8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H150" s="61">
        <v>46125</v>
      </c>
    </row>
    <row r="151" spans="1:8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H151" s="61">
        <v>46125</v>
      </c>
    </row>
    <row r="152" spans="1:8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</row>
    <row r="153" spans="1:8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</row>
    <row r="154" spans="1:8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H154" s="61">
        <v>46125</v>
      </c>
    </row>
    <row r="155" spans="1:8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H155" s="61">
        <v>46125</v>
      </c>
    </row>
    <row r="156" spans="1:8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</row>
    <row r="157" spans="1:8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</row>
    <row r="158" spans="1:8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</row>
    <row r="159" spans="1:8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</row>
    <row r="160" spans="1:8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H160" s="61">
        <v>46125</v>
      </c>
    </row>
    <row r="161" spans="1:8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H161" s="61">
        <v>46125</v>
      </c>
    </row>
    <row r="162" spans="1:8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</row>
    <row r="163" spans="1:8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</row>
    <row r="164" spans="1:8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</row>
    <row r="165" spans="1:8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</row>
    <row r="166" spans="1:8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H166" s="61">
        <v>46125</v>
      </c>
    </row>
    <row r="167" spans="1:8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</row>
    <row r="168" spans="1:8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H168" s="61">
        <v>46125</v>
      </c>
    </row>
    <row r="169" spans="1:8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</row>
    <row r="170" spans="1:8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H170" s="61">
        <v>46125</v>
      </c>
    </row>
    <row r="171" spans="1:8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</row>
    <row r="172" spans="1:8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</row>
    <row r="173" spans="1:8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</row>
    <row r="174" spans="1:8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</row>
    <row r="175" spans="1:8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</row>
    <row r="176" spans="1:8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</row>
    <row r="177" spans="1:8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</row>
    <row r="178" spans="1:8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</row>
    <row r="179" spans="1:8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</row>
    <row r="180" spans="1:8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</row>
    <row r="181" spans="1:8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H181" s="61">
        <v>46125</v>
      </c>
    </row>
    <row r="182" spans="1:8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H182" s="61">
        <v>46125</v>
      </c>
    </row>
    <row r="183" spans="1:8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</row>
    <row r="184" spans="1:8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</row>
    <row r="185" spans="1:8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</row>
    <row r="186" spans="1:8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H186" s="61">
        <v>46125</v>
      </c>
    </row>
    <row r="187" spans="1:8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H187" s="61">
        <v>46125</v>
      </c>
    </row>
    <row r="188" spans="1:8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</row>
    <row r="189" spans="1:8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</row>
    <row r="190" spans="1:8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</row>
    <row r="191" spans="1:8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</row>
    <row r="192" spans="1:8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H192" s="61">
        <v>46125</v>
      </c>
    </row>
    <row r="193" spans="1:8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H193" s="61">
        <v>46125</v>
      </c>
    </row>
    <row r="194" spans="1:8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</row>
    <row r="195" spans="1:8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</row>
    <row r="196" spans="1:8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H196" s="61">
        <v>46125</v>
      </c>
    </row>
    <row r="197" spans="1:8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H197" s="61">
        <v>46125</v>
      </c>
    </row>
    <row r="198" spans="1:8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</row>
    <row r="199" spans="1:8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</row>
    <row r="200" spans="1:8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</row>
    <row r="201" spans="1:8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H201" s="61">
        <v>46125</v>
      </c>
    </row>
    <row r="202" spans="1:8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</row>
    <row r="203" spans="1:8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H203" s="61">
        <v>46125</v>
      </c>
    </row>
    <row r="204" spans="1:8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</row>
    <row r="205" spans="1:8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</row>
    <row r="206" spans="1:8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H206" s="61">
        <v>46125</v>
      </c>
    </row>
    <row r="207" spans="1:8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H207" s="61">
        <v>46125</v>
      </c>
    </row>
    <row r="208" spans="1:8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H208" s="61">
        <v>46125</v>
      </c>
    </row>
    <row r="209" spans="1:8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H209" s="61">
        <v>46125</v>
      </c>
    </row>
    <row r="210" spans="1:8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</row>
    <row r="211" spans="1:8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</row>
    <row r="212" spans="1:8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H212" s="61">
        <v>46125</v>
      </c>
    </row>
    <row r="213" spans="1:8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</row>
    <row r="214" spans="1:8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</row>
    <row r="215" spans="1:8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</row>
    <row r="216" spans="1:8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</row>
    <row r="217" spans="1:8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</row>
    <row r="218" spans="1:8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H218" s="61">
        <v>46125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97" workbookViewId="0">
      <selection activeCell="B54" sqref="B54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1421</v>
      </c>
      <c r="B31" t="str">
        <f>IF(A31="","",CONCATENATE(VLOOKUP(A31,Competitors!$A$2:$I$650,3,FALSE)," ",VLOOKUP(A31,Competitors!$A$2:$I$650,2,FALSE)))</f>
        <v>Gill Brown</v>
      </c>
    </row>
    <row r="32" spans="1:2" x14ac:dyDescent="0.35">
      <c r="A32">
        <f>IF(ISNUMBER(Competitors!A32),Competitors!A32,"")</f>
        <v>1418</v>
      </c>
      <c r="B32" t="str">
        <f>IF(A32="","",CONCATENATE(VLOOKUP(A32,Competitors!$A$2:$I$650,3,FALSE)," ",VLOOKUP(A32,Competitors!$A$2:$I$650,2,FALSE)))</f>
        <v>James Brown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1319</v>
      </c>
      <c r="B34" t="str">
        <f>IF(A34="","",CONCATENATE(VLOOKUP(A34,Competitors!$A$2:$I$650,3,FALSE)," ",VLOOKUP(A34,Competitors!$A$2:$I$650,2,FALSE)))</f>
        <v>Steve Burgess</v>
      </c>
    </row>
    <row r="35" spans="1:2" x14ac:dyDescent="0.35">
      <c r="A35">
        <f>IF(ISNUMBER(Competitors!A35),Competitors!A35,"")</f>
        <v>1389</v>
      </c>
      <c r="B35" t="str">
        <f>IF(A35="","",CONCATENATE(VLOOKUP(A35,Competitors!$A$2:$I$650,3,FALSE)," ",VLOOKUP(A35,Competitors!$A$2:$I$650,2,FALSE)))</f>
        <v>Billy Campbell</v>
      </c>
    </row>
    <row r="36" spans="1:2" x14ac:dyDescent="0.35">
      <c r="A36">
        <f>IF(ISNUMBER(Competitors!A36),Competitors!A36,"")</f>
        <v>940</v>
      </c>
      <c r="B36" t="str">
        <f>IF(A36="","",CONCATENATE(VLOOKUP(A36,Competitors!$A$2:$I$650,3,FALSE)," ",VLOOKUP(A36,Competitors!$A$2:$I$650,2,FALSE)))</f>
        <v>Alison Chapman</v>
      </c>
    </row>
    <row r="37" spans="1:2" x14ac:dyDescent="0.35">
      <c r="A37">
        <f>IF(ISNUMBER(Competitors!A37),Competitors!A37,"")</f>
        <v>806</v>
      </c>
      <c r="B37" t="str">
        <f>IF(A37="","",CONCATENATE(VLOOKUP(A37,Competitors!$A$2:$I$650,3,FALSE)," ",VLOOKUP(A37,Competitors!$A$2:$I$650,2,FALSE)))</f>
        <v>Mark Chapman</v>
      </c>
    </row>
    <row r="38" spans="1:2" x14ac:dyDescent="0.35">
      <c r="A38">
        <f>IF(ISNUMBER(Competitors!A38),Competitors!A38,"")</f>
        <v>482</v>
      </c>
      <c r="B38" t="str">
        <f>IF(A38="","",CONCATENATE(VLOOKUP(A38,Competitors!$A$2:$I$650,3,FALSE)," ",VLOOKUP(A38,Competitors!$A$2:$I$650,2,FALSE)))</f>
        <v>Nick Clarke</v>
      </c>
    </row>
    <row r="39" spans="1:2" x14ac:dyDescent="0.35">
      <c r="A39">
        <f>IF(ISNUMBER(Competitors!A39),Competitors!A39,"")</f>
        <v>674</v>
      </c>
      <c r="B39" t="str">
        <f>IF(A39="","",CONCATENATE(VLOOKUP(A39,Competitors!$A$2:$I$650,3,FALSE)," ",VLOOKUP(A39,Competitors!$A$2:$I$650,2,FALSE)))</f>
        <v>Jennifer Clegg</v>
      </c>
    </row>
    <row r="40" spans="1:2" x14ac:dyDescent="0.35">
      <c r="A40">
        <f>IF(ISNUMBER(Competitors!A40),Competitors!A40,"")</f>
        <v>1061</v>
      </c>
      <c r="B40" t="str">
        <f>IF(A40="","",CONCATENATE(VLOOKUP(A40,Competitors!$A$2:$I$650,3,FALSE)," ",VLOOKUP(A40,Competitors!$A$2:$I$650,2,FALSE)))</f>
        <v>Daryl Collis</v>
      </c>
    </row>
    <row r="41" spans="1:2" x14ac:dyDescent="0.35">
      <c r="A41">
        <f>IF(ISNUMBER(Competitors!A41),Competitors!A41,"")</f>
        <v>763</v>
      </c>
      <c r="B41" t="str">
        <f>IF(A41="","",CONCATENATE(VLOOKUP(A41,Competitors!$A$2:$I$650,3,FALSE)," ",VLOOKUP(A41,Competitors!$A$2:$I$650,2,FALSE)))</f>
        <v>Peter Condon</v>
      </c>
    </row>
    <row r="42" spans="1:2" x14ac:dyDescent="0.35">
      <c r="A42">
        <f>IF(ISNUMBER(Competitors!A42),Competitors!A42,"")</f>
        <v>1227</v>
      </c>
      <c r="B42" t="str">
        <f>IF(A42="","",CONCATENATE(VLOOKUP(A42,Competitors!$A$2:$I$650,3,FALSE)," ",VLOOKUP(A42,Competitors!$A$2:$I$650,2,FALSE)))</f>
        <v>Yvonne Copson</v>
      </c>
    </row>
    <row r="43" spans="1:2" x14ac:dyDescent="0.35">
      <c r="A43">
        <f>IF(ISNUMBER(Competitors!A43),Competitors!A43,"")</f>
        <v>715</v>
      </c>
      <c r="B43" t="str">
        <f>IF(A43="","",CONCATENATE(VLOOKUP(A43,Competitors!$A$2:$I$650,3,FALSE)," ",VLOOKUP(A43,Competitors!$A$2:$I$650,2,FALSE)))</f>
        <v>Steven Coulam</v>
      </c>
    </row>
    <row r="44" spans="1:2" x14ac:dyDescent="0.35">
      <c r="A44">
        <f>IF(ISNUMBER(Competitors!A44),Competitors!A44,"")</f>
        <v>567</v>
      </c>
      <c r="B44" t="str">
        <f>IF(A44="","",CONCATENATE(VLOOKUP(A44,Competitors!$A$2:$I$650,3,FALSE)," ",VLOOKUP(A44,Competitors!$A$2:$I$650,2,FALSE)))</f>
        <v>Lawrence Cox</v>
      </c>
    </row>
    <row r="45" spans="1:2" x14ac:dyDescent="0.35">
      <c r="A45">
        <f>IF(ISNUMBER(Competitors!A45),Competitors!A45,"")</f>
        <v>1391</v>
      </c>
      <c r="B45" t="str">
        <f>IF(A45="","",CONCATENATE(VLOOKUP(A45,Competitors!$A$2:$I$650,3,FALSE)," ",VLOOKUP(A45,Competitors!$A$2:$I$650,2,FALSE)))</f>
        <v>Leah Cuthbertson</v>
      </c>
    </row>
    <row r="46" spans="1:2" x14ac:dyDescent="0.35">
      <c r="A46">
        <f>IF(ISNUMBER(Competitors!A46),Competitors!A46,"")</f>
        <v>704</v>
      </c>
      <c r="B46" t="str">
        <f>IF(A46="","",CONCATENATE(VLOOKUP(A46,Competitors!$A$2:$I$650,3,FALSE)," ",VLOOKUP(A46,Competitors!$A$2:$I$650,2,FALSE)))</f>
        <v>Chris Dainty</v>
      </c>
    </row>
    <row r="47" spans="1:2" x14ac:dyDescent="0.35">
      <c r="A47">
        <f>IF(ISNUMBER(Competitors!A47),Competitors!A47,"")</f>
        <v>1283</v>
      </c>
      <c r="B47" t="str">
        <f>IF(A47="","",CONCATENATE(VLOOKUP(A47,Competitors!$A$2:$I$650,3,FALSE)," ",VLOOKUP(A47,Competitors!$A$2:$I$650,2,FALSE)))</f>
        <v>Martin Dare</v>
      </c>
    </row>
    <row r="48" spans="1:2" x14ac:dyDescent="0.35">
      <c r="A48">
        <f>IF(ISNUMBER(Competitors!A48),Competitors!A48,"")</f>
        <v>295</v>
      </c>
      <c r="B48" t="str">
        <f>IF(A48="","",CONCATENATE(VLOOKUP(A48,Competitors!$A$2:$I$650,3,FALSE)," ",VLOOKUP(A48,Competitors!$A$2:$I$650,2,FALSE)))</f>
        <v>Stuart Dawkins</v>
      </c>
    </row>
    <row r="49" spans="1:2" x14ac:dyDescent="0.35">
      <c r="A49">
        <f>IF(ISNUMBER(Competitors!A49),Competitors!A49,"")</f>
        <v>1226</v>
      </c>
      <c r="B49" t="str">
        <f>IF(A49="","",CONCATENATE(VLOOKUP(A49,Competitors!$A$2:$I$650,3,FALSE)," ",VLOOKUP(A49,Competitors!$A$2:$I$650,2,FALSE)))</f>
        <v>Navpreet Dhillon</v>
      </c>
    </row>
    <row r="50" spans="1:2" x14ac:dyDescent="0.35">
      <c r="A50">
        <f>IF(ISNUMBER(Competitors!A50),Competitors!A50,"")</f>
        <v>1333</v>
      </c>
      <c r="B50" t="str">
        <f>IF(A50="","",CONCATENATE(VLOOKUP(A50,Competitors!$A$2:$I$650,3,FALSE)," ",VLOOKUP(A50,Competitors!$A$2:$I$650,2,FALSE)))</f>
        <v>Graham Dickens</v>
      </c>
    </row>
    <row r="51" spans="1:2" x14ac:dyDescent="0.35">
      <c r="A51">
        <f>IF(ISNUMBER(Competitors!A51),Competitors!A51,"")</f>
        <v>1185</v>
      </c>
      <c r="B51" t="str">
        <f>IF(A51="","",CONCATENATE(VLOOKUP(A51,Competitors!$A$2:$I$650,3,FALSE)," ",VLOOKUP(A51,Competitors!$A$2:$I$650,2,FALSE)))</f>
        <v>Isabelle Dixey</v>
      </c>
    </row>
    <row r="52" spans="1:2" x14ac:dyDescent="0.35">
      <c r="A52">
        <f>IF(ISNUMBER(Competitors!A52),Competitors!A52,"")</f>
        <v>1065</v>
      </c>
      <c r="B52" t="str">
        <f>IF(A52="","",CONCATENATE(VLOOKUP(A52,Competitors!$A$2:$I$650,3,FALSE)," ",VLOOKUP(A52,Competitors!$A$2:$I$650,2,FALSE)))</f>
        <v>Simon Dixey</v>
      </c>
    </row>
    <row r="53" spans="1:2" x14ac:dyDescent="0.35">
      <c r="A53">
        <f>IF(ISNUMBER(Competitors!A53),Competitors!A53,"")</f>
        <v>1407</v>
      </c>
      <c r="B53" t="str">
        <f>IF(A53="","",CONCATENATE(VLOOKUP(A53,Competitors!$A$2:$I$650,3,FALSE)," ",VLOOKUP(A53,Competitors!$A$2:$I$650,2,FALSE)))</f>
        <v>Colin Dobson</v>
      </c>
    </row>
    <row r="54" spans="1:2" x14ac:dyDescent="0.35">
      <c r="A54">
        <f>IF(ISNUMBER(Competitors!A54),Competitors!A54,"")</f>
        <v>1096</v>
      </c>
      <c r="B54" t="str">
        <f>IF(A54="","",CONCATENATE(VLOOKUP(A54,Competitors!$A$2:$I$650,3,FALSE)," ",VLOOKUP(A54,Competitors!$A$2:$I$650,2,FALSE)))</f>
        <v>Nathan Durnin</v>
      </c>
    </row>
    <row r="55" spans="1:2" x14ac:dyDescent="0.35">
      <c r="A55">
        <f>IF(ISNUMBER(Competitors!A55),Competitors!A55,"")</f>
        <v>1236</v>
      </c>
      <c r="B55" t="str">
        <f>IF(A55="","",CONCATENATE(VLOOKUP(A55,Competitors!$A$2:$I$650,3,FALSE)," ",VLOOKUP(A55,Competitors!$A$2:$I$650,2,FALSE)))</f>
        <v>Clare Durnin</v>
      </c>
    </row>
    <row r="56" spans="1:2" x14ac:dyDescent="0.35">
      <c r="A56">
        <f>IF(ISNUMBER(Competitors!A56),Competitors!A56,"")</f>
        <v>699</v>
      </c>
      <c r="B56" t="str">
        <f>IF(A56="","",CONCATENATE(VLOOKUP(A56,Competitors!$A$2:$I$650,3,FALSE)," ",VLOOKUP(A56,Competitors!$A$2:$I$650,2,FALSE)))</f>
        <v>Jonathan Durnin</v>
      </c>
    </row>
    <row r="57" spans="1:2" x14ac:dyDescent="0.35">
      <c r="A57">
        <f>IF(ISNUMBER(Competitors!A57),Competitors!A57,"")</f>
        <v>1000</v>
      </c>
      <c r="B57" t="str">
        <f>IF(A57="","",CONCATENATE(VLOOKUP(A57,Competitors!$A$2:$I$650,3,FALSE)," ",VLOOKUP(A57,Competitors!$A$2:$I$650,2,FALSE)))</f>
        <v>Ashley Easton</v>
      </c>
    </row>
    <row r="58" spans="1:2" x14ac:dyDescent="0.35">
      <c r="A58">
        <f>IF(ISNUMBER(Competitors!A58),Competitors!A58,"")</f>
        <v>1332</v>
      </c>
      <c r="B58" t="str">
        <f>IF(A58="","",CONCATENATE(VLOOKUP(A58,Competitors!$A$2:$I$650,3,FALSE)," ",VLOOKUP(A58,Competitors!$A$2:$I$650,2,FALSE)))</f>
        <v>Jo Eaton</v>
      </c>
    </row>
    <row r="59" spans="1:2" x14ac:dyDescent="0.35">
      <c r="A59">
        <f>IF(ISNUMBER(Competitors!A59),Competitors!A59,"")</f>
        <v>682</v>
      </c>
      <c r="B59" t="str">
        <f>IF(A59="","",CONCATENATE(VLOOKUP(A59,Competitors!$A$2:$I$650,3,FALSE)," ",VLOOKUP(A59,Competitors!$A$2:$I$650,2,FALSE)))</f>
        <v>Lee Edmonds</v>
      </c>
    </row>
    <row r="60" spans="1:2" x14ac:dyDescent="0.35">
      <c r="A60">
        <f>IF(ISNUMBER(Competitors!A60),Competitors!A60,"")</f>
        <v>1393</v>
      </c>
      <c r="B60" t="str">
        <f>IF(A60="","",CONCATENATE(VLOOKUP(A60,Competitors!$A$2:$I$650,3,FALSE)," ",VLOOKUP(A60,Competitors!$A$2:$I$650,2,FALSE)))</f>
        <v>Sally Ellis</v>
      </c>
    </row>
    <row r="61" spans="1:2" x14ac:dyDescent="0.35">
      <c r="A61">
        <f>IF(ISNUMBER(Competitors!A61),Competitors!A61,"")</f>
        <v>1355</v>
      </c>
      <c r="B61" t="str">
        <f>IF(A61="","",CONCATENATE(VLOOKUP(A61,Competitors!$A$2:$I$650,3,FALSE)," ",VLOOKUP(A61,Competitors!$A$2:$I$650,2,FALSE)))</f>
        <v>Aubrey Elmer</v>
      </c>
    </row>
    <row r="62" spans="1:2" x14ac:dyDescent="0.35">
      <c r="A62">
        <f>IF(ISNUMBER(Competitors!A62),Competitors!A62,"")</f>
        <v>1164</v>
      </c>
      <c r="B62" t="str">
        <f>IF(A62="","",CONCATENATE(VLOOKUP(A62,Competitors!$A$2:$I$650,3,FALSE)," ",VLOOKUP(A62,Competitors!$A$2:$I$650,2,FALSE)))</f>
        <v>Harriet Evans</v>
      </c>
    </row>
    <row r="63" spans="1:2" x14ac:dyDescent="0.35">
      <c r="A63">
        <f>IF(ISNUMBER(Competitors!A63),Competitors!A63,"")</f>
        <v>1062</v>
      </c>
      <c r="B63" t="str">
        <f>IF(A63="","",CONCATENATE(VLOOKUP(A63,Competitors!$A$2:$I$650,3,FALSE)," ",VLOOKUP(A63,Competitors!$A$2:$I$650,2,FALSE)))</f>
        <v>Mark Evans</v>
      </c>
    </row>
    <row r="64" spans="1:2" x14ac:dyDescent="0.35">
      <c r="A64">
        <f>IF(ISNUMBER(Competitors!A64),Competitors!A64,"")</f>
        <v>938</v>
      </c>
      <c r="B64" t="str">
        <f>IF(A64="","",CONCATENATE(VLOOKUP(A64,Competitors!$A$2:$I$650,3,FALSE)," ",VLOOKUP(A64,Competitors!$A$2:$I$650,2,FALSE)))</f>
        <v>Jane Evans</v>
      </c>
    </row>
    <row r="65" spans="1:2" x14ac:dyDescent="0.35">
      <c r="A65">
        <f>IF(ISNUMBER(Competitors!A65),Competitors!A65,"")</f>
        <v>1034</v>
      </c>
      <c r="B65" t="str">
        <f>IF(A65="","",CONCATENATE(VLOOKUP(A65,Competitors!$A$2:$I$650,3,FALSE)," ",VLOOKUP(A65,Competitors!$A$2:$I$650,2,FALSE)))</f>
        <v>Mark Fiddy</v>
      </c>
    </row>
    <row r="66" spans="1:2" x14ac:dyDescent="0.35">
      <c r="A66">
        <f>IF(ISNUMBER(Competitors!A66),Competitors!A66,"")</f>
        <v>1402</v>
      </c>
      <c r="B66" t="str">
        <f>IF(A66="","",CONCATENATE(VLOOKUP(A66,Competitors!$A$2:$I$650,3,FALSE)," ",VLOOKUP(A66,Competitors!$A$2:$I$650,2,FALSE)))</f>
        <v>Neil Fisher</v>
      </c>
    </row>
    <row r="67" spans="1:2" x14ac:dyDescent="0.35">
      <c r="A67">
        <f>IF(ISNUMBER(Competitors!A67),Competitors!A67,"")</f>
        <v>939</v>
      </c>
      <c r="B67" t="str">
        <f>IF(A67="","",CONCATENATE(VLOOKUP(A67,Competitors!$A$2:$I$650,3,FALSE)," ",VLOOKUP(A67,Competitors!$A$2:$I$650,2,FALSE)))</f>
        <v>Sally Foreman</v>
      </c>
    </row>
    <row r="68" spans="1:2" x14ac:dyDescent="0.35">
      <c r="A68">
        <f>IF(ISNUMBER(Competitors!A68),Competitors!A68,"")</f>
        <v>1377</v>
      </c>
      <c r="B68" t="str">
        <f>IF(A68="","",CONCATENATE(VLOOKUP(A68,Competitors!$A$2:$I$650,3,FALSE)," ",VLOOKUP(A68,Competitors!$A$2:$I$650,2,FALSE)))</f>
        <v>Lucy Fraser</v>
      </c>
    </row>
    <row r="69" spans="1:2" x14ac:dyDescent="0.35">
      <c r="A69">
        <f>IF(ISNUMBER(Competitors!A69),Competitors!A69,"")</f>
        <v>1281</v>
      </c>
      <c r="B69" t="str">
        <f>IF(A69="","",CONCATENATE(VLOOKUP(A69,Competitors!$A$2:$I$650,3,FALSE)," ",VLOOKUP(A69,Competitors!$A$2:$I$650,2,FALSE)))</f>
        <v>Gerald Garner</v>
      </c>
    </row>
    <row r="70" spans="1:2" x14ac:dyDescent="0.35">
      <c r="A70">
        <f>IF(ISNUMBER(Competitors!A70),Competitors!A70,"")</f>
        <v>933</v>
      </c>
      <c r="B70" t="str">
        <f>IF(A70="","",CONCATENATE(VLOOKUP(A70,Competitors!$A$2:$I$650,3,FALSE)," ",VLOOKUP(A70,Competitors!$A$2:$I$650,2,FALSE)))</f>
        <v>Ed Grandidge</v>
      </c>
    </row>
    <row r="71" spans="1:2" x14ac:dyDescent="0.35">
      <c r="A71">
        <f>IF(ISNUMBER(Competitors!A71),Competitors!A71,"")</f>
        <v>1274</v>
      </c>
      <c r="B71" t="str">
        <f>IF(A71="","",CONCATENATE(VLOOKUP(A71,Competitors!$A$2:$I$650,3,FALSE)," ",VLOOKUP(A71,Competitors!$A$2:$I$650,2,FALSE)))</f>
        <v>Sophia Gowers</v>
      </c>
    </row>
    <row r="72" spans="1:2" x14ac:dyDescent="0.35">
      <c r="A72">
        <f>IF(ISNUMBER(Competitors!A72),Competitors!A72,"")</f>
        <v>493</v>
      </c>
      <c r="B72" t="str">
        <f>IF(A72="","",CONCATENATE(VLOOKUP(A72,Competitors!$A$2:$I$650,3,FALSE)," ",VLOOKUP(A72,Competitors!$A$2:$I$650,2,FALSE)))</f>
        <v>George Halls</v>
      </c>
    </row>
    <row r="73" spans="1:2" x14ac:dyDescent="0.35">
      <c r="A73">
        <f>IF(ISNUMBER(Competitors!A73),Competitors!A73,"")</f>
        <v>1279</v>
      </c>
      <c r="B73" t="str">
        <f>IF(A73="","",CONCATENATE(VLOOKUP(A73,Competitors!$A$2:$I$650,3,FALSE)," ",VLOOKUP(A73,Competitors!$A$2:$I$650,2,FALSE)))</f>
        <v>Jeffrey Hanner</v>
      </c>
    </row>
    <row r="74" spans="1:2" x14ac:dyDescent="0.35">
      <c r="A74">
        <f>IF(ISNUMBER(Competitors!A74),Competitors!A74,"")</f>
        <v>1193</v>
      </c>
      <c r="B74" t="str">
        <f>IF(A74="","",CONCATENATE(VLOOKUP(A74,Competitors!$A$2:$I$650,3,FALSE)," ",VLOOKUP(A74,Competitors!$A$2:$I$650,2,FALSE)))</f>
        <v>Richard Hardwicke</v>
      </c>
    </row>
    <row r="75" spans="1:2" x14ac:dyDescent="0.35">
      <c r="A75">
        <f>IF(ISNUMBER(Competitors!A75),Competitors!A75,"")</f>
        <v>1194</v>
      </c>
      <c r="B75" t="str">
        <f>IF(A75="","",CONCATENATE(VLOOKUP(A75,Competitors!$A$2:$I$650,3,FALSE)," ",VLOOKUP(A75,Competitors!$A$2:$I$650,2,FALSE)))</f>
        <v>Alex Hardwicke</v>
      </c>
    </row>
    <row r="76" spans="1:2" x14ac:dyDescent="0.35">
      <c r="A76">
        <f>IF(ISNUMBER(Competitors!A76),Competitors!A76,"")</f>
        <v>1196</v>
      </c>
      <c r="B76" t="str">
        <f>IF(A76="","",CONCATENATE(VLOOKUP(A76,Competitors!$A$2:$I$650,3,FALSE)," ",VLOOKUP(A76,Competitors!$A$2:$I$650,2,FALSE)))</f>
        <v>Daniel Hardwicke</v>
      </c>
    </row>
    <row r="77" spans="1:2" x14ac:dyDescent="0.35">
      <c r="A77">
        <f>IF(ISNUMBER(Competitors!A77),Competitors!A77,"")</f>
        <v>1195</v>
      </c>
      <c r="B77" t="str">
        <f>IF(A77="","",CONCATENATE(VLOOKUP(A77,Competitors!$A$2:$I$650,3,FALSE)," ",VLOOKUP(A77,Competitors!$A$2:$I$650,2,FALSE)))</f>
        <v>Charlie Hardwicke</v>
      </c>
    </row>
    <row r="78" spans="1:2" x14ac:dyDescent="0.35">
      <c r="A78">
        <f>IF(ISNUMBER(Competitors!A78),Competitors!A78,"")</f>
        <v>1176</v>
      </c>
      <c r="B78" t="str">
        <f>IF(A78="","",CONCATENATE(VLOOKUP(A78,Competitors!$A$2:$I$650,3,FALSE)," ",VLOOKUP(A78,Competitors!$A$2:$I$650,2,FALSE)))</f>
        <v>Rory Harrison</v>
      </c>
    </row>
    <row r="79" spans="1:2" x14ac:dyDescent="0.35">
      <c r="A79">
        <f>IF(ISNUMBER(Competitors!A79),Competitors!A79,"")</f>
        <v>1174</v>
      </c>
      <c r="B79" t="str">
        <f>IF(A79="","",CONCATENATE(VLOOKUP(A79,Competitors!$A$2:$I$650,3,FALSE)," ",VLOOKUP(A79,Competitors!$A$2:$I$650,2,FALSE)))</f>
        <v>Claire Harrison</v>
      </c>
    </row>
    <row r="80" spans="1:2" x14ac:dyDescent="0.35">
      <c r="A80">
        <f>IF(ISNUMBER(Competitors!A80),Competitors!A80,"")</f>
        <v>1175</v>
      </c>
      <c r="B80" t="str">
        <f>IF(A80="","",CONCATENATE(VLOOKUP(A80,Competitors!$A$2:$I$650,3,FALSE)," ",VLOOKUP(A80,Competitors!$A$2:$I$650,2,FALSE)))</f>
        <v>Richard Harrison</v>
      </c>
    </row>
    <row r="81" spans="1:2" x14ac:dyDescent="0.35">
      <c r="A81">
        <f>IF(ISNUMBER(Competitors!A81),Competitors!A81,"")</f>
        <v>1109</v>
      </c>
      <c r="B81" t="str">
        <f>IF(A81="","",CONCATENATE(VLOOKUP(A81,Competitors!$A$2:$I$650,3,FALSE)," ",VLOOKUP(A81,Competitors!$A$2:$I$650,2,FALSE)))</f>
        <v>Stuart Haycox</v>
      </c>
    </row>
    <row r="82" spans="1:2" x14ac:dyDescent="0.35">
      <c r="A82">
        <f>IF(ISNUMBER(Competitors!A82),Competitors!A82,"")</f>
        <v>1073</v>
      </c>
      <c r="B82" t="str">
        <f>IF(A82="","",CONCATENATE(VLOOKUP(A82,Competitors!$A$2:$I$650,3,FALSE)," ",VLOOKUP(A82,Competitors!$A$2:$I$650,2,FALSE)))</f>
        <v>Richard Heald</v>
      </c>
    </row>
    <row r="83" spans="1:2" x14ac:dyDescent="0.35">
      <c r="A83">
        <f>IF(ISNUMBER(Competitors!A83),Competitors!A83,"")</f>
        <v>1400</v>
      </c>
      <c r="B83" t="str">
        <f>IF(A83="","",CONCATENATE(VLOOKUP(A83,Competitors!$A$2:$I$650,3,FALSE)," ",VLOOKUP(A83,Competitors!$A$2:$I$650,2,FALSE)))</f>
        <v>Elgar Aguilar Hernandez</v>
      </c>
    </row>
    <row r="84" spans="1:2" x14ac:dyDescent="0.35">
      <c r="A84">
        <f>IF(ISNUMBER(Competitors!A84),Competitors!A84,"")</f>
        <v>1367</v>
      </c>
      <c r="B84" t="str">
        <f>IF(A84="","",CONCATENATE(VLOOKUP(A84,Competitors!$A$2:$I$650,3,FALSE)," ",VLOOKUP(A84,Competitors!$A$2:$I$650,2,FALSE)))</f>
        <v>Daniel Henderson</v>
      </c>
    </row>
    <row r="85" spans="1:2" x14ac:dyDescent="0.35">
      <c r="A85">
        <f>IF(ISNUMBER(Competitors!A85),Competitors!A85,"")</f>
        <v>1366</v>
      </c>
      <c r="B85" t="str">
        <f>IF(A85="","",CONCATENATE(VLOOKUP(A85,Competitors!$A$2:$I$650,3,FALSE)," ",VLOOKUP(A85,Competitors!$A$2:$I$650,2,FALSE)))</f>
        <v>Hannah Henderson</v>
      </c>
    </row>
    <row r="86" spans="1:2" x14ac:dyDescent="0.35">
      <c r="A86">
        <f>IF(ISNUMBER(Competitors!A86),Competitors!A86,"")</f>
        <v>1365</v>
      </c>
      <c r="B86" t="str">
        <f>IF(A86="","",CONCATENATE(VLOOKUP(A86,Competitors!$A$2:$I$650,3,FALSE)," ",VLOOKUP(A86,Competitors!$A$2:$I$650,2,FALSE)))</f>
        <v>Helen Henderson</v>
      </c>
    </row>
    <row r="87" spans="1:2" x14ac:dyDescent="0.35">
      <c r="A87">
        <f>IF(ISNUMBER(Competitors!A87),Competitors!A87,"")</f>
        <v>897</v>
      </c>
      <c r="B87" t="str">
        <f>IF(A87="","",CONCATENATE(VLOOKUP(A87,Competitors!$A$2:$I$650,3,FALSE)," ",VLOOKUP(A87,Competitors!$A$2:$I$650,2,FALSE)))</f>
        <v>Marc Henderson</v>
      </c>
    </row>
    <row r="88" spans="1:2" x14ac:dyDescent="0.35">
      <c r="A88">
        <f>IF(ISNUMBER(Competitors!A88),Competitors!A88,"")</f>
        <v>1308</v>
      </c>
      <c r="B88" t="str">
        <f>IF(A88="","",CONCATENATE(VLOOKUP(A88,Competitors!$A$2:$I$650,3,FALSE)," ",VLOOKUP(A88,Competitors!$A$2:$I$650,2,FALSE)))</f>
        <v>Alice Herring</v>
      </c>
    </row>
    <row r="89" spans="1:2" x14ac:dyDescent="0.35">
      <c r="A89">
        <f>IF(ISNUMBER(Competitors!A89),Competitors!A89,"")</f>
        <v>1206</v>
      </c>
      <c r="B89" t="str">
        <f>IF(A89="","",CONCATENATE(VLOOKUP(A89,Competitors!$A$2:$I$650,3,FALSE)," ",VLOOKUP(A89,Competitors!$A$2:$I$650,2,FALSE)))</f>
        <v>Joy Hill</v>
      </c>
    </row>
    <row r="90" spans="1:2" x14ac:dyDescent="0.35">
      <c r="A90">
        <f>IF(ISNUMBER(Competitors!A90),Competitors!A90,"")</f>
        <v>1205</v>
      </c>
      <c r="B90" t="str">
        <f>IF(A90="","",CONCATENATE(VLOOKUP(A90,Competitors!$A$2:$I$650,3,FALSE)," ",VLOOKUP(A90,Competitors!$A$2:$I$650,2,FALSE)))</f>
        <v>Dave Hill</v>
      </c>
    </row>
    <row r="91" spans="1:2" x14ac:dyDescent="0.35">
      <c r="A91">
        <f>IF(ISNUMBER(Competitors!A91),Competitors!A91,"")</f>
        <v>1406</v>
      </c>
      <c r="B91" t="str">
        <f>IF(A91="","",CONCATENATE(VLOOKUP(A91,Competitors!$A$2:$I$650,3,FALSE)," ",VLOOKUP(A91,Competitors!$A$2:$I$650,2,FALSE)))</f>
        <v>Gavin Hinxman</v>
      </c>
    </row>
    <row r="92" spans="1:2" x14ac:dyDescent="0.35">
      <c r="A92">
        <f>IF(ISNUMBER(Competitors!A92),Competitors!A92,"")</f>
        <v>1182</v>
      </c>
      <c r="B92" t="str">
        <f>IF(A92="","",CONCATENATE(VLOOKUP(A92,Competitors!$A$2:$I$650,3,FALSE)," ",VLOOKUP(A92,Competitors!$A$2:$I$650,2,FALSE)))</f>
        <v>Neil Holman</v>
      </c>
    </row>
    <row r="93" spans="1:2" x14ac:dyDescent="0.35">
      <c r="A93">
        <f>IF(ISNUMBER(Competitors!A93),Competitors!A93,"")</f>
        <v>1340</v>
      </c>
      <c r="B93" t="str">
        <f>IF(A93="","",CONCATENATE(VLOOKUP(A93,Competitors!$A$2:$I$650,3,FALSE)," ",VLOOKUP(A93,Competitors!$A$2:$I$650,2,FALSE)))</f>
        <v>Cristian Holmes</v>
      </c>
    </row>
    <row r="94" spans="1:2" x14ac:dyDescent="0.35">
      <c r="A94">
        <f>IF(ISNUMBER(Competitors!A94),Competitors!A94,"")</f>
        <v>21</v>
      </c>
      <c r="B94" t="str">
        <f>IF(A94="","",CONCATENATE(VLOOKUP(A94,Competitors!$A$2:$I$650,3,FALSE)," ",VLOOKUP(A94,Competitors!$A$2:$I$650,2,FALSE)))</f>
        <v>Wayne Holton</v>
      </c>
    </row>
    <row r="95" spans="1:2" x14ac:dyDescent="0.35">
      <c r="A95">
        <f>IF(ISNUMBER(Competitors!A95),Competitors!A95,"")</f>
        <v>1049</v>
      </c>
      <c r="B95" t="str">
        <f>IF(A95="","",CONCATENATE(VLOOKUP(A95,Competitors!$A$2:$I$650,3,FALSE)," ",VLOOKUP(A95,Competitors!$A$2:$I$650,2,FALSE)))</f>
        <v>Duncan Hopwood</v>
      </c>
    </row>
    <row r="96" spans="1:2" x14ac:dyDescent="0.35">
      <c r="A96">
        <f>IF(ISNUMBER(Competitors!A96),Competitors!A96,"")</f>
        <v>120</v>
      </c>
      <c r="B96" t="str">
        <f>IF(A96="","",CONCATENATE(VLOOKUP(A96,Competitors!$A$2:$I$650,3,FALSE)," ",VLOOKUP(A96,Competitors!$A$2:$I$650,2,FALSE)))</f>
        <v>Linda Hubbard</v>
      </c>
    </row>
    <row r="97" spans="1:2" x14ac:dyDescent="0.35">
      <c r="A97">
        <f>IF(ISNUMBER(Competitors!A97),Competitors!A97,"")</f>
        <v>990</v>
      </c>
      <c r="B97" t="str">
        <f>IF(A97="","",CONCATENATE(VLOOKUP(A97,Competitors!$A$2:$I$650,3,FALSE)," ",VLOOKUP(A97,Competitors!$A$2:$I$650,2,FALSE)))</f>
        <v>Jennifer Hulme</v>
      </c>
    </row>
    <row r="98" spans="1:2" x14ac:dyDescent="0.35">
      <c r="A98">
        <f>IF(ISNUMBER(Competitors!A98),Competitors!A98,"")</f>
        <v>1395</v>
      </c>
      <c r="B98" t="str">
        <f>IF(A98="","",CONCATENATE(VLOOKUP(A98,Competitors!$A$2:$I$650,3,FALSE)," ",VLOOKUP(A98,Competitors!$A$2:$I$650,2,FALSE)))</f>
        <v>Freya Human</v>
      </c>
    </row>
    <row r="99" spans="1:2" x14ac:dyDescent="0.35">
      <c r="A99">
        <f>IF(ISNUMBER(Competitors!A99),Competitors!A99,"")</f>
        <v>1158</v>
      </c>
      <c r="B99" t="str">
        <f>IF(A99="","",CONCATENATE(VLOOKUP(A99,Competitors!$A$2:$I$650,3,FALSE)," ",VLOOKUP(A99,Competitors!$A$2:$I$650,2,FALSE)))</f>
        <v>Eleanor Humphries</v>
      </c>
    </row>
    <row r="100" spans="1:2" x14ac:dyDescent="0.35">
      <c r="A100">
        <f>IF(ISNUMBER(Competitors!A100),Competitors!A100,"")</f>
        <v>23</v>
      </c>
      <c r="B100" t="str">
        <f>IF(A100="","",CONCATENATE(VLOOKUP(A100,Competitors!$A$2:$I$650,3,FALSE)," ",VLOOKUP(A100,Competitors!$A$2:$I$650,2,FALSE)))</f>
        <v>Chris Hyde</v>
      </c>
    </row>
    <row r="101" spans="1:2" x14ac:dyDescent="0.35">
      <c r="A101">
        <f>IF(ISNUMBER(Competitors!A101),Competitors!A101,"")</f>
        <v>1152</v>
      </c>
      <c r="B101" t="str">
        <f>IF(A101="","",CONCATENATE(VLOOKUP(A101,Competitors!$A$2:$I$650,3,FALSE)," ",VLOOKUP(A101,Competitors!$A$2:$I$650,2,FALSE)))</f>
        <v>Ruby Isaac</v>
      </c>
    </row>
    <row r="102" spans="1:2" x14ac:dyDescent="0.35">
      <c r="A102">
        <f>IF(ISNUMBER(Competitors!A102),Competitors!A102,"")</f>
        <v>581</v>
      </c>
      <c r="B102" t="str">
        <f>IF(A102="","",CONCATENATE(VLOOKUP(A102,Competitors!$A$2:$I$650,3,FALSE)," ",VLOOKUP(A102,Competitors!$A$2:$I$650,2,FALSE)))</f>
        <v>Mike Ives</v>
      </c>
    </row>
    <row r="103" spans="1:2" x14ac:dyDescent="0.35">
      <c r="A103">
        <f>IF(ISNUMBER(Competitors!A103),Competitors!A103,"")</f>
        <v>1374</v>
      </c>
      <c r="B103" t="str">
        <f>IF(A103="","",CONCATENATE(VLOOKUP(A103,Competitors!$A$2:$I$650,3,FALSE)," ",VLOOKUP(A103,Competitors!$A$2:$I$650,2,FALSE)))</f>
        <v>Will Jackson-Bream</v>
      </c>
    </row>
    <row r="104" spans="1:2" x14ac:dyDescent="0.35">
      <c r="A104">
        <f>IF(ISNUMBER(Competitors!A104),Competitors!A104,"")</f>
        <v>25</v>
      </c>
      <c r="B104" t="str">
        <f>IF(A104="","",CONCATENATE(VLOOKUP(A104,Competitors!$A$2:$I$650,3,FALSE)," ",VLOOKUP(A104,Competitors!$A$2:$I$650,2,FALSE)))</f>
        <v>Mitchell James</v>
      </c>
    </row>
    <row r="105" spans="1:2" x14ac:dyDescent="0.35">
      <c r="A105">
        <f>IF(ISNUMBER(Competitors!A105),Competitors!A105,"")</f>
        <v>415</v>
      </c>
      <c r="B105" t="str">
        <f>IF(A105="","",CONCATENATE(VLOOKUP(A105,Competitors!$A$2:$I$650,3,FALSE)," ",VLOOKUP(A105,Competitors!$A$2:$I$650,2,FALSE)))</f>
        <v>Nik Kershaw</v>
      </c>
    </row>
    <row r="106" spans="1:2" x14ac:dyDescent="0.35">
      <c r="A106">
        <f>IF(ISNUMBER(Competitors!A106),Competitors!A106,"")</f>
        <v>1144</v>
      </c>
      <c r="B106" t="str">
        <f>IF(A106="","",CONCATENATE(VLOOKUP(A106,Competitors!$A$2:$I$650,3,FALSE)," ",VLOOKUP(A106,Competitors!$A$2:$I$650,2,FALSE)))</f>
        <v>Jamie Kershaw</v>
      </c>
    </row>
    <row r="107" spans="1:2" x14ac:dyDescent="0.35">
      <c r="A107">
        <f>IF(ISNUMBER(Competitors!A107),Competitors!A107,"")</f>
        <v>203</v>
      </c>
      <c r="B107" t="str">
        <f>IF(A107="","",CONCATENATE(VLOOKUP(A107,Competitors!$A$2:$I$650,3,FALSE)," ",VLOOKUP(A107,Competitors!$A$2:$I$650,2,FALSE)))</f>
        <v>Adrian Killworth</v>
      </c>
    </row>
    <row r="108" spans="1:2" x14ac:dyDescent="0.35">
      <c r="A108">
        <f>IF(ISNUMBER(Competitors!A108),Competitors!A108,"")</f>
        <v>956</v>
      </c>
      <c r="B108" t="str">
        <f>IF(A108="","",CONCATENATE(VLOOKUP(A108,Competitors!$A$2:$I$650,3,FALSE)," ",VLOOKUP(A108,Competitors!$A$2:$I$650,2,FALSE)))</f>
        <v>Steven King</v>
      </c>
    </row>
    <row r="109" spans="1:2" x14ac:dyDescent="0.35">
      <c r="A109">
        <f>IF(ISNUMBER(Competitors!A109),Competitors!A109,"")</f>
        <v>1273</v>
      </c>
      <c r="B109" t="str">
        <f>IF(A109="","",CONCATENATE(VLOOKUP(A109,Competitors!$A$2:$I$650,3,FALSE)," ",VLOOKUP(A109,Competitors!$A$2:$I$650,2,FALSE)))</f>
        <v>Ros Knight</v>
      </c>
    </row>
    <row r="110" spans="1:2" x14ac:dyDescent="0.35">
      <c r="A110">
        <f>IF(ISNUMBER(Competitors!A110),Competitors!A110,"")</f>
        <v>1272</v>
      </c>
      <c r="B110" t="str">
        <f>IF(A110="","",CONCATENATE(VLOOKUP(A110,Competitors!$A$2:$I$650,3,FALSE)," ",VLOOKUP(A110,Competitors!$A$2:$I$650,2,FALSE)))</f>
        <v>Tim Knight</v>
      </c>
    </row>
    <row r="111" spans="1:2" x14ac:dyDescent="0.35">
      <c r="A111">
        <f>IF(ISNUMBER(Competitors!A111),Competitors!A111,"")</f>
        <v>846</v>
      </c>
      <c r="B111" t="str">
        <f>IF(A111="","",CONCATENATE(VLOOKUP(A111,Competitors!$A$2:$I$650,3,FALSE)," ",VLOOKUP(A111,Competitors!$A$2:$I$650,2,FALSE)))</f>
        <v>Roger Kockelbergh</v>
      </c>
    </row>
    <row r="112" spans="1:2" x14ac:dyDescent="0.35">
      <c r="A112">
        <f>IF(ISNUMBER(Competitors!A112),Competitors!A112,"")</f>
        <v>1162</v>
      </c>
      <c r="B112" t="str">
        <f>IF(A112="","",CONCATENATE(VLOOKUP(A112,Competitors!$A$2:$I$650,3,FALSE)," ",VLOOKUP(A112,Competitors!$A$2:$I$650,2,FALSE)))</f>
        <v>Richard Krause</v>
      </c>
    </row>
    <row r="113" spans="1:2" x14ac:dyDescent="0.35">
      <c r="A113">
        <f>IF(ISNUMBER(Competitors!A113),Competitors!A113,"")</f>
        <v>1244</v>
      </c>
      <c r="B113" t="str">
        <f>IF(A113="","",CONCATENATE(VLOOKUP(A113,Competitors!$A$2:$I$650,3,FALSE)," ",VLOOKUP(A113,Competitors!$A$2:$I$650,2,FALSE)))</f>
        <v>Steven Latham</v>
      </c>
    </row>
    <row r="114" spans="1:2" x14ac:dyDescent="0.35">
      <c r="A114">
        <f>IF(ISNUMBER(Competitors!A114),Competitors!A114,"")</f>
        <v>1379</v>
      </c>
      <c r="B114" t="str">
        <f>IF(A114="","",CONCATENATE(VLOOKUP(A114,Competitors!$A$2:$I$650,3,FALSE)," ",VLOOKUP(A114,Competitors!$A$2:$I$650,2,FALSE)))</f>
        <v>Michaela Latham</v>
      </c>
    </row>
    <row r="115" spans="1:2" x14ac:dyDescent="0.35">
      <c r="A115">
        <f>IF(ISNUMBER(Competitors!A115),Competitors!A115,"")</f>
        <v>1362</v>
      </c>
      <c r="B115" t="str">
        <f>IF(A115="","",CONCATENATE(VLOOKUP(A115,Competitors!$A$2:$I$650,3,FALSE)," ",VLOOKUP(A115,Competitors!$A$2:$I$650,2,FALSE)))</f>
        <v>Paula Laws</v>
      </c>
    </row>
    <row r="116" spans="1:2" x14ac:dyDescent="0.35">
      <c r="A116">
        <f>IF(ISNUMBER(Competitors!A116),Competitors!A116,"")</f>
        <v>1403</v>
      </c>
      <c r="B116" t="str">
        <f>IF(A116="","",CONCATENATE(VLOOKUP(A116,Competitors!$A$2:$I$650,3,FALSE)," ",VLOOKUP(A116,Competitors!$A$2:$I$650,2,FALSE)))</f>
        <v>Toby Lenehan</v>
      </c>
    </row>
    <row r="117" spans="1:2" x14ac:dyDescent="0.35">
      <c r="A117">
        <f>IF(ISNUMBER(Competitors!A117),Competitors!A117,"")</f>
        <v>1404</v>
      </c>
      <c r="B117" t="str">
        <f>IF(A117="","",CONCATENATE(VLOOKUP(A117,Competitors!$A$2:$I$650,3,FALSE)," ",VLOOKUP(A117,Competitors!$A$2:$I$650,2,FALSE)))</f>
        <v>Millie Lenehan</v>
      </c>
    </row>
    <row r="118" spans="1:2" x14ac:dyDescent="0.35">
      <c r="A118">
        <f>IF(ISNUMBER(Competitors!A118),Competitors!A118,"")</f>
        <v>1229</v>
      </c>
      <c r="B118" t="str">
        <f>IF(A118="","",CONCATENATE(VLOOKUP(A118,Competitors!$A$2:$I$650,3,FALSE)," ",VLOOKUP(A118,Competitors!$A$2:$I$650,2,FALSE)))</f>
        <v>Kamila Leska</v>
      </c>
    </row>
    <row r="119" spans="1:2" x14ac:dyDescent="0.35">
      <c r="A119">
        <f>IF(ISNUMBER(Competitors!A119),Competitors!A119,"")</f>
        <v>1408</v>
      </c>
      <c r="B119" t="str">
        <f>IF(A119="","",CONCATENATE(VLOOKUP(A119,Competitors!$A$2:$I$650,3,FALSE)," ",VLOOKUP(A119,Competitors!$A$2:$I$650,2,FALSE)))</f>
        <v>Kim Lewington</v>
      </c>
    </row>
    <row r="120" spans="1:2" x14ac:dyDescent="0.35">
      <c r="A120">
        <f>IF(ISNUMBER(Competitors!A120),Competitors!A120,"")</f>
        <v>1409</v>
      </c>
      <c r="B120" t="str">
        <f>IF(A120="","",CONCATENATE(VLOOKUP(A120,Competitors!$A$2:$I$650,3,FALSE)," ",VLOOKUP(A120,Competitors!$A$2:$I$650,2,FALSE)))</f>
        <v>Lynette Lewington</v>
      </c>
    </row>
    <row r="121" spans="1:2" x14ac:dyDescent="0.35">
      <c r="A121">
        <f>IF(ISNUMBER(Competitors!A121),Competitors!A121,"")</f>
        <v>1198</v>
      </c>
      <c r="B121" t="str">
        <f>IF(A121="","",CONCATENATE(VLOOKUP(A121,Competitors!$A$2:$I$650,3,FALSE)," ",VLOOKUP(A121,Competitors!$A$2:$I$650,2,FALSE)))</f>
        <v>Anthony Liot</v>
      </c>
    </row>
    <row r="122" spans="1:2" x14ac:dyDescent="0.35">
      <c r="A122">
        <f>IF(ISNUMBER(Competitors!A122),Competitors!A122,"")</f>
        <v>1260</v>
      </c>
      <c r="B122" t="str">
        <f>IF(A122="","",CONCATENATE(VLOOKUP(A122,Competitors!$A$2:$I$650,3,FALSE)," ",VLOOKUP(A122,Competitors!$A$2:$I$650,2,FALSE)))</f>
        <v>Alison Lucas</v>
      </c>
    </row>
    <row r="123" spans="1:2" x14ac:dyDescent="0.35">
      <c r="A123">
        <f>IF(ISNUMBER(Competitors!A123),Competitors!A123,"")</f>
        <v>1361</v>
      </c>
      <c r="B123" t="str">
        <f>IF(A123="","",CONCATENATE(VLOOKUP(A123,Competitors!$A$2:$I$650,3,FALSE)," ",VLOOKUP(A123,Competitors!$A$2:$I$650,2,FALSE)))</f>
        <v>Bruce Main</v>
      </c>
    </row>
    <row r="124" spans="1:2" x14ac:dyDescent="0.35">
      <c r="A124">
        <f>IF(ISNUMBER(Competitors!A124),Competitors!A124,"")</f>
        <v>1100</v>
      </c>
      <c r="B124" t="str">
        <f>IF(A124="","",CONCATENATE(VLOOKUP(A124,Competitors!$A$2:$I$650,3,FALSE)," ",VLOOKUP(A124,Competitors!$A$2:$I$650,2,FALSE)))</f>
        <v>Ian Mansfield</v>
      </c>
    </row>
    <row r="125" spans="1:2" x14ac:dyDescent="0.35">
      <c r="A125">
        <f>IF(ISNUMBER(Competitors!A125),Competitors!A125,"")</f>
        <v>1385</v>
      </c>
      <c r="B125" t="str">
        <f>IF(A125="","",CONCATENATE(VLOOKUP(A125,Competitors!$A$2:$I$650,3,FALSE)," ",VLOOKUP(A125,Competitors!$A$2:$I$650,2,FALSE)))</f>
        <v>Miles Marr</v>
      </c>
    </row>
    <row r="126" spans="1:2" x14ac:dyDescent="0.35">
      <c r="A126">
        <f>IF(ISNUMBER(Competitors!A126),Competitors!A126,"")</f>
        <v>1394</v>
      </c>
      <c r="B126" t="str">
        <f>IF(A126="","",CONCATENATE(VLOOKUP(A126,Competitors!$A$2:$I$650,3,FALSE)," ",VLOOKUP(A126,Competitors!$A$2:$I$650,2,FALSE)))</f>
        <v>Noah Marr</v>
      </c>
    </row>
    <row r="127" spans="1:2" x14ac:dyDescent="0.35">
      <c r="A127">
        <f>IF(ISNUMBER(Competitors!A127),Competitors!A127,"")</f>
        <v>1419</v>
      </c>
      <c r="B127" t="str">
        <f>IF(A127="","",CONCATENATE(VLOOKUP(A127,Competitors!$A$2:$I$650,3,FALSE)," ",VLOOKUP(A127,Competitors!$A$2:$I$650,2,FALSE)))</f>
        <v>Ethan Marsh</v>
      </c>
    </row>
    <row r="128" spans="1:2" x14ac:dyDescent="0.35">
      <c r="A128">
        <f>IF(ISNUMBER(Competitors!A128),Competitors!A128,"")</f>
        <v>967</v>
      </c>
      <c r="B128" t="str">
        <f>IF(A128="","",CONCATENATE(VLOOKUP(A128,Competitors!$A$2:$I$650,3,FALSE)," ",VLOOKUP(A128,Competitors!$A$2:$I$650,2,FALSE)))</f>
        <v>Daniel McDonnell</v>
      </c>
    </row>
    <row r="129" spans="1:2" x14ac:dyDescent="0.35">
      <c r="A129">
        <f>IF(ISNUMBER(Competitors!A129),Competitors!A129,"")</f>
        <v>1373</v>
      </c>
      <c r="B129" t="str">
        <f>IF(A129="","",CONCATENATE(VLOOKUP(A129,Competitors!$A$2:$I$650,3,FALSE)," ",VLOOKUP(A129,Competitors!$A$2:$I$650,2,FALSE)))</f>
        <v>David McGraw</v>
      </c>
    </row>
    <row r="130" spans="1:2" x14ac:dyDescent="0.35">
      <c r="A130">
        <f>IF(ISNUMBER(Competitors!A130),Competitors!A130,"")</f>
        <v>1045</v>
      </c>
      <c r="B130" t="str">
        <f>IF(A130="","",CONCATENATE(VLOOKUP(A130,Competitors!$A$2:$I$650,3,FALSE)," ",VLOOKUP(A130,Competitors!$A$2:$I$650,2,FALSE)))</f>
        <v>Amanda McPherson</v>
      </c>
    </row>
    <row r="131" spans="1:2" x14ac:dyDescent="0.35">
      <c r="A131">
        <f>IF(ISNUMBER(Competitors!A131),Competitors!A131,"")</f>
        <v>1046</v>
      </c>
      <c r="B131" t="str">
        <f>IF(A131="","",CONCATENATE(VLOOKUP(A131,Competitors!$A$2:$I$650,3,FALSE)," ",VLOOKUP(A131,Competitors!$A$2:$I$650,2,FALSE)))</f>
        <v>Jim McPherson</v>
      </c>
    </row>
    <row r="132" spans="1:2" x14ac:dyDescent="0.35">
      <c r="A132">
        <f>IF(ISNUMBER(Competitors!A132),Competitors!A132,"")</f>
        <v>1396</v>
      </c>
      <c r="B132" t="str">
        <f>IF(A132="","",CONCATENATE(VLOOKUP(A132,Competitors!$A$2:$I$650,3,FALSE)," ",VLOOKUP(A132,Competitors!$A$2:$I$650,2,FALSE)))</f>
        <v>Peter Melville</v>
      </c>
    </row>
    <row r="133" spans="1:2" x14ac:dyDescent="0.35">
      <c r="A133">
        <f>IF(ISNUMBER(Competitors!A133),Competitors!A133,"")</f>
        <v>1397</v>
      </c>
      <c r="B133" t="str">
        <f>IF(A133="","",CONCATENATE(VLOOKUP(A133,Competitors!$A$2:$I$650,3,FALSE)," ",VLOOKUP(A133,Competitors!$A$2:$I$650,2,FALSE)))</f>
        <v>Rebecca Melville</v>
      </c>
    </row>
    <row r="134" spans="1:2" x14ac:dyDescent="0.35">
      <c r="A134">
        <f>IF(ISNUMBER(Competitors!A134),Competitors!A134,"")</f>
        <v>1398</v>
      </c>
      <c r="B134" t="str">
        <f>IF(A134="","",CONCATENATE(VLOOKUP(A134,Competitors!$A$2:$I$650,3,FALSE)," ",VLOOKUP(A134,Competitors!$A$2:$I$650,2,FALSE)))</f>
        <v>George Melville</v>
      </c>
    </row>
    <row r="135" spans="1:2" x14ac:dyDescent="0.35">
      <c r="A135">
        <f>IF(ISNUMBER(Competitors!A135),Competitors!A135,"")</f>
        <v>1399</v>
      </c>
      <c r="B135" t="str">
        <f>IF(A135="","",CONCATENATE(VLOOKUP(A135,Competitors!$A$2:$I$650,3,FALSE)," ",VLOOKUP(A135,Competitors!$A$2:$I$650,2,FALSE)))</f>
        <v>Harriet Melville</v>
      </c>
    </row>
    <row r="136" spans="1:2" x14ac:dyDescent="0.35">
      <c r="A136">
        <f>IF(ISNUMBER(Competitors!A136),Competitors!A136,"")</f>
        <v>771</v>
      </c>
      <c r="B136" t="str">
        <f>IF(A136="","",CONCATENATE(VLOOKUP(A136,Competitors!$A$2:$I$650,3,FALSE)," ",VLOOKUP(A136,Competitors!$A$2:$I$650,2,FALSE)))</f>
        <v>Julian Middleton</v>
      </c>
    </row>
    <row r="137" spans="1:2" x14ac:dyDescent="0.35">
      <c r="A137">
        <f>IF(ISNUMBER(Competitors!A137),Competitors!A137,"")</f>
        <v>1265</v>
      </c>
      <c r="B137" t="str">
        <f>IF(A137="","",CONCATENATE(VLOOKUP(A137,Competitors!$A$2:$I$650,3,FALSE)," ",VLOOKUP(A137,Competitors!$A$2:$I$650,2,FALSE)))</f>
        <v>Kevin Millard</v>
      </c>
    </row>
    <row r="138" spans="1:2" x14ac:dyDescent="0.35">
      <c r="A138">
        <f>IF(ISNUMBER(Competitors!A138),Competitors!A138,"")</f>
        <v>532</v>
      </c>
      <c r="B138" t="str">
        <f>IF(A138="","",CONCATENATE(VLOOKUP(A138,Competitors!$A$2:$I$650,3,FALSE)," ",VLOOKUP(A138,Competitors!$A$2:$I$650,2,FALSE)))</f>
        <v>Kevin Mills</v>
      </c>
    </row>
    <row r="139" spans="1:2" x14ac:dyDescent="0.35">
      <c r="A139">
        <f>IF(ISNUMBER(Competitors!A139),Competitors!A139,"")</f>
        <v>742</v>
      </c>
      <c r="B139" t="str">
        <f>IF(A139="","",CONCATENATE(VLOOKUP(A139,Competitors!$A$2:$I$650,3,FALSE)," ",VLOOKUP(A139,Competitors!$A$2:$I$650,2,FALSE)))</f>
        <v>Claire Moore</v>
      </c>
    </row>
    <row r="140" spans="1:2" x14ac:dyDescent="0.35">
      <c r="A140">
        <f>IF(ISNUMBER(Competitors!A140),Competitors!A140,"")</f>
        <v>741</v>
      </c>
      <c r="B140" t="str">
        <f>IF(A140="","",CONCATENATE(VLOOKUP(A140,Competitors!$A$2:$I$650,3,FALSE)," ",VLOOKUP(A140,Competitors!$A$2:$I$650,2,FALSE)))</f>
        <v>Rob Moore</v>
      </c>
    </row>
    <row r="141" spans="1:2" x14ac:dyDescent="0.35">
      <c r="A141">
        <f>IF(ISNUMBER(Competitors!A141),Competitors!A141,"")</f>
        <v>1298</v>
      </c>
      <c r="B141" t="str">
        <f>IF(A141="","",CONCATENATE(VLOOKUP(A141,Competitors!$A$2:$I$650,3,FALSE)," ",VLOOKUP(A141,Competitors!$A$2:$I$650,2,FALSE)))</f>
        <v>Jane Moore</v>
      </c>
    </row>
    <row r="142" spans="1:2" x14ac:dyDescent="0.35">
      <c r="A142">
        <f>IF(ISNUMBER(Competitors!A142),Competitors!A142,"")</f>
        <v>747</v>
      </c>
      <c r="B142" t="str">
        <f>IF(A142="","",CONCATENATE(VLOOKUP(A142,Competitors!$A$2:$I$650,3,FALSE)," ",VLOOKUP(A142,Competitors!$A$2:$I$650,2,FALSE)))</f>
        <v>James Moore</v>
      </c>
    </row>
    <row r="143" spans="1:2" x14ac:dyDescent="0.35">
      <c r="A143">
        <f>IF(ISNUMBER(Competitors!A143),Competitors!A143,"")</f>
        <v>1386</v>
      </c>
      <c r="B143" t="str">
        <f>IF(A143="","",CONCATENATE(VLOOKUP(A143,Competitors!$A$2:$I$650,3,FALSE)," ",VLOOKUP(A143,Competitors!$A$2:$I$650,2,FALSE)))</f>
        <v>Mea Moore</v>
      </c>
    </row>
    <row r="144" spans="1:2" x14ac:dyDescent="0.35">
      <c r="A144">
        <f>IF(ISNUMBER(Competitors!A144),Competitors!A144,"")</f>
        <v>564</v>
      </c>
      <c r="B144" t="str">
        <f>IF(A144="","",CONCATENATE(VLOOKUP(A144,Competitors!$A$2:$I$650,3,FALSE)," ",VLOOKUP(A144,Competitors!$A$2:$I$650,2,FALSE)))</f>
        <v>Ian Murdey</v>
      </c>
    </row>
    <row r="145" spans="1:2" x14ac:dyDescent="0.35">
      <c r="A145">
        <f>IF(ISNUMBER(Competitors!A145),Competitors!A145,"")</f>
        <v>1165</v>
      </c>
      <c r="B145" t="str">
        <f>IF(A145="","",CONCATENATE(VLOOKUP(A145,Competitors!$A$2:$I$650,3,FALSE)," ",VLOOKUP(A145,Competitors!$A$2:$I$650,2,FALSE)))</f>
        <v>Duncan Murray</v>
      </c>
    </row>
    <row r="146" spans="1:2" x14ac:dyDescent="0.35">
      <c r="A146">
        <f>IF(ISNUMBER(Competitors!A146),Competitors!A146,"")</f>
        <v>405</v>
      </c>
      <c r="B146" t="str">
        <f>IF(A146="","",CONCATENATE(VLOOKUP(A146,Competitors!$A$2:$I$650,3,FALSE)," ",VLOOKUP(A146,Competitors!$A$2:$I$650,2,FALSE)))</f>
        <v>Kevin Nicholls</v>
      </c>
    </row>
    <row r="147" spans="1:2" x14ac:dyDescent="0.35">
      <c r="A147">
        <f>IF(ISNUMBER(Competitors!A147),Competitors!A147,"")</f>
        <v>1346</v>
      </c>
      <c r="B147" t="str">
        <f>IF(A147="","",CONCATENATE(VLOOKUP(A147,Competitors!$A$2:$I$650,3,FALSE)," ",VLOOKUP(A147,Competitors!$A$2:$I$650,2,FALSE)))</f>
        <v>Stephen Nixon</v>
      </c>
    </row>
    <row r="148" spans="1:2" x14ac:dyDescent="0.35">
      <c r="A148">
        <f>IF(ISNUMBER(Competitors!A148),Competitors!A148,"")</f>
        <v>1192</v>
      </c>
      <c r="B148" t="str">
        <f>IF(A148="","",CONCATENATE(VLOOKUP(A148,Competitors!$A$2:$I$650,3,FALSE)," ",VLOOKUP(A148,Competitors!$A$2:$I$650,2,FALSE)))</f>
        <v>Dale Norris</v>
      </c>
    </row>
    <row r="149" spans="1:2" x14ac:dyDescent="0.35">
      <c r="A149">
        <f>IF(ISNUMBER(Competitors!A149),Competitors!A149,"")</f>
        <v>1157</v>
      </c>
      <c r="B149" t="str">
        <f>IF(A149="","",CONCATENATE(VLOOKUP(A149,Competitors!$A$2:$I$650,3,FALSE)," ",VLOOKUP(A149,Competitors!$A$2:$I$650,2,FALSE)))</f>
        <v>Chris Orfeur</v>
      </c>
    </row>
    <row r="150" spans="1:2" x14ac:dyDescent="0.35">
      <c r="A150">
        <f>IF(ISNUMBER(Competitors!A150),Competitors!A150,"")</f>
        <v>1359</v>
      </c>
      <c r="B150" t="str">
        <f>IF(A150="","",CONCATENATE(VLOOKUP(A150,Competitors!$A$2:$I$650,3,FALSE)," ",VLOOKUP(A150,Competitors!$A$2:$I$650,2,FALSE)))</f>
        <v>George Parker</v>
      </c>
    </row>
    <row r="151" spans="1:2" x14ac:dyDescent="0.35">
      <c r="A151">
        <f>IF(ISNUMBER(Competitors!A151),Competitors!A151,"")</f>
        <v>1360</v>
      </c>
      <c r="B151" t="str">
        <f>IF(A151="","",CONCATENATE(VLOOKUP(A151,Competitors!$A$2:$I$650,3,FALSE)," ",VLOOKUP(A151,Competitors!$A$2:$I$650,2,FALSE)))</f>
        <v>Charlotte Parker</v>
      </c>
    </row>
    <row r="152" spans="1:2" x14ac:dyDescent="0.35">
      <c r="A152">
        <f>IF(ISNUMBER(Competitors!A152),Competitors!A152,"")</f>
        <v>1357</v>
      </c>
      <c r="B152" t="str">
        <f>IF(A152="","",CONCATENATE(VLOOKUP(A152,Competitors!$A$2:$I$650,3,FALSE)," ",VLOOKUP(A152,Competitors!$A$2:$I$650,2,FALSE)))</f>
        <v>Ian Parker</v>
      </c>
    </row>
    <row r="153" spans="1:2" x14ac:dyDescent="0.35">
      <c r="A153">
        <f>IF(ISNUMBER(Competitors!A153),Competitors!A153,"")</f>
        <v>1358</v>
      </c>
      <c r="B153" t="str">
        <f>IF(A153="","",CONCATENATE(VLOOKUP(A153,Competitors!$A$2:$I$650,3,FALSE)," ",VLOOKUP(A153,Competitors!$A$2:$I$650,2,FALSE)))</f>
        <v>Mandy Parker</v>
      </c>
    </row>
    <row r="154" spans="1:2" x14ac:dyDescent="0.35">
      <c r="A154">
        <f>IF(ISNUMBER(Competitors!A154),Competitors!A154,"")</f>
        <v>1390</v>
      </c>
      <c r="B154" t="str">
        <f>IF(A154="","",CONCATENATE(VLOOKUP(A154,Competitors!$A$2:$I$650,3,FALSE)," ",VLOOKUP(A154,Competitors!$A$2:$I$650,2,FALSE)))</f>
        <v>Diego Patteri</v>
      </c>
    </row>
    <row r="155" spans="1:2" x14ac:dyDescent="0.35">
      <c r="A155">
        <f>IF(ISNUMBER(Competitors!A155),Competitors!A155,"")</f>
        <v>1107</v>
      </c>
      <c r="B155" t="str">
        <f>IF(A155="","",CONCATENATE(VLOOKUP(A155,Competitors!$A$2:$I$650,3,FALSE)," ",VLOOKUP(A155,Competitors!$A$2:$I$650,2,FALSE)))</f>
        <v>Milly Pinnock</v>
      </c>
    </row>
    <row r="156" spans="1:2" x14ac:dyDescent="0.35">
      <c r="A156">
        <f>IF(ISNUMBER(Competitors!A156),Competitors!A156,"")</f>
        <v>35</v>
      </c>
      <c r="B156" t="str">
        <f>IF(A156="","",CONCATENATE(VLOOKUP(A156,Competitors!$A$2:$I$650,3,FALSE)," ",VLOOKUP(A156,Competitors!$A$2:$I$650,2,FALSE)))</f>
        <v>Matt Plews</v>
      </c>
    </row>
    <row r="157" spans="1:2" x14ac:dyDescent="0.35">
      <c r="A157">
        <f>IF(ISNUMBER(Competitors!A157),Competitors!A157,"")</f>
        <v>1094</v>
      </c>
      <c r="B157" t="str">
        <f>IF(A157="","",CONCATENATE(VLOOKUP(A157,Competitors!$A$2:$I$650,3,FALSE)," ",VLOOKUP(A157,Competitors!$A$2:$I$650,2,FALSE)))</f>
        <v>Andy Poulton</v>
      </c>
    </row>
    <row r="158" spans="1:2" x14ac:dyDescent="0.35">
      <c r="A158">
        <f>IF(ISNUMBER(Competitors!A158),Competitors!A158,"")</f>
        <v>1325</v>
      </c>
      <c r="B158" t="str">
        <f>IF(A158="","",CONCATENATE(VLOOKUP(A158,Competitors!$A$2:$I$650,3,FALSE)," ",VLOOKUP(A158,Competitors!$A$2:$I$650,2,FALSE)))</f>
        <v>Greg Prangnell</v>
      </c>
    </row>
    <row r="159" spans="1:2" x14ac:dyDescent="0.35">
      <c r="A159">
        <f>IF(ISNUMBER(Competitors!A159),Competitors!A159,"")</f>
        <v>1143</v>
      </c>
      <c r="B159" t="str">
        <f>IF(A159="","",CONCATENATE(VLOOKUP(A159,Competitors!$A$2:$I$650,3,FALSE)," ",VLOOKUP(A159,Competitors!$A$2:$I$650,2,FALSE)))</f>
        <v>Rob Pullen</v>
      </c>
    </row>
    <row r="160" spans="1:2" x14ac:dyDescent="0.35">
      <c r="A160">
        <f>IF(ISNUMBER(Competitors!A160),Competitors!A160,"")</f>
        <v>1401</v>
      </c>
      <c r="B160" t="str">
        <f>IF(A160="","",CONCATENATE(VLOOKUP(A160,Competitors!$A$2:$I$650,3,FALSE)," ",VLOOKUP(A160,Competitors!$A$2:$I$650,2,FALSE)))</f>
        <v>Catriona Purdon</v>
      </c>
    </row>
    <row r="161" spans="1:2" x14ac:dyDescent="0.35">
      <c r="A161">
        <f>IF(ISNUMBER(Competitors!A161),Competitors!A161,"")</f>
        <v>1285</v>
      </c>
      <c r="B161" t="str">
        <f>IF(A161="","",CONCATENATE(VLOOKUP(A161,Competitors!$A$2:$I$650,3,FALSE)," ",VLOOKUP(A161,Competitors!$A$2:$I$650,2,FALSE)))</f>
        <v>Chris Ramsdale</v>
      </c>
    </row>
    <row r="162" spans="1:2" x14ac:dyDescent="0.35">
      <c r="A162">
        <f>IF(ISNUMBER(Competitors!A162),Competitors!A162,"")</f>
        <v>38</v>
      </c>
      <c r="B162" t="str">
        <f>IF(A162="","",CONCATENATE(VLOOKUP(A162,Competitors!$A$2:$I$650,3,FALSE)," ",VLOOKUP(A162,Competitors!$A$2:$I$650,2,FALSE)))</f>
        <v>Phil Rayner</v>
      </c>
    </row>
    <row r="163" spans="1:2" x14ac:dyDescent="0.35">
      <c r="A163">
        <f>IF(ISNUMBER(Competitors!A163),Competitors!A163,"")</f>
        <v>245</v>
      </c>
      <c r="B163" t="str">
        <f>IF(A163="","",CONCATENATE(VLOOKUP(A163,Competitors!$A$2:$I$650,3,FALSE)," ",VLOOKUP(A163,Competitors!$A$2:$I$650,2,FALSE)))</f>
        <v>David Reay</v>
      </c>
    </row>
    <row r="164" spans="1:2" x14ac:dyDescent="0.35">
      <c r="A164">
        <f>IF(ISNUMBER(Competitors!A164),Competitors!A164,"")</f>
        <v>39</v>
      </c>
      <c r="B164" t="str">
        <f>IF(A164="","",CONCATENATE(VLOOKUP(A164,Competitors!$A$2:$I$650,3,FALSE)," ",VLOOKUP(A164,Competitors!$A$2:$I$650,2,FALSE)))</f>
        <v>Michael Reay</v>
      </c>
    </row>
    <row r="165" spans="1:2" x14ac:dyDescent="0.35">
      <c r="A165">
        <f>IF(ISNUMBER(Competitors!A165),Competitors!A165,"")</f>
        <v>508</v>
      </c>
      <c r="B165" t="str">
        <f>IF(A165="","",CONCATENATE(VLOOKUP(A165,Competitors!$A$2:$I$650,3,FALSE)," ",VLOOKUP(A165,Competitors!$A$2:$I$650,2,FALSE)))</f>
        <v>Peter Riley</v>
      </c>
    </row>
    <row r="166" spans="1:2" x14ac:dyDescent="0.35">
      <c r="A166">
        <f>IF(ISNUMBER(Competitors!A166),Competitors!A166,"")</f>
        <v>1392</v>
      </c>
      <c r="B166" t="str">
        <f>IF(A166="","",CONCATENATE(VLOOKUP(A166,Competitors!$A$2:$I$650,3,FALSE)," ",VLOOKUP(A166,Competitors!$A$2:$I$650,2,FALSE)))</f>
        <v>Sarah Robinson</v>
      </c>
    </row>
    <row r="167" spans="1:2" x14ac:dyDescent="0.35">
      <c r="A167">
        <f>IF(ISNUMBER(Competitors!A167),Competitors!A167,"")</f>
        <v>1141</v>
      </c>
      <c r="B167" t="str">
        <f>IF(A167="","",CONCATENATE(VLOOKUP(A167,Competitors!$A$2:$I$650,3,FALSE)," ",VLOOKUP(A167,Competitors!$A$2:$I$650,2,FALSE)))</f>
        <v>Judith Rout</v>
      </c>
    </row>
    <row r="168" spans="1:2" x14ac:dyDescent="0.35">
      <c r="A168">
        <f>IF(ISNUMBER(Competitors!A168),Competitors!A168,"")</f>
        <v>891</v>
      </c>
      <c r="B168" t="str">
        <f>IF(A168="","",CONCATENATE(VLOOKUP(A168,Competitors!$A$2:$I$650,3,FALSE)," ",VLOOKUP(A168,Competitors!$A$2:$I$650,2,FALSE)))</f>
        <v>Dawn Russell</v>
      </c>
    </row>
    <row r="169" spans="1:2" x14ac:dyDescent="0.35">
      <c r="A169">
        <f>IF(ISNUMBER(Competitors!A169),Competitors!A169,"")</f>
        <v>1352</v>
      </c>
      <c r="B169" t="str">
        <f>IF(A169="","",CONCATENATE(VLOOKUP(A169,Competitors!$A$2:$I$650,3,FALSE)," ",VLOOKUP(A169,Competitors!$A$2:$I$650,2,FALSE)))</f>
        <v>Ian Scoley</v>
      </c>
    </row>
    <row r="170" spans="1:2" x14ac:dyDescent="0.35">
      <c r="A170">
        <f>IF(ISNUMBER(Competitors!A170),Competitors!A170,"")</f>
        <v>1339</v>
      </c>
      <c r="B170" t="str">
        <f>IF(A170="","",CONCATENATE(VLOOKUP(A170,Competitors!$A$2:$I$650,3,FALSE)," ",VLOOKUP(A170,Competitors!$A$2:$I$650,2,FALSE)))</f>
        <v>Jack Shewring</v>
      </c>
    </row>
    <row r="171" spans="1:2" x14ac:dyDescent="0.35">
      <c r="A171">
        <f>IF(ISNUMBER(Competitors!A171),Competitors!A171,"")</f>
        <v>914</v>
      </c>
      <c r="B171" t="str">
        <f>IF(A171="","",CONCATENATE(VLOOKUP(A171,Competitors!$A$2:$I$650,3,FALSE)," ",VLOOKUP(A171,Competitors!$A$2:$I$650,2,FALSE)))</f>
        <v>Charlie Simpson</v>
      </c>
    </row>
    <row r="172" spans="1:2" x14ac:dyDescent="0.35">
      <c r="A172">
        <f>IF(ISNUMBER(Competitors!A172),Competitors!A172,"")</f>
        <v>597</v>
      </c>
      <c r="B172" t="str">
        <f>IF(A172="","",CONCATENATE(VLOOKUP(A172,Competitors!$A$2:$I$650,3,FALSE)," ",VLOOKUP(A172,Competitors!$A$2:$I$650,2,FALSE)))</f>
        <v>Trevor Shelley</v>
      </c>
    </row>
    <row r="173" spans="1:2" x14ac:dyDescent="0.35">
      <c r="A173">
        <f>IF(ISNUMBER(Competitors!A173),Competitors!A173,"")</f>
        <v>1038</v>
      </c>
      <c r="B173" t="str">
        <f>IF(A173="","",CONCATENATE(VLOOKUP(A173,Competitors!$A$2:$I$650,3,FALSE)," ",VLOOKUP(A173,Competitors!$A$2:$I$650,2,FALSE)))</f>
        <v>Paul Simpson</v>
      </c>
    </row>
    <row r="174" spans="1:2" x14ac:dyDescent="0.35">
      <c r="A174">
        <f>IF(ISNUMBER(Competitors!A174),Competitors!A174,"")</f>
        <v>1242</v>
      </c>
      <c r="B174" t="str">
        <f>IF(A174="","",CONCATENATE(VLOOKUP(A174,Competitors!$A$2:$I$650,3,FALSE)," ",VLOOKUP(A174,Competitors!$A$2:$I$650,2,FALSE)))</f>
        <v>Mike Sirett</v>
      </c>
    </row>
    <row r="175" spans="1:2" x14ac:dyDescent="0.35">
      <c r="A175">
        <f>IF(ISNUMBER(Competitors!A175),Competitors!A175,"")</f>
        <v>1048</v>
      </c>
      <c r="B175" t="str">
        <f>IF(A175="","",CONCATENATE(VLOOKUP(A175,Competitors!$A$2:$I$650,3,FALSE)," ",VLOOKUP(A175,Competitors!$A$2:$I$650,2,FALSE)))</f>
        <v>Andy Smith</v>
      </c>
    </row>
    <row r="176" spans="1:2" x14ac:dyDescent="0.35">
      <c r="A176">
        <f>IF(ISNUMBER(Competitors!A176),Competitors!A176,"")</f>
        <v>1055</v>
      </c>
      <c r="B176" t="str">
        <f>IF(A176="","",CONCATENATE(VLOOKUP(A176,Competitors!$A$2:$I$650,3,FALSE)," ",VLOOKUP(A176,Competitors!$A$2:$I$650,2,FALSE)))</f>
        <v>Austin Smith</v>
      </c>
    </row>
    <row r="177" spans="1:2" x14ac:dyDescent="0.35">
      <c r="A177">
        <f>IF(ISNUMBER(Competitors!A177),Competitors!A177,"")</f>
        <v>1095</v>
      </c>
      <c r="B177" t="str">
        <f>IF(A177="","",CONCATENATE(VLOOKUP(A177,Competitors!$A$2:$I$650,3,FALSE)," ",VLOOKUP(A177,Competitors!$A$2:$I$650,2,FALSE)))</f>
        <v>Denis Smith</v>
      </c>
    </row>
    <row r="178" spans="1:2" x14ac:dyDescent="0.35">
      <c r="A178">
        <f>IF(ISNUMBER(Competitors!A178),Competitors!A178,"")</f>
        <v>820</v>
      </c>
      <c r="B178" t="str">
        <f>IF(A178="","",CONCATENATE(VLOOKUP(A178,Competitors!$A$2:$I$650,3,FALSE)," ",VLOOKUP(A178,Competitors!$A$2:$I$650,2,FALSE)))</f>
        <v>Lucy Smith</v>
      </c>
    </row>
    <row r="179" spans="1:2" x14ac:dyDescent="0.35">
      <c r="A179">
        <f>IF(ISNUMBER(Competitors!A179),Competitors!A179,"")</f>
        <v>687</v>
      </c>
      <c r="B179" t="str">
        <f>IF(A179="","",CONCATENATE(VLOOKUP(A179,Competitors!$A$2:$I$650,3,FALSE)," ",VLOOKUP(A179,Competitors!$A$2:$I$650,2,FALSE)))</f>
        <v>Timothy Smith</v>
      </c>
    </row>
    <row r="180" spans="1:2" x14ac:dyDescent="0.35">
      <c r="A180">
        <f>IF(ISNUMBER(Competitors!A180),Competitors!A180,"")</f>
        <v>1420</v>
      </c>
      <c r="B180" t="str">
        <f>IF(A180="","",CONCATENATE(VLOOKUP(A180,Competitors!$A$2:$I$650,3,FALSE)," ",VLOOKUP(A180,Competitors!$A$2:$I$650,2,FALSE)))</f>
        <v>Paula Stephenson</v>
      </c>
    </row>
    <row r="181" spans="1:2" x14ac:dyDescent="0.35">
      <c r="A181">
        <f>IF(ISNUMBER(Competitors!A181),Competitors!A181,"")</f>
        <v>1410</v>
      </c>
      <c r="B181" t="str">
        <f>IF(A181="","",CONCATENATE(VLOOKUP(A181,Competitors!$A$2:$I$650,3,FALSE)," ",VLOOKUP(A181,Competitors!$A$2:$I$650,2,FALSE)))</f>
        <v>Ryan Stuart</v>
      </c>
    </row>
    <row r="182" spans="1:2" x14ac:dyDescent="0.35">
      <c r="A182">
        <f>IF(ISNUMBER(Competitors!A182),Competitors!A182,"")</f>
        <v>1161</v>
      </c>
      <c r="B182" t="str">
        <f>IF(A182="","",CONCATENATE(VLOOKUP(A182,Competitors!$A$2:$I$650,3,FALSE)," ",VLOOKUP(A182,Competitors!$A$2:$I$650,2,FALSE)))</f>
        <v>Maciej Suchocki</v>
      </c>
    </row>
    <row r="183" spans="1:2" x14ac:dyDescent="0.35">
      <c r="A183">
        <f>IF(ISNUMBER(Competitors!A183),Competitors!A183,"")</f>
        <v>890</v>
      </c>
      <c r="B183" t="str">
        <f>IF(A183="","",CONCATENATE(VLOOKUP(A183,Competitors!$A$2:$I$650,3,FALSE)," ",VLOOKUP(A183,Competitors!$A$2:$I$650,2,FALSE)))</f>
        <v>Rowland Summerlin</v>
      </c>
    </row>
    <row r="184" spans="1:2" x14ac:dyDescent="0.35">
      <c r="A184">
        <f>IF(ISNUMBER(Competitors!A184),Competitors!A184,"")</f>
        <v>1166</v>
      </c>
      <c r="B184" t="str">
        <f>IF(A184="","",CONCATENATE(VLOOKUP(A184,Competitors!$A$2:$I$650,3,FALSE)," ",VLOOKUP(A184,Competitors!$A$2:$I$650,2,FALSE)))</f>
        <v>Ed Tarelli</v>
      </c>
    </row>
    <row r="185" spans="1:2" x14ac:dyDescent="0.35">
      <c r="A185">
        <f>IF(ISNUMBER(Competitors!A185),Competitors!A185,"")</f>
        <v>45</v>
      </c>
      <c r="B185" t="str">
        <f>IF(A185="","",CONCATENATE(VLOOKUP(A185,Competitors!$A$2:$I$650,3,FALSE)," ",VLOOKUP(A185,Competitors!$A$2:$I$650,2,FALSE)))</f>
        <v>Ray Taylor</v>
      </c>
    </row>
    <row r="186" spans="1:2" x14ac:dyDescent="0.35">
      <c r="A186">
        <f>IF(ISNUMBER(Competitors!A186),Competitors!A186,"")</f>
        <v>1160</v>
      </c>
      <c r="B186" t="str">
        <f>IF(A186="","",CONCATENATE(VLOOKUP(A186,Competitors!$A$2:$I$650,3,FALSE)," ",VLOOKUP(A186,Competitors!$A$2:$I$650,2,FALSE)))</f>
        <v>Rhys Thomas</v>
      </c>
    </row>
    <row r="187" spans="1:2" x14ac:dyDescent="0.35">
      <c r="A187">
        <f>IF(ISNUMBER(Competitors!A187),Competitors!A187,"")</f>
        <v>945</v>
      </c>
      <c r="B187" t="str">
        <f>IF(A187="","",CONCATENATE(VLOOKUP(A187,Competitors!$A$2:$I$650,3,FALSE)," ",VLOOKUP(A187,Competitors!$A$2:$I$650,2,FALSE)))</f>
        <v>George Timmins</v>
      </c>
    </row>
    <row r="188" spans="1:2" x14ac:dyDescent="0.35">
      <c r="A188">
        <f>IF(ISNUMBER(Competitors!A188),Competitors!A188,"")</f>
        <v>813</v>
      </c>
      <c r="B188" t="str">
        <f>IF(A188="","",CONCATENATE(VLOOKUP(A188,Competitors!$A$2:$I$650,3,FALSE)," ",VLOOKUP(A188,Competitors!$A$2:$I$650,2,FALSE)))</f>
        <v>Dawn Timmins</v>
      </c>
    </row>
    <row r="189" spans="1:2" x14ac:dyDescent="0.35">
      <c r="A189">
        <f>IF(ISNUMBER(Competitors!A189),Competitors!A189,"")</f>
        <v>812</v>
      </c>
      <c r="B189" t="str">
        <f>IF(A189="","",CONCATENATE(VLOOKUP(A189,Competitors!$A$2:$I$650,3,FALSE)," ",VLOOKUP(A189,Competitors!$A$2:$I$650,2,FALSE)))</f>
        <v>Gavin Timmins</v>
      </c>
    </row>
    <row r="190" spans="1:2" x14ac:dyDescent="0.35">
      <c r="A190">
        <f>IF(ISNUMBER(Competitors!A190),Competitors!A190,"")</f>
        <v>1129</v>
      </c>
      <c r="B190" t="str">
        <f>IF(A190="","",CONCATENATE(VLOOKUP(A190,Competitors!$A$2:$I$650,3,FALSE)," ",VLOOKUP(A190,Competitors!$A$2:$I$650,2,FALSE)))</f>
        <v>Doug Tincello</v>
      </c>
    </row>
    <row r="191" spans="1:2" x14ac:dyDescent="0.35">
      <c r="A191">
        <f>IF(ISNUMBER(Competitors!A191),Competitors!A191,"")</f>
        <v>915</v>
      </c>
      <c r="B191" t="str">
        <f>IF(A191="","",CONCATENATE(VLOOKUP(A191,Competitors!$A$2:$I$650,3,FALSE)," ",VLOOKUP(A191,Competitors!$A$2:$I$650,2,FALSE)))</f>
        <v>Julian Twynham</v>
      </c>
    </row>
    <row r="192" spans="1:2" x14ac:dyDescent="0.35">
      <c r="A192">
        <f>IF(ISNUMBER(Competitors!A192),Competitors!A192,"")</f>
        <v>860</v>
      </c>
      <c r="B192" t="str">
        <f>IF(A192="","",CONCATENATE(VLOOKUP(A192,Competitors!$A$2:$I$650,3,FALSE)," ",VLOOKUP(A192,Competitors!$A$2:$I$650,2,FALSE)))</f>
        <v>Millie van Nierop</v>
      </c>
    </row>
    <row r="193" spans="1:2" x14ac:dyDescent="0.35">
      <c r="A193">
        <f>IF(ISNUMBER(Competitors!A193),Competitors!A193,"")</f>
        <v>756</v>
      </c>
      <c r="B193" t="str">
        <f>IF(A193="","",CONCATENATE(VLOOKUP(A193,Competitors!$A$2:$I$650,3,FALSE)," ",VLOOKUP(A193,Competitors!$A$2:$I$650,2,FALSE)))</f>
        <v>Josh van Nierop</v>
      </c>
    </row>
    <row r="194" spans="1:2" x14ac:dyDescent="0.35">
      <c r="A194">
        <f>IF(ISNUMBER(Competitors!A194),Competitors!A194,"")</f>
        <v>407</v>
      </c>
      <c r="B194" t="str">
        <f>IF(A194="","",CONCATENATE(VLOOKUP(A194,Competitors!$A$2:$I$650,3,FALSE)," ",VLOOKUP(A194,Competitors!$A$2:$I$650,2,FALSE)))</f>
        <v>Hans van Nierop</v>
      </c>
    </row>
    <row r="195" spans="1:2" x14ac:dyDescent="0.35">
      <c r="A195">
        <f>IF(ISNUMBER(Competitors!A195),Competitors!A195,"")</f>
        <v>1312</v>
      </c>
      <c r="B195" t="str">
        <f>IF(A195="","",CONCATENATE(VLOOKUP(A195,Competitors!$A$2:$I$650,3,FALSE)," ",VLOOKUP(A195,Competitors!$A$2:$I$650,2,FALSE)))</f>
        <v>Judith Waddington</v>
      </c>
    </row>
    <row r="196" spans="1:2" x14ac:dyDescent="0.35">
      <c r="A196">
        <f>IF(ISNUMBER(Competitors!A196),Competitors!A196,"")</f>
        <v>935</v>
      </c>
      <c r="B196" t="str">
        <f>IF(A196="","",CONCATENATE(VLOOKUP(A196,Competitors!$A$2:$I$650,3,FALSE)," ",VLOOKUP(A196,Competitors!$A$2:$I$650,2,FALSE)))</f>
        <v>Sophie Ward</v>
      </c>
    </row>
    <row r="197" spans="1:2" x14ac:dyDescent="0.35">
      <c r="A197">
        <f>IF(ISNUMBER(Competitors!A197),Competitors!A197,"")</f>
        <v>999</v>
      </c>
      <c r="B197" t="str">
        <f>IF(A197="","",CONCATENATE(VLOOKUP(A197,Competitors!$A$2:$I$650,3,FALSE)," ",VLOOKUP(A197,Competitors!$A$2:$I$650,2,FALSE)))</f>
        <v>Abigail Ward</v>
      </c>
    </row>
    <row r="198" spans="1:2" x14ac:dyDescent="0.35">
      <c r="A198">
        <f>IF(ISNUMBER(Competitors!A198),Competitors!A198,"")</f>
        <v>998</v>
      </c>
      <c r="B198" t="str">
        <f>IF(A198="","",CONCATENATE(VLOOKUP(A198,Competitors!$A$2:$I$650,3,FALSE)," ",VLOOKUP(A198,Competitors!$A$2:$I$650,2,FALSE)))</f>
        <v>Debbie Ward</v>
      </c>
    </row>
    <row r="199" spans="1:2" x14ac:dyDescent="0.35">
      <c r="A199">
        <f>IF(ISNUMBER(Competitors!A199),Competitors!A199,"")</f>
        <v>616</v>
      </c>
      <c r="B199" t="str">
        <f>IF(A199="","",CONCATENATE(VLOOKUP(A199,Competitors!$A$2:$I$650,3,FALSE)," ",VLOOKUP(A199,Competitors!$A$2:$I$650,2,FALSE)))</f>
        <v>Simon Ward</v>
      </c>
    </row>
    <row r="200" spans="1:2" x14ac:dyDescent="0.35">
      <c r="A200">
        <f>IF(ISNUMBER(Competitors!A200),Competitors!A200,"")</f>
        <v>558</v>
      </c>
      <c r="B200" t="str">
        <f>IF(A200="","",CONCATENATE(VLOOKUP(A200,Competitors!$A$2:$I$650,3,FALSE)," ",VLOOKUP(A200,Competitors!$A$2:$I$650,2,FALSE)))</f>
        <v>Andrew Weatherby</v>
      </c>
    </row>
    <row r="201" spans="1:2" x14ac:dyDescent="0.35">
      <c r="A201">
        <f>IF(ISNUMBER(Competitors!A201),Competitors!A201,"")</f>
        <v>991</v>
      </c>
      <c r="B201" t="str">
        <f>IF(A201="","",CONCATENATE(VLOOKUP(A201,Competitors!$A$2:$I$650,3,FALSE)," ",VLOOKUP(A201,Competitors!$A$2:$I$650,2,FALSE)))</f>
        <v>Eleanor Webber</v>
      </c>
    </row>
    <row r="202" spans="1:2" x14ac:dyDescent="0.35">
      <c r="A202">
        <f>IF(ISNUMBER(Competitors!A202),Competitors!A202,"")</f>
        <v>359</v>
      </c>
      <c r="B202" t="str">
        <f>IF(A202="","",CONCATENATE(VLOOKUP(A202,Competitors!$A$2:$I$650,3,FALSE)," ",VLOOKUP(A202,Competitors!$A$2:$I$650,2,FALSE)))</f>
        <v>John Welsford</v>
      </c>
    </row>
    <row r="203" spans="1:2" x14ac:dyDescent="0.35">
      <c r="A203">
        <f>IF(ISNUMBER(Competitors!A203),Competitors!A203,"")</f>
        <v>1310</v>
      </c>
      <c r="B203" t="str">
        <f>IF(A203="","",CONCATENATE(VLOOKUP(A203,Competitors!$A$2:$I$650,3,FALSE)," ",VLOOKUP(A203,Competitors!$A$2:$I$650,2,FALSE)))</f>
        <v>Thomas Weston</v>
      </c>
    </row>
    <row r="204" spans="1:2" x14ac:dyDescent="0.35">
      <c r="A204">
        <f>IF(ISNUMBER(Competitors!A204),Competitors!A204,"")</f>
        <v>1200</v>
      </c>
      <c r="B204" t="str">
        <f>IF(A204="","",CONCATENATE(VLOOKUP(A204,Competitors!$A$2:$I$650,3,FALSE)," ",VLOOKUP(A204,Competitors!$A$2:$I$650,2,FALSE)))</f>
        <v>Jules Wilks</v>
      </c>
    </row>
    <row r="205" spans="1:2" x14ac:dyDescent="0.35">
      <c r="A205">
        <f>IF(ISNUMBER(Competitors!A205),Competitors!A205,"")</f>
        <v>1411</v>
      </c>
      <c r="B205" t="str">
        <f>IF(A205="","",CONCATENATE(VLOOKUP(A205,Competitors!$A$2:$I$650,3,FALSE)," ",VLOOKUP(A205,Competitors!$A$2:$I$650,2,FALSE)))</f>
        <v>Anne Wilks</v>
      </c>
    </row>
    <row r="206" spans="1:2" x14ac:dyDescent="0.35">
      <c r="A206">
        <f>IF(ISNUMBER(Competitors!A206),Competitors!A206,"")</f>
        <v>1412</v>
      </c>
      <c r="B206" t="str">
        <f>IF(A206="","",CONCATENATE(VLOOKUP(A206,Competitors!$A$2:$I$650,3,FALSE)," ",VLOOKUP(A206,Competitors!$A$2:$I$650,2,FALSE)))</f>
        <v>Fie Wilks</v>
      </c>
    </row>
    <row r="207" spans="1:2" x14ac:dyDescent="0.35">
      <c r="A207">
        <f>IF(ISNUMBER(Competitors!A207),Competitors!A207,"")</f>
        <v>1413</v>
      </c>
      <c r="B207" t="str">
        <f>IF(A207="","",CONCATENATE(VLOOKUP(A207,Competitors!$A$2:$I$650,3,FALSE)," ",VLOOKUP(A207,Competitors!$A$2:$I$650,2,FALSE)))</f>
        <v>Toby Wilks</v>
      </c>
    </row>
    <row r="208" spans="1:2" x14ac:dyDescent="0.35">
      <c r="A208">
        <f>IF(ISNUMBER(Competitors!A208),Competitors!A208,"")</f>
        <v>1376</v>
      </c>
      <c r="B208" t="str">
        <f>IF(A208="","",CONCATENATE(VLOOKUP(A208,Competitors!$A$2:$I$650,3,FALSE)," ",VLOOKUP(A208,Competitors!$A$2:$I$650,2,FALSE)))</f>
        <v>Sally Will</v>
      </c>
    </row>
    <row r="209" spans="1:2" x14ac:dyDescent="0.35">
      <c r="A209">
        <f>IF(ISNUMBER(Competitors!A209),Competitors!A209,"")</f>
        <v>1140</v>
      </c>
      <c r="B209" t="str">
        <f>IF(A209="","",CONCATENATE(VLOOKUP(A209,Competitors!$A$2:$I$650,3,FALSE)," ",VLOOKUP(A209,Competitors!$A$2:$I$650,2,FALSE)))</f>
        <v>Kevin Willett</v>
      </c>
    </row>
    <row r="210" spans="1:2" x14ac:dyDescent="0.35">
      <c r="A210">
        <f>IF(ISNUMBER(Competitors!A210),Competitors!A210,"")</f>
        <v>989</v>
      </c>
      <c r="B210" t="str">
        <f>IF(A210="","",CONCATENATE(VLOOKUP(A210,Competitors!$A$2:$I$650,3,FALSE)," ",VLOOKUP(A210,Competitors!$A$2:$I$650,2,FALSE)))</f>
        <v>Jason Williams</v>
      </c>
    </row>
    <row r="211" spans="1:2" x14ac:dyDescent="0.35">
      <c r="A211">
        <f>IF(ISNUMBER(Competitors!A211),Competitors!A211,"")</f>
        <v>1417</v>
      </c>
      <c r="B211" t="str">
        <f>IF(A211="","",CONCATENATE(VLOOKUP(A211,Competitors!$A$2:$I$650,3,FALSE)," ",VLOOKUP(A211,Competitors!$A$2:$I$650,2,FALSE)))</f>
        <v>Michelle Wilson</v>
      </c>
    </row>
    <row r="212" spans="1:2" x14ac:dyDescent="0.35">
      <c r="A212">
        <f>IF(ISNUMBER(Competitors!A212),Competitors!A212,"")</f>
        <v>52</v>
      </c>
      <c r="B212" t="str">
        <f>IF(A212="","",CONCATENATE(VLOOKUP(A212,Competitors!$A$2:$I$650,3,FALSE)," ",VLOOKUP(A212,Competitors!$A$2:$I$650,2,FALSE)))</f>
        <v>Will Wise</v>
      </c>
    </row>
    <row r="213" spans="1:2" x14ac:dyDescent="0.35">
      <c r="A213">
        <f>IF(ISNUMBER(Competitors!A213),Competitors!A213,"")</f>
        <v>62</v>
      </c>
      <c r="B213" t="str">
        <f>IF(A213="","",CONCATENATE(VLOOKUP(A213,Competitors!$A$2:$I$650,3,FALSE)," ",VLOOKUP(A213,Competitors!$A$2:$I$650,2,FALSE)))</f>
        <v>David Wilson</v>
      </c>
    </row>
    <row r="214" spans="1:2" x14ac:dyDescent="0.35">
      <c r="A214">
        <f>IF(ISNUMBER(Competitors!A214),Competitors!A214,"")</f>
        <v>930</v>
      </c>
      <c r="B214" t="str">
        <f>IF(A214="","",CONCATENATE(VLOOKUP(A214,Competitors!$A$2:$I$650,3,FALSE)," ",VLOOKUP(A214,Competitors!$A$2:$I$650,2,FALSE)))</f>
        <v>Catherine Wintersgill</v>
      </c>
    </row>
    <row r="215" spans="1:2" x14ac:dyDescent="0.35">
      <c r="A215">
        <f>IF(ISNUMBER(Competitors!A215),Competitors!A215,"")</f>
        <v>1254</v>
      </c>
      <c r="B215" t="str">
        <f>IF(A215="","",CONCATENATE(VLOOKUP(A215,Competitors!$A$2:$I$650,3,FALSE)," ",VLOOKUP(A215,Competitors!$A$2:$I$650,2,FALSE)))</f>
        <v>Paul White</v>
      </c>
    </row>
    <row r="216" spans="1:2" x14ac:dyDescent="0.35">
      <c r="A216">
        <f>IF(ISNUMBER(Competitors!A216),Competitors!A216,"")</f>
        <v>744</v>
      </c>
      <c r="B216" t="str">
        <f>IF(A216="","",CONCATENATE(VLOOKUP(A216,Competitors!$A$2:$I$650,3,FALSE)," ",VLOOKUP(A216,Competitors!$A$2:$I$650,2,FALSE)))</f>
        <v>Robert Woodford</v>
      </c>
    </row>
    <row r="217" spans="1:2" x14ac:dyDescent="0.35">
      <c r="A217">
        <f>IF(ISNUMBER(Competitors!A217),Competitors!A217,"")</f>
        <v>337</v>
      </c>
      <c r="B217" t="str">
        <f>IF(A217="","",CONCATENATE(VLOOKUP(A217,Competitors!$A$2:$I$650,3,FALSE)," ",VLOOKUP(A217,Competitors!$A$2:$I$650,2,FALSE)))</f>
        <v>Linda Yarnold</v>
      </c>
    </row>
    <row r="218" spans="1:2" x14ac:dyDescent="0.35">
      <c r="A218">
        <f>IF(ISNUMBER(Competitors!A218),Competitors!A218,"")</f>
        <v>1024</v>
      </c>
      <c r="B218" t="str">
        <f>IF(A218="","",CONCATENATE(VLOOKUP(A218,Competitors!$A$2:$I$650,3,FALSE)," ",VLOOKUP(A218,Competitors!$A$2:$I$650,2,FALSE)))</f>
        <v>Jax Roberts</v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G9" sqref="G9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384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383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488</v>
      </c>
      <c r="E3"/>
      <c r="F3">
        <v>19.5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355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354</v>
      </c>
      <c r="E8"/>
      <c r="F8" s="39">
        <f>5+5</f>
        <v>10</v>
      </c>
      <c r="G8" t="s">
        <v>356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368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370</v>
      </c>
      <c r="E14" t="s">
        <v>386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371</v>
      </c>
      <c r="E15" t="s">
        <v>385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372</v>
      </c>
      <c r="E16" t="s">
        <v>84</v>
      </c>
      <c r="F16">
        <v>10</v>
      </c>
      <c r="G16" t="s">
        <v>358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373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374</v>
      </c>
      <c r="E18" t="s">
        <v>387</v>
      </c>
      <c r="F18">
        <v>10</v>
      </c>
      <c r="G18" t="s">
        <v>359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373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375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374</v>
      </c>
      <c r="E21" t="s">
        <v>387</v>
      </c>
      <c r="F21">
        <v>10</v>
      </c>
      <c r="G21" t="s">
        <v>359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370</v>
      </c>
      <c r="E22" t="s">
        <v>386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376</v>
      </c>
      <c r="E23" t="s">
        <v>385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372</v>
      </c>
      <c r="E24" t="s">
        <v>84</v>
      </c>
      <c r="F24">
        <v>9.4</v>
      </c>
      <c r="G24" t="s">
        <v>358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375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357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369</v>
      </c>
      <c r="F27" s="7">
        <v>0.88</v>
      </c>
      <c r="G27" s="8" t="s">
        <v>360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367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20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topLeftCell="A18" workbookViewId="0">
      <selection activeCell="B61" sqref="B61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379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61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408</v>
      </c>
      <c r="B4" t="s">
        <v>81</v>
      </c>
      <c r="C4" s="46" t="str">
        <f t="shared" si="0"/>
        <v>Jayne Mumford (W) (Cov Tri)</v>
      </c>
      <c r="D4" t="s">
        <v>14</v>
      </c>
      <c r="H4" t="s">
        <v>405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391</v>
      </c>
      <c r="B6" t="s">
        <v>386</v>
      </c>
      <c r="C6" s="46" t="str">
        <f t="shared" si="0"/>
        <v>Andy Thomas (HCRC)</v>
      </c>
    </row>
    <row r="7" spans="1:8" ht="14.25" x14ac:dyDescent="0.45">
      <c r="A7" t="s">
        <v>392</v>
      </c>
      <c r="B7" t="s">
        <v>386</v>
      </c>
      <c r="C7" s="46" t="str">
        <f t="shared" si="0"/>
        <v>Colin Parkinson (SWRC) (HCRC)</v>
      </c>
    </row>
    <row r="8" spans="1:8" ht="14.25" x14ac:dyDescent="0.45">
      <c r="A8" t="s">
        <v>389</v>
      </c>
      <c r="B8" t="s">
        <v>386</v>
      </c>
      <c r="C8" s="46" t="str">
        <f t="shared" si="0"/>
        <v>Joe Murray (M I Racing) (HCRC)</v>
      </c>
    </row>
    <row r="9" spans="1:8" ht="14.25" x14ac:dyDescent="0.45">
      <c r="A9" t="s">
        <v>393</v>
      </c>
      <c r="B9" t="s">
        <v>386</v>
      </c>
      <c r="C9" s="46" t="str">
        <f t="shared" si="0"/>
        <v>Mick Wills (M I Racing) (HCRC)</v>
      </c>
    </row>
    <row r="10" spans="1:8" ht="14.25" x14ac:dyDescent="0.45">
      <c r="A10" t="s">
        <v>395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394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409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403</v>
      </c>
      <c r="B24" t="s">
        <v>404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387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387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387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387</v>
      </c>
      <c r="C29" s="46" t="str">
        <f t="shared" si="0"/>
        <v>Chris Spray (Ratae)</v>
      </c>
    </row>
    <row r="30" spans="1:4" ht="14.25" x14ac:dyDescent="0.45">
      <c r="A30" t="s">
        <v>406</v>
      </c>
      <c r="B30" t="s">
        <v>387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387</v>
      </c>
      <c r="C31" s="46" t="str">
        <f t="shared" si="0"/>
        <v>Ed Watson (Ratae)</v>
      </c>
    </row>
    <row r="32" spans="1:4" ht="14.25" x14ac:dyDescent="0.45">
      <c r="A32" t="s">
        <v>402</v>
      </c>
      <c r="B32" t="s">
        <v>387</v>
      </c>
      <c r="C32" s="46" t="str">
        <f t="shared" si="0"/>
        <v>Jonathon Clarke (Ratae)</v>
      </c>
      <c r="D32" s="46"/>
    </row>
    <row r="33" spans="1:4" ht="14.25" x14ac:dyDescent="0.45">
      <c r="A33" t="s">
        <v>407</v>
      </c>
      <c r="B33" t="s">
        <v>387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387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387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387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387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387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387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396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397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398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399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400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390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401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58" spans="1:4" ht="14.25" x14ac:dyDescent="0.45">
      <c r="A58" t="s">
        <v>525</v>
      </c>
      <c r="B58" t="s">
        <v>387</v>
      </c>
      <c r="C58" s="59" t="str">
        <f t="shared" si="0"/>
        <v>Lesley Allden (Ratae)</v>
      </c>
      <c r="D58" t="s">
        <v>14</v>
      </c>
    </row>
    <row r="59" spans="1:4" ht="14.25" x14ac:dyDescent="0.45">
      <c r="A59" t="s">
        <v>535</v>
      </c>
      <c r="B59" t="s">
        <v>538</v>
      </c>
      <c r="C59" s="62" t="str">
        <f t="shared" si="0"/>
        <v>Pamela Moore (Coalville Wheelers)</v>
      </c>
    </row>
    <row r="60" spans="1:4" ht="14.25" x14ac:dyDescent="0.45">
      <c r="A60" t="s">
        <v>536</v>
      </c>
      <c r="B60" t="s">
        <v>538</v>
      </c>
      <c r="C60" s="62" t="str">
        <f t="shared" si="0"/>
        <v>John Capel (Coalville Wheelers)</v>
      </c>
    </row>
    <row r="61" spans="1:4" ht="14.25" x14ac:dyDescent="0.45">
      <c r="C61" s="62" t="str">
        <f t="shared" si="0"/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B19" sqref="B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8">
        <v>43</v>
      </c>
      <c r="E2" s="18">
        <v>1</v>
      </c>
      <c r="F2" s="18" t="s">
        <v>473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457</v>
      </c>
      <c r="B3" s="41">
        <v>1194</v>
      </c>
      <c r="C3" s="17"/>
      <c r="D3" s="18">
        <v>33</v>
      </c>
      <c r="E3" s="18">
        <v>41</v>
      </c>
      <c r="F3" s="18" t="s">
        <v>473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/>
      <c r="D4" s="18">
        <v>35</v>
      </c>
      <c r="E4" s="18">
        <v>37</v>
      </c>
      <c r="F4" s="18" t="s">
        <v>473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4">
      <c r="A5" s="40" t="s">
        <v>459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4">
      <c r="A6" s="40" t="s">
        <v>460</v>
      </c>
      <c r="B6" s="41">
        <v>1355</v>
      </c>
      <c r="C6" s="17"/>
      <c r="D6" s="18">
        <v>26</v>
      </c>
      <c r="E6" s="18">
        <v>29</v>
      </c>
      <c r="F6" s="18" t="s">
        <v>473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/>
      <c r="D7" s="18">
        <v>28</v>
      </c>
      <c r="E7" s="18">
        <v>22</v>
      </c>
      <c r="F7" s="18" t="s">
        <v>473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4">
      <c r="A9" s="40" t="s">
        <v>463</v>
      </c>
      <c r="B9" s="41">
        <v>1107</v>
      </c>
      <c r="C9" s="17"/>
      <c r="D9" s="18">
        <v>29</v>
      </c>
      <c r="E9" s="18">
        <v>43</v>
      </c>
      <c r="F9" s="18" t="s">
        <v>473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8">
        <v>31</v>
      </c>
      <c r="E10" s="18">
        <v>7</v>
      </c>
      <c r="F10" s="18" t="s">
        <v>473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4">
      <c r="A11" s="40" t="s">
        <v>465</v>
      </c>
      <c r="B11" s="41">
        <v>1385</v>
      </c>
      <c r="C11" s="17"/>
      <c r="D11" s="18"/>
      <c r="E11" s="18"/>
      <c r="F11" s="18" t="s">
        <v>473</v>
      </c>
      <c r="G11" s="18" t="s">
        <v>474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/>
      <c r="D13" s="18">
        <v>31</v>
      </c>
      <c r="E13" s="18">
        <v>30</v>
      </c>
      <c r="F13" s="18" t="s">
        <v>473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4">
      <c r="A14" s="40" t="s">
        <v>468</v>
      </c>
      <c r="B14" s="41">
        <v>1162</v>
      </c>
      <c r="C14" s="17"/>
      <c r="D14" s="18"/>
      <c r="E14" s="18"/>
      <c r="F14" s="18" t="s">
        <v>473</v>
      </c>
      <c r="G14" s="18" t="s">
        <v>474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469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/>
      <c r="D16" s="18">
        <v>32</v>
      </c>
      <c r="E16" s="18">
        <v>12</v>
      </c>
      <c r="F16" s="18" t="s">
        <v>473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4">
      <c r="A17" s="40" t="s">
        <v>471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8">
        <v>28</v>
      </c>
      <c r="E18" s="18">
        <v>41</v>
      </c>
      <c r="F18" s="18" t="s">
        <v>473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4">
      <c r="A19" s="40" t="s">
        <v>477</v>
      </c>
      <c r="B19" s="41" t="s">
        <v>477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4">
      <c r="A20" s="40" t="s">
        <v>475</v>
      </c>
      <c r="B20" s="41">
        <v>245</v>
      </c>
      <c r="C20" s="17"/>
      <c r="D20" s="18">
        <v>32</v>
      </c>
      <c r="E20" s="18">
        <v>2</v>
      </c>
      <c r="F20" s="18" t="s">
        <v>473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4">
      <c r="A21" s="40" t="s">
        <v>476</v>
      </c>
      <c r="B21" s="41" t="s">
        <v>476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G24" sqref="G24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>
        <v>1</v>
      </c>
      <c r="D2" s="17">
        <v>35</v>
      </c>
      <c r="E2" s="17">
        <v>37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6.6400462962962967E-2</v>
      </c>
      <c r="J2" t="str">
        <f>IF(OR(B2="",ISNUMBER(B2)),"","X")</f>
        <v/>
      </c>
    </row>
    <row r="3" spans="1:10" ht="15" x14ac:dyDescent="0.4">
      <c r="A3" s="40" t="s">
        <v>478</v>
      </c>
      <c r="B3" s="41">
        <v>1404</v>
      </c>
      <c r="C3" s="17">
        <v>1</v>
      </c>
      <c r="D3" s="17">
        <v>16</v>
      </c>
      <c r="E3" s="17">
        <v>16</v>
      </c>
      <c r="F3" s="17"/>
      <c r="G3" s="17"/>
      <c r="H3" s="19" t="str">
        <f>IF($B3="","",IF($J3="X",B3,CONCATENATE(VLOOKUP(B3,Competitors!$A$2:$I$650,3, FALSE)," ",VLOOKUP(B3,Competitors!$A$2:$I$650,2,FALSE))))</f>
        <v>Millie Lenehan</v>
      </c>
      <c r="I3" s="20">
        <f t="shared" ref="I3:I66" si="0">IF(LEFT($F3,1)="D",UPPER($F3),(C3*3600+D3*60+E3)/86400)</f>
        <v>5.2962962962962962E-2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>
        <v>1</v>
      </c>
      <c r="D4" s="17">
        <v>19</v>
      </c>
      <c r="E4" s="17">
        <v>14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5.5023148148148147E-2</v>
      </c>
      <c r="J4" t="str">
        <f t="shared" si="1"/>
        <v/>
      </c>
    </row>
    <row r="5" spans="1:10" ht="15" x14ac:dyDescent="0.4">
      <c r="A5" s="40" t="s">
        <v>479</v>
      </c>
      <c r="B5" s="41">
        <v>1055</v>
      </c>
      <c r="C5" s="17">
        <v>0</v>
      </c>
      <c r="D5" s="17">
        <v>58</v>
      </c>
      <c r="E5" s="17">
        <v>38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Austin Smith</v>
      </c>
      <c r="I5" s="20">
        <f t="shared" si="0"/>
        <v>4.071759259259259E-2</v>
      </c>
      <c r="J5" t="str">
        <f t="shared" si="1"/>
        <v/>
      </c>
    </row>
    <row r="6" spans="1:10" ht="15" x14ac:dyDescent="0.4">
      <c r="A6" s="40" t="s">
        <v>480</v>
      </c>
      <c r="B6" s="41">
        <v>1152</v>
      </c>
      <c r="C6" s="17">
        <v>0</v>
      </c>
      <c r="D6" s="17">
        <v>57</v>
      </c>
      <c r="E6" s="17">
        <v>56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4.0231481481481479E-2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>
        <v>0</v>
      </c>
      <c r="D7" s="17">
        <v>59</v>
      </c>
      <c r="E7" s="17">
        <v>31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4.1331018518518517E-2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>
        <v>1</v>
      </c>
      <c r="D8" s="17">
        <v>1</v>
      </c>
      <c r="E8" s="17">
        <v>57</v>
      </c>
      <c r="F8" s="17"/>
      <c r="G8" s="17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4.3020833333333335E-2</v>
      </c>
      <c r="J8" t="str">
        <f t="shared" si="1"/>
        <v/>
      </c>
    </row>
    <row r="9" spans="1:10" ht="15" x14ac:dyDescent="0.4">
      <c r="A9" s="40" t="s">
        <v>481</v>
      </c>
      <c r="B9" s="41">
        <v>1112</v>
      </c>
      <c r="C9" s="17">
        <v>1</v>
      </c>
      <c r="D9" s="17">
        <v>3</v>
      </c>
      <c r="E9" s="17">
        <v>48</v>
      </c>
      <c r="F9" s="17"/>
      <c r="G9" s="17"/>
      <c r="H9" s="19" t="str">
        <f>IF($B9="","",IF($J9="X",B9,CONCATENATE(VLOOKUP(B9,Competitors!$A$2:$I$650,3, FALSE)," ",VLOOKUP(B9,Competitors!$A$2:$I$650,2,FALSE))))</f>
        <v>Gary Ashwell</v>
      </c>
      <c r="I9" s="20">
        <f t="shared" si="0"/>
        <v>4.4305555555555556E-2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>
        <v>1</v>
      </c>
      <c r="D10" s="17">
        <v>3</v>
      </c>
      <c r="E10" s="17">
        <v>12</v>
      </c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4.3888888888888887E-2</v>
      </c>
      <c r="J10" t="str">
        <f t="shared" si="1"/>
        <v/>
      </c>
    </row>
    <row r="11" spans="1:10" ht="15" x14ac:dyDescent="0.4">
      <c r="A11" s="40" t="s">
        <v>459</v>
      </c>
      <c r="B11" s="41">
        <v>35</v>
      </c>
      <c r="C11" s="17">
        <v>1</v>
      </c>
      <c r="D11" s="17">
        <v>0</v>
      </c>
      <c r="E11" s="17">
        <v>46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0"/>
        <v>4.2199074074074076E-2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>
        <v>1</v>
      </c>
      <c r="D12" s="17">
        <v>4</v>
      </c>
      <c r="E12" s="17">
        <v>56</v>
      </c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4.5092592592592594E-2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>
        <v>1</v>
      </c>
      <c r="D13" s="17">
        <v>6</v>
      </c>
      <c r="E13" s="17">
        <v>37</v>
      </c>
      <c r="F13" s="17" t="s">
        <v>473</v>
      </c>
      <c r="G13" s="17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4.6261574074074073E-2</v>
      </c>
      <c r="J13" t="str">
        <f t="shared" si="1"/>
        <v/>
      </c>
    </row>
    <row r="14" spans="1:10" ht="15" x14ac:dyDescent="0.4">
      <c r="A14" s="40" t="s">
        <v>482</v>
      </c>
      <c r="B14" s="41">
        <v>1193</v>
      </c>
      <c r="C14" s="17">
        <v>1</v>
      </c>
      <c r="D14" s="17">
        <v>9</v>
      </c>
      <c r="E14" s="17">
        <v>37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Richard Hardwicke</v>
      </c>
      <c r="I14" s="20">
        <f t="shared" si="0"/>
        <v>4.8344907407407406E-2</v>
      </c>
      <c r="J14" t="str">
        <f t="shared" si="1"/>
        <v/>
      </c>
    </row>
    <row r="15" spans="1:10" ht="15" x14ac:dyDescent="0.4">
      <c r="A15" s="40" t="s">
        <v>475</v>
      </c>
      <c r="B15" s="41">
        <v>245</v>
      </c>
      <c r="C15" s="17"/>
      <c r="D15" s="17"/>
      <c r="E15" s="17"/>
      <c r="F15" s="17"/>
      <c r="G15" s="17" t="s">
        <v>489</v>
      </c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0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>
        <v>1</v>
      </c>
      <c r="D16" s="17">
        <v>8</v>
      </c>
      <c r="E16" s="17">
        <v>10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4.7337962962962964E-2</v>
      </c>
      <c r="J16" t="str">
        <f t="shared" si="1"/>
        <v/>
      </c>
    </row>
    <row r="17" spans="1:10" ht="15" x14ac:dyDescent="0.4">
      <c r="A17" s="40" t="s">
        <v>483</v>
      </c>
      <c r="B17" s="41">
        <v>989</v>
      </c>
      <c r="C17" s="17">
        <v>0</v>
      </c>
      <c r="D17" s="17">
        <v>56</v>
      </c>
      <c r="E17" s="17">
        <v>1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Jason Williams</v>
      </c>
      <c r="I17" s="20">
        <f t="shared" si="0"/>
        <v>3.8900462962962963E-2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>
        <v>1</v>
      </c>
      <c r="D18" s="17">
        <v>0</v>
      </c>
      <c r="E18" s="17">
        <v>5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4.1724537037037039E-2</v>
      </c>
      <c r="J18" t="str">
        <f t="shared" si="1"/>
        <v/>
      </c>
    </row>
    <row r="19" spans="1:10" ht="15" x14ac:dyDescent="0.4">
      <c r="A19" s="40" t="s">
        <v>484</v>
      </c>
      <c r="B19" s="41">
        <v>1419</v>
      </c>
      <c r="C19" s="17">
        <v>1</v>
      </c>
      <c r="D19" s="17">
        <v>5</v>
      </c>
      <c r="E19" s="17">
        <v>12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Ethan Marsh</v>
      </c>
      <c r="I19" s="20">
        <f t="shared" si="0"/>
        <v>4.5277777777777778E-2</v>
      </c>
      <c r="J19" t="str">
        <f t="shared" si="1"/>
        <v/>
      </c>
    </row>
    <row r="20" spans="1:10" ht="15" x14ac:dyDescent="0.4">
      <c r="A20" s="40" t="s">
        <v>486</v>
      </c>
      <c r="B20" s="41">
        <v>564</v>
      </c>
      <c r="C20" s="17">
        <v>1</v>
      </c>
      <c r="D20" s="17">
        <v>8</v>
      </c>
      <c r="E20" s="17">
        <v>22</v>
      </c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0"/>
        <v>4.7476851851851853E-2</v>
      </c>
      <c r="J20" t="str">
        <f t="shared" si="1"/>
        <v/>
      </c>
    </row>
    <row r="21" spans="1:10" ht="15" x14ac:dyDescent="0.4">
      <c r="A21" s="40" t="s">
        <v>487</v>
      </c>
      <c r="B21" s="41" t="s">
        <v>487</v>
      </c>
      <c r="C21" s="17">
        <v>0</v>
      </c>
      <c r="D21" s="17">
        <v>48</v>
      </c>
      <c r="E21" s="17">
        <v>48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Hudson Hendry</v>
      </c>
      <c r="I21" s="20">
        <f t="shared" si="0"/>
        <v>3.3888888888888892E-2</v>
      </c>
      <c r="J21" t="str">
        <f t="shared" si="1"/>
        <v>X</v>
      </c>
    </row>
    <row r="22" spans="1:10" ht="15" x14ac:dyDescent="0.4">
      <c r="A22" s="40" t="s">
        <v>490</v>
      </c>
      <c r="B22" s="41">
        <v>699</v>
      </c>
      <c r="C22" s="17">
        <v>0</v>
      </c>
      <c r="D22" s="17">
        <v>59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Jonathan Durnin</v>
      </c>
      <c r="I22" s="20">
        <f t="shared" si="0"/>
        <v>4.1412037037037039E-2</v>
      </c>
      <c r="J22" t="str">
        <f t="shared" si="1"/>
        <v/>
      </c>
    </row>
    <row r="23" spans="1:10" ht="15" x14ac:dyDescent="0.4">
      <c r="A23" s="40" t="s">
        <v>476</v>
      </c>
      <c r="B23" s="41" t="s">
        <v>476</v>
      </c>
      <c r="C23" s="17">
        <v>0</v>
      </c>
      <c r="D23" s="17">
        <v>55</v>
      </c>
      <c r="E23" s="17">
        <v>18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Gareth Winter</v>
      </c>
      <c r="I23" s="20">
        <f t="shared" si="0"/>
        <v>3.8402777777777779E-2</v>
      </c>
      <c r="J23" t="str">
        <f t="shared" si="1"/>
        <v>X</v>
      </c>
    </row>
    <row r="24" spans="1:10" ht="15" x14ac:dyDescent="0.4">
      <c r="A24" s="40"/>
      <c r="B24" s="41" t="str">
        <f t="shared" ref="B24:B33" si="2"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B32" sqref="B32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7">
        <v>39</v>
      </c>
      <c r="E2" s="17">
        <v>2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2.7106481481481481E-2</v>
      </c>
      <c r="J2" t="str">
        <f>IF(OR(B2="",ISNUMBER(B2)),"","X")</f>
        <v/>
      </c>
    </row>
    <row r="3" spans="1:10" ht="15" x14ac:dyDescent="0.4">
      <c r="A3" s="40" t="s">
        <v>491</v>
      </c>
      <c r="B3" s="41">
        <v>45</v>
      </c>
      <c r="C3" s="17"/>
      <c r="D3" s="17">
        <v>35</v>
      </c>
      <c r="E3" s="17">
        <v>4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2.435185185185185E-2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1" t="s">
        <v>511</v>
      </c>
      <c r="C4" s="17"/>
      <c r="D4" s="17">
        <v>26</v>
      </c>
      <c r="E4" s="17">
        <v>25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1.8344907407407407E-2</v>
      </c>
      <c r="J4" t="str">
        <f t="shared" si="1"/>
        <v>X</v>
      </c>
    </row>
    <row r="5" spans="1:10" ht="15" x14ac:dyDescent="0.4">
      <c r="A5" s="40" t="s">
        <v>116</v>
      </c>
      <c r="B5" s="41" t="s">
        <v>512</v>
      </c>
      <c r="C5" s="17"/>
      <c r="D5" s="17">
        <v>30</v>
      </c>
      <c r="E5" s="17">
        <v>25</v>
      </c>
      <c r="F5" s="17"/>
      <c r="G5" s="17"/>
      <c r="H5" s="19" t="str">
        <f>IF($B5="","",IF($J5="X",B5,CONCATENATE(VLOOKUP(B5,Competitors!$A$2:$I$650,3, FALSE)," ",VLOOKUP(B5,Competitors!$A$2:$I$650,2,FALSE))))</f>
        <v>Lynne Scofield (RFW)</v>
      </c>
      <c r="I5" s="20">
        <f t="shared" si="0"/>
        <v>2.1122685185185185E-2</v>
      </c>
      <c r="J5" t="str">
        <f t="shared" si="1"/>
        <v>X</v>
      </c>
    </row>
    <row r="6" spans="1:10" ht="15" x14ac:dyDescent="0.4">
      <c r="A6" s="40" t="s">
        <v>480</v>
      </c>
      <c r="B6" s="41">
        <v>1152</v>
      </c>
      <c r="C6" s="17"/>
      <c r="D6" s="17"/>
      <c r="E6" s="17"/>
      <c r="F6" s="17"/>
      <c r="G6" s="17" t="s">
        <v>489</v>
      </c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0</v>
      </c>
      <c r="J6" t="str">
        <f t="shared" si="1"/>
        <v/>
      </c>
    </row>
    <row r="7" spans="1:10" ht="15" x14ac:dyDescent="0.4">
      <c r="A7" s="40" t="s">
        <v>463</v>
      </c>
      <c r="B7" s="41">
        <v>1107</v>
      </c>
      <c r="C7" s="17"/>
      <c r="D7" s="17">
        <v>26</v>
      </c>
      <c r="E7" s="17">
        <v>20</v>
      </c>
      <c r="F7" s="17"/>
      <c r="G7" s="17"/>
      <c r="H7" s="19" t="str">
        <f>IF($B7="","",IF($J7="X",B7,CONCATENATE(VLOOKUP(B7,Competitors!$A$2:$I$650,3, FALSE)," ",VLOOKUP(B7,Competitors!$A$2:$I$650,2,FALSE))))</f>
        <v>Milly Pinnock</v>
      </c>
      <c r="I7" s="20">
        <f t="shared" si="0"/>
        <v>1.8287037037037036E-2</v>
      </c>
      <c r="J7" t="str">
        <f t="shared" si="1"/>
        <v/>
      </c>
    </row>
    <row r="8" spans="1:10" ht="15" x14ac:dyDescent="0.4">
      <c r="A8" s="40" t="s">
        <v>492</v>
      </c>
      <c r="B8" s="41" t="s">
        <v>492</v>
      </c>
      <c r="C8" s="17"/>
      <c r="D8" s="17">
        <v>23</v>
      </c>
      <c r="E8" s="17">
        <v>0</v>
      </c>
      <c r="F8" s="17" t="s">
        <v>473</v>
      </c>
      <c r="G8" s="17"/>
      <c r="H8" s="19" t="str">
        <f>IF($B8="","",IF($J8="X",B8,CONCATENATE(VLOOKUP(B8,Competitors!$A$2:$I$650,3, FALSE)," ",VLOOKUP(B8,Competitors!$A$2:$I$650,2,FALSE))))</f>
        <v>Jonathan Robinson</v>
      </c>
      <c r="I8" s="20">
        <f t="shared" si="0"/>
        <v>1.5972222222222221E-2</v>
      </c>
      <c r="J8" t="str">
        <f t="shared" si="1"/>
        <v>X</v>
      </c>
    </row>
    <row r="9" spans="1:10" ht="15" x14ac:dyDescent="0.4">
      <c r="A9" s="40" t="s">
        <v>469</v>
      </c>
      <c r="B9" s="41">
        <v>674</v>
      </c>
      <c r="C9" s="17"/>
      <c r="D9" s="17">
        <v>28</v>
      </c>
      <c r="E9" s="17">
        <v>1</v>
      </c>
      <c r="F9" s="17"/>
      <c r="G9" s="17"/>
      <c r="H9" s="19" t="str">
        <f>IF($B9="","",IF($J9="X",B9,CONCATENATE(VLOOKUP(B9,Competitors!$A$2:$I$650,3, FALSE)," ",VLOOKUP(B9,Competitors!$A$2:$I$650,2,FALSE))))</f>
        <v>Jennifer Clegg</v>
      </c>
      <c r="I9" s="20">
        <f t="shared" si="0"/>
        <v>1.9456018518518518E-2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7"/>
      <c r="E10" s="17"/>
      <c r="F10" s="17"/>
      <c r="G10" s="17" t="s">
        <v>509</v>
      </c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0</v>
      </c>
      <c r="J10" t="str">
        <f t="shared" si="1"/>
        <v/>
      </c>
    </row>
    <row r="11" spans="1:10" ht="15" x14ac:dyDescent="0.4">
      <c r="A11" s="40" t="s">
        <v>493</v>
      </c>
      <c r="B11" s="41">
        <v>1254</v>
      </c>
      <c r="C11" s="17"/>
      <c r="D11" s="17">
        <v>27</v>
      </c>
      <c r="E11" s="17">
        <v>25</v>
      </c>
      <c r="F11" s="17"/>
      <c r="G11" s="17"/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1.9039351851851852E-2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7"/>
      <c r="E12" s="17"/>
      <c r="F12" s="17"/>
      <c r="G12" s="17" t="s">
        <v>509</v>
      </c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0</v>
      </c>
      <c r="J12" t="str">
        <f t="shared" si="1"/>
        <v/>
      </c>
    </row>
    <row r="13" spans="1:10" ht="15" x14ac:dyDescent="0.4">
      <c r="A13" s="40" t="s">
        <v>118</v>
      </c>
      <c r="B13" s="41" t="s">
        <v>513</v>
      </c>
      <c r="C13" s="17"/>
      <c r="D13" s="17">
        <v>25</v>
      </c>
      <c r="E13" s="17">
        <v>10</v>
      </c>
      <c r="F13" s="17"/>
      <c r="G13" s="17"/>
      <c r="H13" s="19" t="str">
        <f>IF($B13="","",IF($J13="X",B13,CONCATENATE(VLOOKUP(B13,Competitors!$A$2:$I$650,3, FALSE)," ",VLOOKUP(B13,Competitors!$A$2:$I$650,2,FALSE))))</f>
        <v>Phil Wilkinson (RFW)</v>
      </c>
      <c r="I13" s="20">
        <f t="shared" si="0"/>
        <v>1.7476851851851851E-2</v>
      </c>
      <c r="J13" t="str">
        <f t="shared" si="1"/>
        <v>X</v>
      </c>
    </row>
    <row r="14" spans="1:10" ht="15" x14ac:dyDescent="0.4">
      <c r="A14" s="40" t="s">
        <v>110</v>
      </c>
      <c r="B14" s="41" t="s">
        <v>514</v>
      </c>
      <c r="C14" s="17"/>
      <c r="D14" s="17">
        <v>28</v>
      </c>
      <c r="E14" s="17">
        <v>5</v>
      </c>
      <c r="F14" s="17"/>
      <c r="G14" s="17"/>
      <c r="H14" s="19" t="str">
        <f>IF($B14="","",IF($J14="X",B14,CONCATENATE(VLOOKUP(B14,Competitors!$A$2:$I$650,3, FALSE)," ",VLOOKUP(B14,Competitors!$A$2:$I$650,2,FALSE))))</f>
        <v>Steve Pearce (Ratae)</v>
      </c>
      <c r="I14" s="20">
        <f t="shared" si="0"/>
        <v>1.9502314814814816E-2</v>
      </c>
      <c r="J14" t="str">
        <f t="shared" si="1"/>
        <v>X</v>
      </c>
    </row>
    <row r="15" spans="1:10" ht="15" x14ac:dyDescent="0.4">
      <c r="A15" s="40" t="s">
        <v>475</v>
      </c>
      <c r="B15" s="41">
        <v>245</v>
      </c>
      <c r="C15" s="17"/>
      <c r="D15" s="17">
        <v>29</v>
      </c>
      <c r="E15" s="17">
        <v>10</v>
      </c>
      <c r="F15" s="17"/>
      <c r="G15" s="17"/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2.0254629629629629E-2</v>
      </c>
      <c r="J15" t="str">
        <f t="shared" si="1"/>
        <v/>
      </c>
    </row>
    <row r="16" spans="1:10" ht="15" x14ac:dyDescent="0.4">
      <c r="A16" s="40" t="s">
        <v>494</v>
      </c>
      <c r="B16" s="41">
        <v>1144</v>
      </c>
      <c r="C16" s="17"/>
      <c r="D16" s="17">
        <v>23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Jamie Kershaw</v>
      </c>
      <c r="I16" s="20">
        <f t="shared" si="0"/>
        <v>1.6261574074074074E-2</v>
      </c>
      <c r="J16" t="str">
        <f t="shared" si="1"/>
        <v/>
      </c>
    </row>
    <row r="17" spans="1:10" ht="15" x14ac:dyDescent="0.4">
      <c r="A17" s="40" t="s">
        <v>495</v>
      </c>
      <c r="B17" s="41">
        <v>756</v>
      </c>
      <c r="C17" s="17"/>
      <c r="D17" s="17">
        <v>27</v>
      </c>
      <c r="E17" s="17">
        <v>36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Josh van Nierop</v>
      </c>
      <c r="I17" s="20">
        <f t="shared" si="0"/>
        <v>1.9166666666666665E-2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7">
        <v>24</v>
      </c>
      <c r="E18" s="17">
        <v>58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1.7337962962962961E-2</v>
      </c>
      <c r="J18" t="str">
        <f t="shared" si="1"/>
        <v/>
      </c>
    </row>
    <row r="19" spans="1:10" ht="15" x14ac:dyDescent="0.4">
      <c r="A19" s="40" t="s">
        <v>496</v>
      </c>
      <c r="B19" s="41">
        <v>23</v>
      </c>
      <c r="C19" s="17"/>
      <c r="D19" s="17">
        <v>27</v>
      </c>
      <c r="E19" s="17">
        <v>57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1.9409722222222221E-2</v>
      </c>
      <c r="J19" t="str">
        <f t="shared" si="1"/>
        <v/>
      </c>
    </row>
    <row r="20" spans="1:10" ht="15" x14ac:dyDescent="0.4">
      <c r="A20" s="40" t="s">
        <v>465</v>
      </c>
      <c r="B20" s="41">
        <v>1385</v>
      </c>
      <c r="C20" s="17"/>
      <c r="D20" s="17"/>
      <c r="E20" s="17"/>
      <c r="F20" s="17"/>
      <c r="G20" s="17" t="s">
        <v>489</v>
      </c>
      <c r="H20" s="19" t="str">
        <f>IF($B20="","",IF($J20="X",B20,CONCATENATE(VLOOKUP(B20,Competitors!$A$2:$I$650,3, FALSE)," ",VLOOKUP(B20,Competitors!$A$2:$I$650,2,FALSE))))</f>
        <v>Miles Marr</v>
      </c>
      <c r="I20" s="20">
        <f t="shared" si="0"/>
        <v>0</v>
      </c>
      <c r="J20" t="str">
        <f t="shared" si="1"/>
        <v/>
      </c>
    </row>
    <row r="21" spans="1:10" ht="15" x14ac:dyDescent="0.4">
      <c r="A21" s="40" t="s">
        <v>497</v>
      </c>
      <c r="B21" s="41">
        <v>407</v>
      </c>
      <c r="C21" s="17"/>
      <c r="D21" s="17">
        <v>27</v>
      </c>
      <c r="E21" s="17">
        <v>32</v>
      </c>
      <c r="F21" s="17"/>
      <c r="G21" s="17"/>
      <c r="H21" s="19" t="str">
        <f>IF($B21="","",IF($J21="X",B21,CONCATENATE(VLOOKUP(B21,Competitors!$A$2:$I$650,3, FALSE)," ",VLOOKUP(B21,Competitors!$A$2:$I$650,2,FALSE))))</f>
        <v>Hans van Nierop</v>
      </c>
      <c r="I21" s="20">
        <f t="shared" si="0"/>
        <v>1.9120370370370371E-2</v>
      </c>
      <c r="J21" t="str">
        <f t="shared" si="1"/>
        <v/>
      </c>
    </row>
    <row r="22" spans="1:10" ht="15" x14ac:dyDescent="0.4">
      <c r="A22" s="40" t="s">
        <v>481</v>
      </c>
      <c r="B22" s="41">
        <v>1112</v>
      </c>
      <c r="C22" s="17"/>
      <c r="D22" s="17">
        <v>27</v>
      </c>
      <c r="E22" s="17">
        <v>56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1.9398148148148147E-2</v>
      </c>
      <c r="J22" t="str">
        <f t="shared" si="1"/>
        <v/>
      </c>
    </row>
    <row r="23" spans="1:10" ht="15" x14ac:dyDescent="0.4">
      <c r="A23" s="40" t="s">
        <v>498</v>
      </c>
      <c r="B23" s="41">
        <v>1192</v>
      </c>
      <c r="C23" s="17"/>
      <c r="D23" s="17">
        <v>25</v>
      </c>
      <c r="E23" s="17">
        <v>49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1.7928240740740741E-2</v>
      </c>
      <c r="J23" t="str">
        <f t="shared" si="1"/>
        <v/>
      </c>
    </row>
    <row r="24" spans="1:10" ht="15" x14ac:dyDescent="0.4">
      <c r="A24" s="40" t="s">
        <v>499</v>
      </c>
      <c r="B24" s="41">
        <v>415</v>
      </c>
      <c r="C24" s="17"/>
      <c r="D24" s="17">
        <v>26</v>
      </c>
      <c r="E24" s="17">
        <v>10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Nik Kershaw</v>
      </c>
      <c r="I24" s="20">
        <f t="shared" si="0"/>
        <v>1.8171296296296297E-2</v>
      </c>
      <c r="J24" t="str">
        <f t="shared" si="1"/>
        <v/>
      </c>
    </row>
    <row r="25" spans="1:10" ht="15" x14ac:dyDescent="0.4">
      <c r="A25" s="40" t="s">
        <v>500</v>
      </c>
      <c r="B25" s="41">
        <v>915</v>
      </c>
      <c r="C25" s="17"/>
      <c r="D25" s="17">
        <v>27</v>
      </c>
      <c r="E25" s="17">
        <v>22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1.9004629629629628E-2</v>
      </c>
      <c r="J25" t="str">
        <f t="shared" si="1"/>
        <v/>
      </c>
    </row>
    <row r="26" spans="1:10" ht="15" x14ac:dyDescent="0.4">
      <c r="A26" s="40" t="s">
        <v>103</v>
      </c>
      <c r="B26" s="41" t="s">
        <v>515</v>
      </c>
      <c r="C26" s="17"/>
      <c r="D26" s="17"/>
      <c r="E26" s="17"/>
      <c r="F26" s="17"/>
      <c r="G26" s="17" t="s">
        <v>489</v>
      </c>
      <c r="H26" s="19" t="str">
        <f>IF($B26="","",IF($J26="X",B26,CONCATENATE(VLOOKUP(B26,Competitors!$A$2:$I$650,3, FALSE)," ",VLOOKUP(B26,Competitors!$A$2:$I$650,2,FALSE))))</f>
        <v>Chris Spray (Ratae)</v>
      </c>
      <c r="I26" s="20">
        <f t="shared" si="0"/>
        <v>0</v>
      </c>
      <c r="J26" t="str">
        <f t="shared" si="1"/>
        <v>X</v>
      </c>
    </row>
    <row r="27" spans="1:10" ht="15" x14ac:dyDescent="0.4">
      <c r="A27" s="40" t="s">
        <v>501</v>
      </c>
      <c r="B27" s="41">
        <v>1237</v>
      </c>
      <c r="C27" s="17"/>
      <c r="D27" s="17"/>
      <c r="E27" s="17"/>
      <c r="F27" s="17"/>
      <c r="G27" s="17" t="s">
        <v>489</v>
      </c>
      <c r="H27" s="19" t="str">
        <f>IF($B27="","",IF($J27="X",B27,CONCATENATE(VLOOKUP(B27,Competitors!$A$2:$I$650,3, FALSE)," ",VLOOKUP(B27,Competitors!$A$2:$I$650,2,FALSE))))</f>
        <v>John Abbott</v>
      </c>
      <c r="I27" s="20">
        <f t="shared" si="0"/>
        <v>0</v>
      </c>
      <c r="J27" t="str">
        <f t="shared" si="1"/>
        <v/>
      </c>
    </row>
    <row r="28" spans="1:10" ht="15" x14ac:dyDescent="0.4">
      <c r="A28" s="40" t="s">
        <v>106</v>
      </c>
      <c r="B28" s="41" t="s">
        <v>516</v>
      </c>
      <c r="C28" s="17"/>
      <c r="D28" s="17">
        <v>27</v>
      </c>
      <c r="E28" s="17">
        <v>45</v>
      </c>
      <c r="F28" s="17"/>
      <c r="G28" s="17"/>
      <c r="H28" s="19" t="str">
        <f>IF($B28="","",IF($J28="X",B28,CONCATENATE(VLOOKUP(B28,Competitors!$A$2:$I$650,3, FALSE)," ",VLOOKUP(B28,Competitors!$A$2:$I$650,2,FALSE))))</f>
        <v>Mark Newton (Ratae)</v>
      </c>
      <c r="I28" s="20">
        <f t="shared" si="0"/>
        <v>1.9270833333333334E-2</v>
      </c>
      <c r="J28" t="str">
        <f t="shared" si="1"/>
        <v>X</v>
      </c>
    </row>
    <row r="29" spans="1:10" ht="15" x14ac:dyDescent="0.4">
      <c r="A29" s="40" t="s">
        <v>502</v>
      </c>
      <c r="B29" s="41">
        <v>846</v>
      </c>
      <c r="C29" s="17"/>
      <c r="D29" s="17">
        <v>27</v>
      </c>
      <c r="E29" s="17">
        <v>44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0"/>
        <v>1.9259259259259261E-2</v>
      </c>
      <c r="J29" t="str">
        <f t="shared" si="1"/>
        <v/>
      </c>
    </row>
    <row r="30" spans="1:10" ht="15" x14ac:dyDescent="0.4">
      <c r="A30" s="40" t="s">
        <v>503</v>
      </c>
      <c r="B30" s="41">
        <v>1094</v>
      </c>
      <c r="C30" s="17"/>
      <c r="D30" s="17">
        <v>25</v>
      </c>
      <c r="E30" s="17">
        <v>26</v>
      </c>
      <c r="F30" s="17"/>
      <c r="G30" s="17"/>
      <c r="H30" s="19" t="str">
        <f>IF($B30="","",IF($J30="X",B30,CONCATENATE(VLOOKUP(B30,Competitors!$A$2:$I$650,3, FALSE)," ",VLOOKUP(B30,Competitors!$A$2:$I$650,2,FALSE))))</f>
        <v>Andy Poulton</v>
      </c>
      <c r="I30" s="20">
        <f t="shared" si="0"/>
        <v>1.7662037037037039E-2</v>
      </c>
      <c r="J30" t="str">
        <f t="shared" si="1"/>
        <v/>
      </c>
    </row>
    <row r="31" spans="1:10" ht="15" x14ac:dyDescent="0.4">
      <c r="A31" s="40" t="s">
        <v>77</v>
      </c>
      <c r="B31" s="41" t="s">
        <v>517</v>
      </c>
      <c r="C31" s="17"/>
      <c r="D31" s="17">
        <v>22</v>
      </c>
      <c r="E31" s="17">
        <v>49</v>
      </c>
      <c r="F31" s="17" t="s">
        <v>473</v>
      </c>
      <c r="G31" s="17"/>
      <c r="H31" s="19" t="str">
        <f>IF($B31="","",IF($J31="X",B31,CONCATENATE(VLOOKUP(B31,Competitors!$A$2:$I$650,3, FALSE)," ",VLOOKUP(B31,Competitors!$A$2:$I$650,2,FALSE))))</f>
        <v>Carl Dyson (Aerologic)</v>
      </c>
      <c r="I31" s="20">
        <f t="shared" si="0"/>
        <v>1.5844907407407408E-2</v>
      </c>
      <c r="J31" t="str">
        <f t="shared" si="1"/>
        <v>X</v>
      </c>
    </row>
    <row r="32" spans="1:10" ht="15" x14ac:dyDescent="0.4">
      <c r="A32" s="40" t="s">
        <v>403</v>
      </c>
      <c r="B32" s="41">
        <f t="shared" ref="B32" si="2">IF(A32="","",_xlfn.XLOOKUP(A32,ClubNames,ClubNumbers,_xlfn.XLOOKUP(A32,RoundRobinRiderNames,RoundRobinRiderDecoratedNames,A32)))</f>
        <v>1166</v>
      </c>
      <c r="C32" s="17"/>
      <c r="D32" s="17">
        <v>26</v>
      </c>
      <c r="E32" s="17">
        <v>24</v>
      </c>
      <c r="F32" s="17"/>
      <c r="G32" s="17"/>
      <c r="H32" s="19" t="str">
        <f>IF($B32="","",IF($J32="X",B32,CONCATENATE(VLOOKUP(B32,Competitors!$A$2:$I$650,3, FALSE)," ",VLOOKUP(B32,Competitors!$A$2:$I$650,2,FALSE))))</f>
        <v>Ed Tarelli</v>
      </c>
      <c r="I32" s="20">
        <f t="shared" si="0"/>
        <v>1.8333333333333333E-2</v>
      </c>
      <c r="J32" t="str">
        <f t="shared" si="1"/>
        <v/>
      </c>
    </row>
    <row r="33" spans="1:10" ht="15" x14ac:dyDescent="0.4">
      <c r="A33" s="40" t="s">
        <v>510</v>
      </c>
      <c r="B33" s="41">
        <v>1109</v>
      </c>
      <c r="C33" s="17"/>
      <c r="D33" s="17">
        <v>27</v>
      </c>
      <c r="E33" s="17">
        <v>55</v>
      </c>
      <c r="F33" s="17"/>
      <c r="G33" s="17"/>
      <c r="H33" s="19" t="str">
        <f>IF($B33="","",IF($J33="X",B33,CONCATENATE(VLOOKUP(B33,Competitors!$A$2:$I$650,3, FALSE)," ",VLOOKUP(B33,Competitors!$A$2:$I$650,2,FALSE))))</f>
        <v>Stuart Haycox</v>
      </c>
      <c r="I33" s="20">
        <f t="shared" si="0"/>
        <v>1.9386574074074073E-2</v>
      </c>
      <c r="J33" t="str">
        <f t="shared" si="1"/>
        <v/>
      </c>
    </row>
    <row r="34" spans="1:10" ht="15" x14ac:dyDescent="0.4">
      <c r="A34" s="40" t="s">
        <v>478</v>
      </c>
      <c r="B34" s="41">
        <v>1404</v>
      </c>
      <c r="C34" s="17"/>
      <c r="D34" s="17">
        <v>31</v>
      </c>
      <c r="E34" s="17">
        <v>38</v>
      </c>
      <c r="F34" s="17"/>
      <c r="G34" s="17"/>
      <c r="H34" s="19" t="str">
        <f>IF($B34="","",IF($J34="X",B34,CONCATENATE(VLOOKUP(B34,Competitors!$A$2:$I$650,3, FALSE)," ",VLOOKUP(B34,Competitors!$A$2:$I$650,2,FALSE))))</f>
        <v>Millie Lenehan</v>
      </c>
      <c r="I34" s="20">
        <f t="shared" si="0"/>
        <v>2.1967592592592594E-2</v>
      </c>
      <c r="J34" t="str">
        <f t="shared" si="1"/>
        <v/>
      </c>
    </row>
    <row r="35" spans="1:10" ht="15" x14ac:dyDescent="0.4">
      <c r="A35" s="40" t="s">
        <v>101</v>
      </c>
      <c r="B35" s="41" t="s">
        <v>518</v>
      </c>
      <c r="C35" s="17"/>
      <c r="D35" s="17">
        <v>34</v>
      </c>
      <c r="E35" s="17">
        <v>29</v>
      </c>
      <c r="F35" s="17" t="s">
        <v>473</v>
      </c>
      <c r="G35" s="17"/>
      <c r="H35" s="19" t="str">
        <f>IF($B35="","",IF($J35="X",B35,CONCATENATE(VLOOKUP(B35,Competitors!$A$2:$I$650,3, FALSE)," ",VLOOKUP(B35,Competitors!$A$2:$I$650,2,FALSE))))</f>
        <v>Brian Lincoln (Ratae)</v>
      </c>
      <c r="I35" s="20">
        <f t="shared" si="0"/>
        <v>2.3946759259259258E-2</v>
      </c>
      <c r="J35" t="str">
        <f t="shared" si="1"/>
        <v>X</v>
      </c>
    </row>
    <row r="36" spans="1:10" ht="15" x14ac:dyDescent="0.4">
      <c r="A36" s="40" t="s">
        <v>107</v>
      </c>
      <c r="B36" s="41" t="s">
        <v>519</v>
      </c>
      <c r="C36" s="17"/>
      <c r="D36" s="17">
        <v>28</v>
      </c>
      <c r="E36" s="17">
        <v>5</v>
      </c>
      <c r="F36" s="17"/>
      <c r="G36" s="17"/>
      <c r="H36" s="19" t="str">
        <f>IF($B36="","",IF($J36="X",B36,CONCATENATE(VLOOKUP(B36,Competitors!$A$2:$I$650,3, FALSE)," ",VLOOKUP(B36,Competitors!$A$2:$I$650,2,FALSE))))</f>
        <v>Marshall Briggs (Ratae)</v>
      </c>
      <c r="I36" s="20">
        <f t="shared" si="0"/>
        <v>1.9502314814814816E-2</v>
      </c>
      <c r="J36" t="str">
        <f t="shared" si="1"/>
        <v>X</v>
      </c>
    </row>
    <row r="37" spans="1:10" ht="15" x14ac:dyDescent="0.4">
      <c r="A37" s="40"/>
      <c r="B37" s="41" t="str">
        <f t="shared" ref="B37:B65" si="3">IF(A37="","",_xlfn.XLOOKUP(A37,ClubNames,ClubNumbers,_xlfn.XLOOKUP(A37,RoundRobinRiderNames,RoundRobinRiderDecoratedNames,A37)))</f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B35" sqref="B35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3">
        <v>558</v>
      </c>
      <c r="C2" s="17"/>
      <c r="D2" s="17">
        <v>39</v>
      </c>
      <c r="E2" s="17">
        <v>9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2.71875E-2</v>
      </c>
      <c r="J2" t="str">
        <f>IF(OR(B2="",ISNUMBER(B2)),"","X")</f>
        <v/>
      </c>
    </row>
    <row r="3" spans="1:10" ht="15" x14ac:dyDescent="0.4">
      <c r="A3" s="40" t="s">
        <v>491</v>
      </c>
      <c r="B3" s="43">
        <v>45</v>
      </c>
      <c r="C3" s="17"/>
      <c r="D3" s="17">
        <v>34</v>
      </c>
      <c r="E3" s="17">
        <v>16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2.3796296296296298E-2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3" t="s">
        <v>511</v>
      </c>
      <c r="C4" s="17"/>
      <c r="D4" s="17">
        <v>26</v>
      </c>
      <c r="E4" s="17">
        <v>28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1.8379629629629631E-2</v>
      </c>
      <c r="J4" t="str">
        <f t="shared" si="1"/>
        <v>X</v>
      </c>
    </row>
    <row r="5" spans="1:10" ht="15" x14ac:dyDescent="0.4">
      <c r="A5" s="40" t="s">
        <v>526</v>
      </c>
      <c r="B5" s="43">
        <v>990</v>
      </c>
      <c r="C5" s="17"/>
      <c r="D5" s="17">
        <v>35</v>
      </c>
      <c r="E5" s="17">
        <v>3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0"/>
        <v>2.4340277777777777E-2</v>
      </c>
      <c r="J5" t="str">
        <f t="shared" si="1"/>
        <v/>
      </c>
    </row>
    <row r="6" spans="1:10" ht="15" x14ac:dyDescent="0.4">
      <c r="A6" s="40" t="s">
        <v>458</v>
      </c>
      <c r="B6" s="43">
        <v>1298</v>
      </c>
      <c r="C6" s="17"/>
      <c r="D6" s="17">
        <v>32</v>
      </c>
      <c r="E6" s="17">
        <v>50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Jane Moore</v>
      </c>
      <c r="I6" s="20">
        <f t="shared" si="0"/>
        <v>2.2800925925925926E-2</v>
      </c>
      <c r="J6" t="str">
        <f t="shared" si="1"/>
        <v/>
      </c>
    </row>
    <row r="7" spans="1:10" ht="15" x14ac:dyDescent="0.4">
      <c r="A7" s="40" t="s">
        <v>525</v>
      </c>
      <c r="B7" s="43" t="s">
        <v>533</v>
      </c>
      <c r="C7" s="17"/>
      <c r="D7" s="17">
        <v>33</v>
      </c>
      <c r="E7" s="17">
        <v>51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Lesley Allden (Ratae)</v>
      </c>
      <c r="I7" s="20">
        <f t="shared" si="0"/>
        <v>2.3506944444444445E-2</v>
      </c>
      <c r="J7" t="str">
        <f t="shared" si="1"/>
        <v>X</v>
      </c>
    </row>
    <row r="8" spans="1:10" ht="15" x14ac:dyDescent="0.4">
      <c r="A8" s="40" t="s">
        <v>527</v>
      </c>
      <c r="B8" s="43">
        <v>203</v>
      </c>
      <c r="C8" s="17"/>
      <c r="D8" s="17">
        <v>29</v>
      </c>
      <c r="E8" s="17">
        <v>34</v>
      </c>
      <c r="F8" s="17"/>
      <c r="G8" s="17"/>
      <c r="H8" s="19" t="str">
        <f>IF($B8="","",IF($J8="X",B8,CONCATENATE(VLOOKUP(B8,Competitors!$A$2:$I$650,3, FALSE)," ",VLOOKUP(B8,Competitors!$A$2:$I$650,2,FALSE))))</f>
        <v>Adrian Killworth</v>
      </c>
      <c r="I8" s="20">
        <f t="shared" si="0"/>
        <v>2.0532407407407409E-2</v>
      </c>
      <c r="J8" t="str">
        <f t="shared" si="1"/>
        <v/>
      </c>
    </row>
    <row r="9" spans="1:10" ht="15" x14ac:dyDescent="0.4">
      <c r="A9" s="40" t="s">
        <v>110</v>
      </c>
      <c r="B9" s="43" t="s">
        <v>514</v>
      </c>
      <c r="C9" s="17"/>
      <c r="D9" s="17">
        <v>27</v>
      </c>
      <c r="E9" s="17">
        <v>20</v>
      </c>
      <c r="F9" s="17"/>
      <c r="G9" s="17"/>
      <c r="H9" s="19" t="str">
        <f>IF($B9="","",IF($J9="X",B9,CONCATENATE(VLOOKUP(B9,Competitors!$A$2:$I$650,3, FALSE)," ",VLOOKUP(B9,Competitors!$A$2:$I$650,2,FALSE))))</f>
        <v>Steve Pearce (Ratae)</v>
      </c>
      <c r="I9" s="20">
        <f t="shared" si="0"/>
        <v>1.8981481481481481E-2</v>
      </c>
      <c r="J9" t="str">
        <f t="shared" si="1"/>
        <v>X</v>
      </c>
    </row>
    <row r="10" spans="1:10" ht="15" x14ac:dyDescent="0.4">
      <c r="A10" s="40" t="s">
        <v>101</v>
      </c>
      <c r="B10" s="43" t="s">
        <v>518</v>
      </c>
      <c r="C10" s="17"/>
      <c r="D10" s="17">
        <v>34</v>
      </c>
      <c r="E10" s="17">
        <v>0</v>
      </c>
      <c r="F10" s="17"/>
      <c r="G10" s="17"/>
      <c r="H10" s="19" t="str">
        <f>IF($B10="","",IF($J10="X",B10,CONCATENATE(VLOOKUP(B10,Competitors!$A$2:$I$650,3, FALSE)," ",VLOOKUP(B10,Competitors!$A$2:$I$650,2,FALSE))))</f>
        <v>Brian Lincoln (Ratae)</v>
      </c>
      <c r="I10" s="20">
        <f t="shared" si="0"/>
        <v>2.361111111111111E-2</v>
      </c>
      <c r="J10" t="str">
        <f t="shared" si="1"/>
        <v>X</v>
      </c>
    </row>
    <row r="11" spans="1:10" ht="15" x14ac:dyDescent="0.4">
      <c r="A11" s="40" t="s">
        <v>493</v>
      </c>
      <c r="B11" s="43">
        <v>1254</v>
      </c>
      <c r="C11" s="17"/>
      <c r="D11" s="17"/>
      <c r="E11" s="17"/>
      <c r="F11" s="17"/>
      <c r="G11" s="17" t="s">
        <v>489</v>
      </c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484</v>
      </c>
      <c r="B12" s="43">
        <v>1419</v>
      </c>
      <c r="C12" s="17"/>
      <c r="D12" s="17">
        <v>27</v>
      </c>
      <c r="E12" s="17">
        <v>11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Ethan Marsh</v>
      </c>
      <c r="I12" s="20">
        <f t="shared" si="0"/>
        <v>1.8877314814814816E-2</v>
      </c>
      <c r="J12" t="str">
        <f t="shared" si="1"/>
        <v/>
      </c>
    </row>
    <row r="13" spans="1:10" ht="15" x14ac:dyDescent="0.4">
      <c r="A13" s="40" t="s">
        <v>464</v>
      </c>
      <c r="B13" s="43">
        <v>1403</v>
      </c>
      <c r="C13" s="17"/>
      <c r="D13" s="17">
        <v>27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Toby Lenehan</v>
      </c>
      <c r="I13" s="20">
        <f t="shared" si="0"/>
        <v>1.9143518518518518E-2</v>
      </c>
      <c r="J13" t="str">
        <f t="shared" si="1"/>
        <v/>
      </c>
    </row>
    <row r="14" spans="1:10" ht="15" x14ac:dyDescent="0.4">
      <c r="A14" s="40" t="s">
        <v>528</v>
      </c>
      <c r="B14" s="43" t="s">
        <v>528</v>
      </c>
      <c r="C14" s="17"/>
      <c r="D14" s="17">
        <v>38</v>
      </c>
      <c r="E14" s="17">
        <v>6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Laura Davison</v>
      </c>
      <c r="I14" s="20">
        <f t="shared" si="0"/>
        <v>2.6458333333333334E-2</v>
      </c>
      <c r="J14" t="str">
        <f t="shared" si="1"/>
        <v>X</v>
      </c>
    </row>
    <row r="15" spans="1:10" ht="15" x14ac:dyDescent="0.4">
      <c r="A15" s="40" t="s">
        <v>461</v>
      </c>
      <c r="B15" s="43">
        <v>1407</v>
      </c>
      <c r="C15" s="17"/>
      <c r="D15" s="17">
        <v>26</v>
      </c>
      <c r="E15" s="17">
        <v>38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Colin Dobson</v>
      </c>
      <c r="I15" s="20">
        <f t="shared" si="0"/>
        <v>1.849537037037037E-2</v>
      </c>
      <c r="J15" t="str">
        <f t="shared" si="1"/>
        <v/>
      </c>
    </row>
    <row r="16" spans="1:10" ht="15" x14ac:dyDescent="0.4">
      <c r="A16" s="40" t="s">
        <v>475</v>
      </c>
      <c r="B16" s="43">
        <v>245</v>
      </c>
      <c r="C16" s="17"/>
      <c r="D16" s="17">
        <v>28</v>
      </c>
      <c r="E16" s="17">
        <v>4</v>
      </c>
      <c r="F16" s="17"/>
      <c r="G16" s="17"/>
      <c r="H16" s="19" t="str">
        <f>IF($B16="","",IF($J16="X",B16,CONCATENATE(VLOOKUP(B16,Competitors!$A$2:$I$650,3, FALSE)," ",VLOOKUP(B16,Competitors!$A$2:$I$650,2,FALSE))))</f>
        <v>David Reay</v>
      </c>
      <c r="I16" s="20">
        <f t="shared" si="0"/>
        <v>1.9490740740740739E-2</v>
      </c>
      <c r="J16" t="str">
        <f t="shared" si="1"/>
        <v/>
      </c>
    </row>
    <row r="17" spans="1:10" ht="15" x14ac:dyDescent="0.4">
      <c r="A17" s="40" t="s">
        <v>457</v>
      </c>
      <c r="B17" s="43">
        <v>1194</v>
      </c>
      <c r="C17" s="17"/>
      <c r="D17" s="17">
        <v>31</v>
      </c>
      <c r="E17" s="17">
        <v>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Alex Hardwicke</v>
      </c>
      <c r="I17" s="20">
        <f t="shared" si="0"/>
        <v>2.1597222222222223E-2</v>
      </c>
      <c r="J17" t="str">
        <f t="shared" si="1"/>
        <v/>
      </c>
    </row>
    <row r="18" spans="1:10" ht="15" x14ac:dyDescent="0.4">
      <c r="A18" s="40" t="s">
        <v>529</v>
      </c>
      <c r="B18" s="43">
        <v>1195</v>
      </c>
      <c r="C18" s="17"/>
      <c r="D18" s="17">
        <v>28</v>
      </c>
      <c r="E18" s="17">
        <v>26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Charlie Hardwicke</v>
      </c>
      <c r="I18" s="20">
        <f t="shared" si="0"/>
        <v>1.9745370370370371E-2</v>
      </c>
      <c r="J18" t="str">
        <f t="shared" si="1"/>
        <v/>
      </c>
    </row>
    <row r="19" spans="1:10" ht="15" x14ac:dyDescent="0.4">
      <c r="A19" s="40" t="s">
        <v>496</v>
      </c>
      <c r="B19" s="43">
        <v>23</v>
      </c>
      <c r="C19" s="17"/>
      <c r="D19" s="17">
        <v>28</v>
      </c>
      <c r="E19" s="17">
        <v>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1.9525462962962963E-2</v>
      </c>
      <c r="J19" t="str">
        <f t="shared" si="1"/>
        <v/>
      </c>
    </row>
    <row r="20" spans="1:10" ht="15" x14ac:dyDescent="0.4">
      <c r="A20" s="40" t="s">
        <v>467</v>
      </c>
      <c r="B20" s="43">
        <v>704</v>
      </c>
      <c r="C20" s="17"/>
      <c r="D20" s="17">
        <v>28</v>
      </c>
      <c r="E20" s="17">
        <v>6</v>
      </c>
      <c r="F20" s="17"/>
      <c r="G20" s="17"/>
      <c r="H20" s="19" t="str">
        <f>IF($B20="","",IF($J20="X",B20,CONCATENATE(VLOOKUP(B20,Competitors!$A$2:$I$650,3, FALSE)," ",VLOOKUP(B20,Competitors!$A$2:$I$650,2,FALSE))))</f>
        <v>Chris Dainty</v>
      </c>
      <c r="I20" s="20">
        <f t="shared" si="0"/>
        <v>1.951388888888889E-2</v>
      </c>
      <c r="J20" t="str">
        <f t="shared" si="1"/>
        <v/>
      </c>
    </row>
    <row r="21" spans="1:10" ht="15" x14ac:dyDescent="0.4">
      <c r="A21" s="40" t="s">
        <v>463</v>
      </c>
      <c r="B21" s="43">
        <v>1107</v>
      </c>
      <c r="C21" s="17"/>
      <c r="D21" s="17">
        <v>26</v>
      </c>
      <c r="E21" s="17">
        <v>45</v>
      </c>
      <c r="F21" s="17"/>
      <c r="G21" s="17"/>
      <c r="H21" s="19" t="str">
        <f>IF($B21="","",IF($J21="X",B21,CONCATENATE(VLOOKUP(B21,Competitors!$A$2:$I$650,3, FALSE)," ",VLOOKUP(B21,Competitors!$A$2:$I$650,2,FALSE))))</f>
        <v>Milly Pinnock</v>
      </c>
      <c r="I21" s="20">
        <f t="shared" si="0"/>
        <v>1.8576388888888889E-2</v>
      </c>
      <c r="J21" t="str">
        <f t="shared" si="1"/>
        <v/>
      </c>
    </row>
    <row r="22" spans="1:10" ht="15" x14ac:dyDescent="0.4">
      <c r="A22" s="40" t="s">
        <v>481</v>
      </c>
      <c r="B22" s="43">
        <v>1112</v>
      </c>
      <c r="C22" s="17"/>
      <c r="D22" s="17">
        <v>27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1.9189814814814816E-2</v>
      </c>
      <c r="J22" t="str">
        <f t="shared" si="1"/>
        <v/>
      </c>
    </row>
    <row r="23" spans="1:10" ht="15" x14ac:dyDescent="0.4">
      <c r="A23" s="40" t="s">
        <v>498</v>
      </c>
      <c r="B23" s="43">
        <v>1192</v>
      </c>
      <c r="C23" s="17"/>
      <c r="D23" s="17">
        <v>25</v>
      </c>
      <c r="E23" s="17">
        <v>38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1.7800925925925925E-2</v>
      </c>
      <c r="J23" t="str">
        <f t="shared" si="1"/>
        <v/>
      </c>
    </row>
    <row r="24" spans="1:10" ht="15" x14ac:dyDescent="0.4">
      <c r="A24" s="40" t="s">
        <v>472</v>
      </c>
      <c r="B24" s="43">
        <v>38</v>
      </c>
      <c r="C24" s="17"/>
      <c r="D24" s="17">
        <v>24</v>
      </c>
      <c r="E24" s="17">
        <v>55</v>
      </c>
      <c r="F24" s="17"/>
      <c r="G24" s="17"/>
      <c r="H24" s="19" t="str">
        <f>IF($B24="","",IF($J24="X",B24,CONCATENATE(VLOOKUP(B24,Competitors!$A$2:$I$650,3, FALSE)," ",VLOOKUP(B24,Competitors!$A$2:$I$650,2,FALSE))))</f>
        <v>Phil Rayner</v>
      </c>
      <c r="I24" s="20">
        <f t="shared" si="0"/>
        <v>1.7303240740740741E-2</v>
      </c>
      <c r="J24" t="str">
        <f t="shared" si="1"/>
        <v/>
      </c>
    </row>
    <row r="25" spans="1:10" ht="15" x14ac:dyDescent="0.4">
      <c r="A25" s="40" t="s">
        <v>500</v>
      </c>
      <c r="B25" s="43">
        <v>915</v>
      </c>
      <c r="C25" s="17"/>
      <c r="D25" s="17">
        <v>26</v>
      </c>
      <c r="E25" s="17">
        <v>21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1.8298611111111113E-2</v>
      </c>
      <c r="J25" t="str">
        <f t="shared" si="1"/>
        <v/>
      </c>
    </row>
    <row r="26" spans="1:10" ht="15" x14ac:dyDescent="0.4">
      <c r="A26" s="40" t="s">
        <v>494</v>
      </c>
      <c r="B26" s="43">
        <v>1144</v>
      </c>
      <c r="C26" s="17"/>
      <c r="D26" s="17">
        <v>23</v>
      </c>
      <c r="E26" s="17">
        <v>54</v>
      </c>
      <c r="F26" s="17" t="s">
        <v>473</v>
      </c>
      <c r="G26" s="17"/>
      <c r="H26" s="19" t="str">
        <f>IF($B26="","",IF($J26="X",B26,CONCATENATE(VLOOKUP(B26,Competitors!$A$2:$I$650,3, FALSE)," ",VLOOKUP(B26,Competitors!$A$2:$I$650,2,FALSE))))</f>
        <v>Jamie Kershaw</v>
      </c>
      <c r="I26" s="20">
        <f t="shared" si="0"/>
        <v>1.6597222222222222E-2</v>
      </c>
      <c r="J26" t="str">
        <f t="shared" si="1"/>
        <v/>
      </c>
    </row>
    <row r="27" spans="1:10" ht="15" x14ac:dyDescent="0.4">
      <c r="A27" s="40" t="s">
        <v>470</v>
      </c>
      <c r="B27" s="43">
        <v>295</v>
      </c>
      <c r="C27" s="17"/>
      <c r="D27" s="17">
        <v>29</v>
      </c>
      <c r="E27" s="17">
        <v>29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Dawkins</v>
      </c>
      <c r="I27" s="20">
        <f t="shared" si="0"/>
        <v>2.0474537037037038E-2</v>
      </c>
      <c r="J27" t="str">
        <f t="shared" si="1"/>
        <v/>
      </c>
    </row>
    <row r="28" spans="1:10" ht="15" x14ac:dyDescent="0.4">
      <c r="A28" s="40" t="s">
        <v>462</v>
      </c>
      <c r="B28" s="43">
        <v>1418</v>
      </c>
      <c r="C28" s="17"/>
      <c r="D28" s="17">
        <v>26</v>
      </c>
      <c r="E28" s="17">
        <v>12</v>
      </c>
      <c r="F28" s="17"/>
      <c r="G28" s="17"/>
      <c r="H28" s="19" t="str">
        <f>IF($B28="","",IF($J28="X",B28,CONCATENATE(VLOOKUP(B28,Competitors!$A$2:$I$650,3, FALSE)," ",VLOOKUP(B28,Competitors!$A$2:$I$650,2,FALSE))))</f>
        <v>James Brown</v>
      </c>
      <c r="I28" s="20">
        <f t="shared" si="0"/>
        <v>1.8194444444444444E-2</v>
      </c>
      <c r="J28" t="str">
        <f t="shared" si="1"/>
        <v/>
      </c>
    </row>
    <row r="29" spans="1:10" ht="15" x14ac:dyDescent="0.4">
      <c r="A29" s="40" t="s">
        <v>510</v>
      </c>
      <c r="B29" s="43">
        <v>1109</v>
      </c>
      <c r="C29" s="17"/>
      <c r="D29" s="17">
        <v>27</v>
      </c>
      <c r="E29" s="17">
        <v>6</v>
      </c>
      <c r="F29" s="17"/>
      <c r="G29" s="17"/>
      <c r="H29" s="19" t="str">
        <f>IF($B29="","",IF($J29="X",B29,CONCATENATE(VLOOKUP(B29,Competitors!$A$2:$I$650,3, FALSE)," ",VLOOKUP(B29,Competitors!$A$2:$I$650,2,FALSE))))</f>
        <v>Stuart Haycox</v>
      </c>
      <c r="I29" s="20">
        <f t="shared" si="0"/>
        <v>1.8819444444444444E-2</v>
      </c>
      <c r="J29" t="str">
        <f t="shared" si="1"/>
        <v/>
      </c>
    </row>
    <row r="30" spans="1:10" ht="15" x14ac:dyDescent="0.4">
      <c r="A30" s="40" t="s">
        <v>502</v>
      </c>
      <c r="B30" s="43">
        <v>846</v>
      </c>
      <c r="C30" s="17"/>
      <c r="D30" s="17">
        <v>26</v>
      </c>
      <c r="E30" s="17">
        <v>48</v>
      </c>
      <c r="F30" s="17"/>
      <c r="G30" s="17"/>
      <c r="H30" s="19" t="str">
        <f>IF($B30="","",IF($J30="X",B30,CONCATENATE(VLOOKUP(B30,Competitors!$A$2:$I$650,3, FALSE)," ",VLOOKUP(B30,Competitors!$A$2:$I$650,2,FALSE))))</f>
        <v>Roger Kockelbergh</v>
      </c>
      <c r="I30" s="20">
        <f t="shared" si="0"/>
        <v>1.861111111111111E-2</v>
      </c>
      <c r="J30" t="str">
        <f t="shared" si="1"/>
        <v/>
      </c>
    </row>
    <row r="31" spans="1:10" ht="15" x14ac:dyDescent="0.4">
      <c r="A31" s="40" t="s">
        <v>503</v>
      </c>
      <c r="B31" s="43">
        <v>1094</v>
      </c>
      <c r="C31" s="17"/>
      <c r="D31" s="17">
        <v>25</v>
      </c>
      <c r="E31" s="17">
        <v>18</v>
      </c>
      <c r="F31" s="17"/>
      <c r="G31" s="17"/>
      <c r="H31" s="19" t="str">
        <f>IF($B31="","",IF($J31="X",B31,CONCATENATE(VLOOKUP(B31,Competitors!$A$2:$I$650,3, FALSE)," ",VLOOKUP(B31,Competitors!$A$2:$I$650,2,FALSE))))</f>
        <v>Andy Poulton</v>
      </c>
      <c r="I31" s="20">
        <f t="shared" si="0"/>
        <v>1.7569444444444443E-2</v>
      </c>
      <c r="J31" t="str">
        <f t="shared" si="1"/>
        <v/>
      </c>
    </row>
    <row r="32" spans="1:10" ht="15" x14ac:dyDescent="0.4">
      <c r="A32" s="40" t="s">
        <v>479</v>
      </c>
      <c r="B32" s="43">
        <v>1055</v>
      </c>
      <c r="C32" s="17"/>
      <c r="D32" s="17">
        <v>26</v>
      </c>
      <c r="E32" s="17">
        <v>28</v>
      </c>
      <c r="F32" s="17"/>
      <c r="G32" s="17"/>
      <c r="H32" s="19" t="str">
        <f>IF($B32="","",IF($J32="X",B32,CONCATENATE(VLOOKUP(B32,Competitors!$A$2:$I$650,3, FALSE)," ",VLOOKUP(B32,Competitors!$A$2:$I$650,2,FALSE))))</f>
        <v>Austin Smith</v>
      </c>
      <c r="I32" s="20">
        <f t="shared" si="0"/>
        <v>1.8379629629629631E-2</v>
      </c>
      <c r="J32" t="str">
        <f t="shared" si="1"/>
        <v/>
      </c>
    </row>
    <row r="33" spans="1:10" ht="15" x14ac:dyDescent="0.4">
      <c r="A33" s="40" t="s">
        <v>490</v>
      </c>
      <c r="B33" s="43">
        <v>699</v>
      </c>
      <c r="C33" s="17"/>
      <c r="D33" s="17"/>
      <c r="E33" s="17"/>
      <c r="F33" s="17"/>
      <c r="G33" s="17" t="s">
        <v>489</v>
      </c>
      <c r="H33" s="19" t="str">
        <f>IF($B33="","",IF($J33="X",B33,CONCATENATE(VLOOKUP(B33,Competitors!$A$2:$I$650,3, FALSE)," ",VLOOKUP(B33,Competitors!$A$2:$I$650,2,FALSE))))</f>
        <v>Jonathan Durnin</v>
      </c>
      <c r="I33" s="20">
        <f t="shared" si="0"/>
        <v>0</v>
      </c>
      <c r="J33" t="str">
        <f t="shared" si="1"/>
        <v/>
      </c>
    </row>
    <row r="34" spans="1:10" ht="15" x14ac:dyDescent="0.4">
      <c r="A34" s="40" t="s">
        <v>482</v>
      </c>
      <c r="B34" s="43">
        <v>1193</v>
      </c>
      <c r="C34" s="17"/>
      <c r="D34" s="17">
        <v>28</v>
      </c>
      <c r="E34" s="17">
        <v>25</v>
      </c>
      <c r="F34" s="17" t="s">
        <v>473</v>
      </c>
      <c r="G34" s="17"/>
      <c r="H34" s="19" t="str">
        <f>IF($B34="","",IF($J34="X",B34,CONCATENATE(VLOOKUP(B34,Competitors!$A$2:$I$650,3, FALSE)," ",VLOOKUP(B34,Competitors!$A$2:$I$650,2,FALSE))))</f>
        <v>Richard Hardwicke</v>
      </c>
      <c r="I34" s="20">
        <f t="shared" si="0"/>
        <v>1.9733796296296298E-2</v>
      </c>
      <c r="J34" t="str">
        <f t="shared" si="1"/>
        <v/>
      </c>
    </row>
    <row r="35" spans="1:10" ht="15" x14ac:dyDescent="0.4">
      <c r="A35" s="40" t="s">
        <v>530</v>
      </c>
      <c r="B35" s="43">
        <v>1024</v>
      </c>
      <c r="C35" s="17"/>
      <c r="D35" s="17">
        <v>25</v>
      </c>
      <c r="E35" s="17">
        <v>47</v>
      </c>
      <c r="F35" s="17"/>
      <c r="G35" s="17"/>
      <c r="H35" s="19" t="str">
        <f>IF($B35="","",IF($J35="X",B35,CONCATENATE(VLOOKUP(B35,Competitors!$A$2:$I$650,3, FALSE)," ",VLOOKUP(B35,Competitors!$A$2:$I$650,2,FALSE))))</f>
        <v>Jax Roberts</v>
      </c>
      <c r="I35" s="20">
        <f t="shared" si="0"/>
        <v>1.7905092592592594E-2</v>
      </c>
      <c r="J35" t="str">
        <f t="shared" si="1"/>
        <v/>
      </c>
    </row>
    <row r="36" spans="1:10" ht="15" x14ac:dyDescent="0.4">
      <c r="A36" s="40" t="s">
        <v>483</v>
      </c>
      <c r="B36" s="43">
        <v>989</v>
      </c>
      <c r="C36" s="17"/>
      <c r="D36" s="17">
        <v>26</v>
      </c>
      <c r="E36" s="17">
        <v>0</v>
      </c>
      <c r="F36" s="17" t="s">
        <v>473</v>
      </c>
      <c r="G36" s="17"/>
      <c r="H36" s="19" t="str">
        <f>IF($B36="","",IF($J36="X",B36,CONCATENATE(VLOOKUP(B36,Competitors!$A$2:$I$650,3, FALSE)," ",VLOOKUP(B36,Competitors!$A$2:$I$650,2,FALSE))))</f>
        <v>Jason Williams</v>
      </c>
      <c r="I36" s="20">
        <f t="shared" si="0"/>
        <v>1.8055555555555554E-2</v>
      </c>
      <c r="J36" t="str">
        <f t="shared" si="1"/>
        <v/>
      </c>
    </row>
    <row r="37" spans="1:10" ht="15" x14ac:dyDescent="0.4">
      <c r="A37" s="40" t="s">
        <v>108</v>
      </c>
      <c r="B37" s="43" t="s">
        <v>534</v>
      </c>
      <c r="C37" s="17"/>
      <c r="D37" s="17">
        <v>34</v>
      </c>
      <c r="E37" s="17">
        <v>21</v>
      </c>
      <c r="F37" s="17" t="s">
        <v>473</v>
      </c>
      <c r="G37" s="17"/>
      <c r="H37" s="19" t="str">
        <f>IF($B37="","",IF($J37="X",B37,CONCATENATE(VLOOKUP(B37,Competitors!$A$2:$I$650,3, FALSE)," ",VLOOKUP(B37,Competitors!$A$2:$I$650,2,FALSE))))</f>
        <v>Paul Eden (Ratae)</v>
      </c>
      <c r="I37" s="20">
        <f t="shared" si="0"/>
        <v>2.3854166666666666E-2</v>
      </c>
      <c r="J37" t="str">
        <f t="shared" si="1"/>
        <v>X</v>
      </c>
    </row>
    <row r="38" spans="1:10" ht="15" x14ac:dyDescent="0.4">
      <c r="A38" s="40" t="s">
        <v>460</v>
      </c>
      <c r="B38" s="43">
        <v>1355</v>
      </c>
      <c r="C38" s="17"/>
      <c r="D38" s="17"/>
      <c r="E38" s="17"/>
      <c r="F38" s="17"/>
      <c r="G38" s="17" t="s">
        <v>489</v>
      </c>
      <c r="H38" s="19" t="str">
        <f>IF($B38="","",IF($J38="X",B38,CONCATENATE(VLOOKUP(B38,Competitors!$A$2:$I$650,3, FALSE)," ",VLOOKUP(B38,Competitors!$A$2:$I$650,2,FALSE))))</f>
        <v>Aubrey Elmer</v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3" t="str">
        <f t="shared" ref="B39:B65" si="2">IF(A39="","",_xlfn.XLOOKUP(A39,ClubNames,ClubNumbers,_xlfn.XLOOKUP(A39,RoundRobinRiderNames,RoundRobinRiderDecoratedNames,A39)))</f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3" t="str">
        <f t="shared" si="2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3" t="str">
        <f t="shared" si="2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3" t="str">
        <f t="shared" si="2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3" t="str">
        <f t="shared" si="2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3" t="str">
        <f t="shared" si="2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3" t="str">
        <f t="shared" si="2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3" t="str">
        <f t="shared" si="2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3" t="str">
        <f t="shared" si="2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3" t="str">
        <f t="shared" si="2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3" t="str">
        <f t="shared" si="2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3" t="str">
        <f t="shared" si="2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3" t="str">
        <f t="shared" si="2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3" t="str">
        <f t="shared" si="2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3" t="str">
        <f t="shared" si="2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3" t="str">
        <f t="shared" si="2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3" t="str">
        <f t="shared" si="2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3" t="str">
        <f t="shared" si="2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3" t="str">
        <f t="shared" si="2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3" t="str">
        <f t="shared" si="2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3" t="str">
        <f t="shared" si="2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3" t="str">
        <f t="shared" si="2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3" t="str">
        <f t="shared" si="2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3" t="str">
        <f t="shared" si="2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3" t="str">
        <f t="shared" si="2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3" t="str">
        <f t="shared" si="2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3" t="str">
        <f t="shared" si="2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3" t="str">
        <f t="shared" ref="B66:B97" si="3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3" t="str">
        <f t="shared" si="3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4">IF(LEFT($F67,1)="D",UPPER($F67),(C67*3600+D67*60+E67)/86400)</f>
        <v>0</v>
      </c>
      <c r="J67" t="str">
        <f t="shared" ref="J67:J101" si="5">IF(OR(B67="",ISNUMBER(B67)),"","X")</f>
        <v/>
      </c>
    </row>
    <row r="68" spans="1:10" ht="15" x14ac:dyDescent="0.4">
      <c r="A68" s="40"/>
      <c r="B68" s="43" t="str">
        <f t="shared" si="3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4"/>
        <v>0</v>
      </c>
      <c r="J68" t="str">
        <f t="shared" si="5"/>
        <v/>
      </c>
    </row>
    <row r="69" spans="1:10" ht="15" x14ac:dyDescent="0.4">
      <c r="A69" s="40"/>
      <c r="B69" s="43" t="str">
        <f t="shared" si="3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4"/>
        <v>0</v>
      </c>
      <c r="J69" t="str">
        <f t="shared" si="5"/>
        <v/>
      </c>
    </row>
    <row r="70" spans="1:10" ht="15" x14ac:dyDescent="0.4">
      <c r="A70" s="40"/>
      <c r="B70" s="43" t="str">
        <f t="shared" si="3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4"/>
        <v>0</v>
      </c>
      <c r="J70" t="str">
        <f t="shared" si="5"/>
        <v/>
      </c>
    </row>
    <row r="71" spans="1:10" ht="15" x14ac:dyDescent="0.4">
      <c r="A71" s="40"/>
      <c r="B71" s="43" t="str">
        <f t="shared" si="3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4"/>
        <v>0</v>
      </c>
      <c r="J71" t="str">
        <f t="shared" si="5"/>
        <v/>
      </c>
    </row>
    <row r="72" spans="1:10" ht="15" x14ac:dyDescent="0.4">
      <c r="A72" s="40"/>
      <c r="B72" s="43" t="str">
        <f t="shared" si="3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4"/>
        <v>0</v>
      </c>
      <c r="J72" t="str">
        <f t="shared" si="5"/>
        <v/>
      </c>
    </row>
    <row r="73" spans="1:10" ht="15" x14ac:dyDescent="0.4">
      <c r="A73" s="40"/>
      <c r="B73" s="43" t="str">
        <f t="shared" si="3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4"/>
        <v>0</v>
      </c>
      <c r="J73" t="str">
        <f t="shared" si="5"/>
        <v/>
      </c>
    </row>
    <row r="74" spans="1:10" ht="15" x14ac:dyDescent="0.4">
      <c r="A74" s="40"/>
      <c r="B74" s="43" t="str">
        <f t="shared" si="3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4"/>
        <v>0</v>
      </c>
      <c r="J74" t="str">
        <f t="shared" si="5"/>
        <v/>
      </c>
    </row>
    <row r="75" spans="1:10" ht="15" x14ac:dyDescent="0.4">
      <c r="A75" s="40"/>
      <c r="B75" s="43" t="str">
        <f t="shared" si="3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4"/>
        <v>0</v>
      </c>
      <c r="J75" t="str">
        <f t="shared" si="5"/>
        <v/>
      </c>
    </row>
    <row r="76" spans="1:10" ht="15" x14ac:dyDescent="0.4">
      <c r="A76" s="40"/>
      <c r="B76" s="43" t="str">
        <f t="shared" si="3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4"/>
        <v>0</v>
      </c>
      <c r="J76" t="str">
        <f t="shared" si="5"/>
        <v/>
      </c>
    </row>
    <row r="77" spans="1:10" ht="15" x14ac:dyDescent="0.4">
      <c r="A77" s="40"/>
      <c r="B77" s="43" t="str">
        <f t="shared" si="3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4"/>
        <v>0</v>
      </c>
      <c r="J77" t="str">
        <f t="shared" si="5"/>
        <v/>
      </c>
    </row>
    <row r="78" spans="1:10" ht="15" x14ac:dyDescent="0.4">
      <c r="A78" s="40"/>
      <c r="B78" s="43" t="str">
        <f t="shared" si="3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4"/>
        <v>0</v>
      </c>
      <c r="J78" t="str">
        <f t="shared" si="5"/>
        <v/>
      </c>
    </row>
    <row r="79" spans="1:10" ht="15" x14ac:dyDescent="0.4">
      <c r="A79" s="40"/>
      <c r="B79" s="43" t="str">
        <f t="shared" si="3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4"/>
        <v>0</v>
      </c>
      <c r="J79" t="str">
        <f t="shared" si="5"/>
        <v/>
      </c>
    </row>
    <row r="80" spans="1:10" ht="15" x14ac:dyDescent="0.4">
      <c r="A80" s="40"/>
      <c r="B80" s="43" t="str">
        <f t="shared" si="3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4"/>
        <v>0</v>
      </c>
      <c r="J80" t="str">
        <f t="shared" si="5"/>
        <v/>
      </c>
    </row>
    <row r="81" spans="1:10" ht="15" x14ac:dyDescent="0.4">
      <c r="A81" s="40"/>
      <c r="B81" s="43" t="str">
        <f t="shared" si="3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4"/>
        <v>0</v>
      </c>
      <c r="J81" t="str">
        <f t="shared" si="5"/>
        <v/>
      </c>
    </row>
    <row r="82" spans="1:10" ht="15" x14ac:dyDescent="0.4">
      <c r="A82" s="40"/>
      <c r="B82" s="43" t="str">
        <f t="shared" si="3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4"/>
        <v>0</v>
      </c>
      <c r="J82" t="str">
        <f t="shared" si="5"/>
        <v/>
      </c>
    </row>
    <row r="83" spans="1:10" ht="15" x14ac:dyDescent="0.4">
      <c r="A83" s="40"/>
      <c r="B83" s="43" t="str">
        <f t="shared" si="3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4"/>
        <v>0</v>
      </c>
      <c r="J83" t="str">
        <f t="shared" si="5"/>
        <v/>
      </c>
    </row>
    <row r="84" spans="1:10" ht="15" x14ac:dyDescent="0.4">
      <c r="A84" s="40"/>
      <c r="B84" s="43" t="str">
        <f t="shared" si="3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4"/>
        <v>0</v>
      </c>
      <c r="J84" t="str">
        <f t="shared" si="5"/>
        <v/>
      </c>
    </row>
    <row r="85" spans="1:10" ht="15" x14ac:dyDescent="0.4">
      <c r="A85" s="40"/>
      <c r="B85" s="43" t="str">
        <f t="shared" si="3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4"/>
        <v>0</v>
      </c>
      <c r="J85" t="str">
        <f t="shared" si="5"/>
        <v/>
      </c>
    </row>
    <row r="86" spans="1:10" ht="15" x14ac:dyDescent="0.4">
      <c r="A86" s="40"/>
      <c r="B86" s="43" t="str">
        <f t="shared" si="3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4"/>
        <v>0</v>
      </c>
      <c r="J86" t="str">
        <f t="shared" si="5"/>
        <v/>
      </c>
    </row>
    <row r="87" spans="1:10" ht="15" x14ac:dyDescent="0.4">
      <c r="A87" s="40"/>
      <c r="B87" s="43" t="str">
        <f t="shared" si="3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4"/>
        <v>0</v>
      </c>
      <c r="J87" t="str">
        <f t="shared" si="5"/>
        <v/>
      </c>
    </row>
    <row r="88" spans="1:10" ht="15" x14ac:dyDescent="0.4">
      <c r="A88" s="40"/>
      <c r="B88" s="43" t="str">
        <f t="shared" si="3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4"/>
        <v>0</v>
      </c>
      <c r="J88" t="str">
        <f t="shared" si="5"/>
        <v/>
      </c>
    </row>
    <row r="89" spans="1:10" ht="15" x14ac:dyDescent="0.4">
      <c r="A89" s="40"/>
      <c r="B89" s="43" t="str">
        <f t="shared" si="3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4"/>
        <v>0</v>
      </c>
      <c r="J89" t="str">
        <f t="shared" si="5"/>
        <v/>
      </c>
    </row>
    <row r="90" spans="1:10" ht="15" x14ac:dyDescent="0.4">
      <c r="A90" s="40"/>
      <c r="B90" s="43" t="str">
        <f t="shared" si="3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4"/>
        <v>0</v>
      </c>
      <c r="J90" t="str">
        <f t="shared" si="5"/>
        <v/>
      </c>
    </row>
    <row r="91" spans="1:10" ht="15" x14ac:dyDescent="0.4">
      <c r="A91" s="40"/>
      <c r="B91" s="43" t="str">
        <f t="shared" si="3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4"/>
        <v>0</v>
      </c>
      <c r="J91" t="str">
        <f t="shared" si="5"/>
        <v/>
      </c>
    </row>
    <row r="92" spans="1:10" ht="15" x14ac:dyDescent="0.4">
      <c r="A92" s="40"/>
      <c r="B92" s="43" t="str">
        <f t="shared" si="3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4"/>
        <v>0</v>
      </c>
      <c r="J92" t="str">
        <f t="shared" si="5"/>
        <v/>
      </c>
    </row>
    <row r="93" spans="1:10" ht="15" x14ac:dyDescent="0.4">
      <c r="A93" s="40"/>
      <c r="B93" s="43" t="str">
        <f t="shared" si="3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4"/>
        <v>0</v>
      </c>
      <c r="J93" t="str">
        <f t="shared" si="5"/>
        <v/>
      </c>
    </row>
    <row r="94" spans="1:10" ht="15" x14ac:dyDescent="0.4">
      <c r="A94" s="40"/>
      <c r="B94" s="43" t="str">
        <f t="shared" si="3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4"/>
        <v>0</v>
      </c>
      <c r="J94" t="str">
        <f t="shared" si="5"/>
        <v/>
      </c>
    </row>
    <row r="95" spans="1:10" ht="15" x14ac:dyDescent="0.4">
      <c r="A95" s="40"/>
      <c r="B95" s="43" t="str">
        <f t="shared" si="3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4"/>
        <v>0</v>
      </c>
      <c r="J95" t="str">
        <f t="shared" si="5"/>
        <v/>
      </c>
    </row>
    <row r="96" spans="1:10" ht="15" x14ac:dyDescent="0.4">
      <c r="A96" s="40"/>
      <c r="B96" s="43" t="str">
        <f t="shared" si="3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4"/>
        <v>0</v>
      </c>
      <c r="J96" t="str">
        <f t="shared" si="5"/>
        <v/>
      </c>
    </row>
    <row r="97" spans="1:10" ht="15" x14ac:dyDescent="0.4">
      <c r="A97" s="40"/>
      <c r="B97" s="43" t="str">
        <f t="shared" si="3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4"/>
        <v>0</v>
      </c>
      <c r="J97" t="str">
        <f t="shared" si="5"/>
        <v/>
      </c>
    </row>
    <row r="98" spans="1:10" ht="15" x14ac:dyDescent="0.4">
      <c r="A98" s="40"/>
      <c r="B98" s="43" t="str">
        <f t="shared" ref="B98:B101" si="6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4"/>
        <v>0</v>
      </c>
      <c r="J98" t="str">
        <f t="shared" si="5"/>
        <v/>
      </c>
    </row>
    <row r="99" spans="1:10" ht="15" x14ac:dyDescent="0.4">
      <c r="A99" s="40"/>
      <c r="B99" s="43" t="str">
        <f t="shared" si="6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4"/>
        <v>0</v>
      </c>
      <c r="J99" t="str">
        <f t="shared" si="5"/>
        <v/>
      </c>
    </row>
    <row r="100" spans="1:10" ht="15" x14ac:dyDescent="0.4">
      <c r="A100" s="40"/>
      <c r="B100" s="43" t="str">
        <f t="shared" si="6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4"/>
        <v>0</v>
      </c>
      <c r="J100" t="str">
        <f t="shared" si="5"/>
        <v/>
      </c>
    </row>
    <row r="101" spans="1:10" ht="15" x14ac:dyDescent="0.4">
      <c r="A101" s="40"/>
      <c r="B101" s="43" t="str">
        <f t="shared" si="6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4"/>
        <v>0</v>
      </c>
      <c r="J101" t="str">
        <f t="shared" si="5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S11" sqref="S11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f t="shared" ref="B2:B33" si="0">IF(A2="","",_xlfn.XLOOKUP(A2,ClubNames,ClubNumbers,_xlfn.XLOOKUP(A2,RoundRobinRiderNames,RoundRobinRiderDecoratedNames,A2)))</f>
        <v>558</v>
      </c>
      <c r="C2" s="17"/>
      <c r="D2" s="17">
        <v>40</v>
      </c>
      <c r="E2" s="17">
        <v>54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2.8402777777777777E-2</v>
      </c>
      <c r="J2" t="str">
        <f>IF(OR(B2="",ISNUMBER(B2)),"","X")</f>
        <v/>
      </c>
    </row>
    <row r="3" spans="1:10" ht="15" x14ac:dyDescent="0.4">
      <c r="A3" s="40" t="s">
        <v>458</v>
      </c>
      <c r="B3" s="41">
        <f t="shared" si="0"/>
        <v>1298</v>
      </c>
      <c r="C3" s="17"/>
      <c r="D3" s="17">
        <v>34</v>
      </c>
      <c r="E3" s="17">
        <v>46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Jane Moore</v>
      </c>
      <c r="I3" s="20">
        <f t="shared" ref="I3:I66" si="1">IF(LEFT($F3,1)="D",UPPER($F3),(C3*3600+D3*60+E3)/86400)</f>
        <v>2.4143518518518519E-2</v>
      </c>
      <c r="J3" t="str">
        <f t="shared" ref="J3:J66" si="2">IF(OR(B3="",ISNUMBER(B3)),"","X")</f>
        <v/>
      </c>
    </row>
    <row r="4" spans="1:10" ht="15" x14ac:dyDescent="0.4">
      <c r="A4" s="40" t="s">
        <v>106</v>
      </c>
      <c r="B4" s="41" t="str">
        <f t="shared" si="0"/>
        <v>Mark Newton (Ratae)</v>
      </c>
      <c r="C4" s="17"/>
      <c r="D4" s="17">
        <v>30</v>
      </c>
      <c r="E4" s="17">
        <v>18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Mark Newton (Ratae)</v>
      </c>
      <c r="I4" s="20">
        <f t="shared" si="1"/>
        <v>2.1041666666666667E-2</v>
      </c>
      <c r="J4" t="str">
        <f t="shared" si="2"/>
        <v>X</v>
      </c>
    </row>
    <row r="5" spans="1:10" ht="15" x14ac:dyDescent="0.4">
      <c r="A5" s="40" t="s">
        <v>526</v>
      </c>
      <c r="B5" s="41">
        <f t="shared" si="0"/>
        <v>990</v>
      </c>
      <c r="C5" s="17"/>
      <c r="D5" s="17">
        <v>37</v>
      </c>
      <c r="E5" s="17">
        <v>24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1"/>
        <v>2.5972222222222223E-2</v>
      </c>
      <c r="J5" t="str">
        <f t="shared" si="2"/>
        <v/>
      </c>
    </row>
    <row r="6" spans="1:10" ht="15" x14ac:dyDescent="0.4">
      <c r="A6" s="40" t="s">
        <v>497</v>
      </c>
      <c r="B6" s="41">
        <f t="shared" si="0"/>
        <v>407</v>
      </c>
      <c r="C6" s="17"/>
      <c r="D6" s="17">
        <v>24</v>
      </c>
      <c r="E6" s="17">
        <v>55</v>
      </c>
      <c r="F6" s="17"/>
      <c r="G6" s="17"/>
      <c r="H6" s="19" t="str">
        <f>IF($B6="","",IF($J6="X",B6,CONCATENATE(VLOOKUP(B6,Competitors!$A$2:$I$650,3, FALSE)," ",VLOOKUP(B6,Competitors!$A$2:$I$650,2,FALSE))))</f>
        <v>Hans van Nierop</v>
      </c>
      <c r="I6" s="20">
        <f t="shared" si="1"/>
        <v>1.7303240740740741E-2</v>
      </c>
      <c r="J6" t="str">
        <f t="shared" si="2"/>
        <v/>
      </c>
    </row>
    <row r="7" spans="1:10" ht="15" x14ac:dyDescent="0.4">
      <c r="A7" s="40" t="s">
        <v>101</v>
      </c>
      <c r="B7" s="41" t="str">
        <f t="shared" si="0"/>
        <v>Brian Lincoln (Ratae)</v>
      </c>
      <c r="C7" s="17"/>
      <c r="D7" s="17">
        <v>35</v>
      </c>
      <c r="E7" s="17">
        <v>55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Brian Lincoln (Ratae)</v>
      </c>
      <c r="I7" s="20">
        <f t="shared" si="1"/>
        <v>2.494212962962963E-2</v>
      </c>
      <c r="J7" t="str">
        <f t="shared" si="2"/>
        <v>X</v>
      </c>
    </row>
    <row r="8" spans="1:10" ht="15" x14ac:dyDescent="0.4">
      <c r="A8" s="40" t="s">
        <v>102</v>
      </c>
      <c r="B8" s="41" t="str">
        <f t="shared" si="0"/>
        <v>Chris Bonsor (Ratae)</v>
      </c>
      <c r="C8" s="17"/>
      <c r="D8" s="17">
        <v>28</v>
      </c>
      <c r="E8" s="17">
        <v>31</v>
      </c>
      <c r="F8" s="17"/>
      <c r="G8" s="17"/>
      <c r="H8" s="19" t="str">
        <f>IF($B8="","",IF($J8="X",B8,CONCATENATE(VLOOKUP(B8,Competitors!$A$2:$I$650,3, FALSE)," ",VLOOKUP(B8,Competitors!$A$2:$I$650,2,FALSE))))</f>
        <v>Chris Bonsor (Ratae)</v>
      </c>
      <c r="I8" s="20">
        <f t="shared" si="1"/>
        <v>1.9803240740740739E-2</v>
      </c>
      <c r="J8" t="str">
        <f t="shared" si="2"/>
        <v>X</v>
      </c>
    </row>
    <row r="9" spans="1:10" ht="15" x14ac:dyDescent="0.4">
      <c r="A9" s="40" t="s">
        <v>107</v>
      </c>
      <c r="B9" s="41" t="str">
        <f t="shared" si="0"/>
        <v>Marshall Briggs (Ratae)</v>
      </c>
      <c r="C9" s="17"/>
      <c r="D9" s="17">
        <v>29</v>
      </c>
      <c r="E9" s="17">
        <v>58</v>
      </c>
      <c r="F9" s="17"/>
      <c r="G9" s="17"/>
      <c r="H9" s="19" t="str">
        <f>IF($B9="","",IF($J9="X",B9,CONCATENATE(VLOOKUP(B9,Competitors!$A$2:$I$650,3, FALSE)," ",VLOOKUP(B9,Competitors!$A$2:$I$650,2,FALSE))))</f>
        <v>Marshall Briggs (Ratae)</v>
      </c>
      <c r="I9" s="20">
        <f t="shared" si="1"/>
        <v>2.0810185185185185E-2</v>
      </c>
      <c r="J9" t="str">
        <f t="shared" si="2"/>
        <v>X</v>
      </c>
    </row>
    <row r="10" spans="1:10" ht="15" x14ac:dyDescent="0.4">
      <c r="A10" s="40" t="s">
        <v>460</v>
      </c>
      <c r="B10" s="41">
        <f t="shared" si="0"/>
        <v>1355</v>
      </c>
      <c r="C10" s="17"/>
      <c r="D10" s="17">
        <v>27</v>
      </c>
      <c r="E10" s="17">
        <v>16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1.8935185185185187E-2</v>
      </c>
      <c r="J10" t="str">
        <f t="shared" si="2"/>
        <v/>
      </c>
    </row>
    <row r="11" spans="1:10" ht="15" x14ac:dyDescent="0.4">
      <c r="A11" s="40" t="s">
        <v>459</v>
      </c>
      <c r="B11" s="41">
        <f t="shared" si="0"/>
        <v>35</v>
      </c>
      <c r="C11" s="17"/>
      <c r="D11" s="17">
        <v>27</v>
      </c>
      <c r="E11" s="17">
        <v>53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1"/>
        <v>1.9363425925925926E-2</v>
      </c>
      <c r="J11" t="str">
        <f t="shared" si="2"/>
        <v/>
      </c>
    </row>
    <row r="12" spans="1:10" ht="15" x14ac:dyDescent="0.4">
      <c r="A12" s="40" t="s">
        <v>457</v>
      </c>
      <c r="B12" s="41">
        <f>IF(A12="","",_xlfn.XLOOKUP(A12,ClubNames,ClubNumbers,_xlfn.XLOOKUP(A12,RoundRobinRiderNames,RoundRobinRiderDecoratedNames,A12)))</f>
        <v>1194</v>
      </c>
      <c r="C12" s="17"/>
      <c r="D12" s="17">
        <v>32</v>
      </c>
      <c r="E12" s="17">
        <v>56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Alex Hardwicke</v>
      </c>
      <c r="I12" s="20">
        <f t="shared" si="1"/>
        <v>2.2870370370370371E-2</v>
      </c>
      <c r="J12" t="str">
        <f t="shared" si="2"/>
        <v/>
      </c>
    </row>
    <row r="13" spans="1:10" ht="15" x14ac:dyDescent="0.4">
      <c r="A13" s="40" t="s">
        <v>480</v>
      </c>
      <c r="B13" s="41">
        <f t="shared" si="0"/>
        <v>1152</v>
      </c>
      <c r="C13" s="17"/>
      <c r="D13" s="17">
        <v>26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Ruby Isaac</v>
      </c>
      <c r="I13" s="20">
        <f t="shared" si="1"/>
        <v>1.8449074074074073E-2</v>
      </c>
      <c r="J13" t="str">
        <f t="shared" si="2"/>
        <v/>
      </c>
    </row>
    <row r="14" spans="1:10" ht="15" x14ac:dyDescent="0.4">
      <c r="A14" s="40" t="s">
        <v>500</v>
      </c>
      <c r="B14" s="41">
        <f t="shared" si="0"/>
        <v>915</v>
      </c>
      <c r="C14" s="17"/>
      <c r="D14" s="17">
        <v>28</v>
      </c>
      <c r="E14" s="17">
        <v>18</v>
      </c>
      <c r="F14" s="17"/>
      <c r="G14" s="17"/>
      <c r="H14" s="19" t="str">
        <f>IF($B14="","",IF($J14="X",B14,CONCATENATE(VLOOKUP(B14,Competitors!$A$2:$I$650,3, FALSE)," ",VLOOKUP(B14,Competitors!$A$2:$I$650,2,FALSE))))</f>
        <v>Julian Twynham</v>
      </c>
      <c r="I14" s="20">
        <f t="shared" si="1"/>
        <v>1.9652777777777779E-2</v>
      </c>
      <c r="J14" t="str">
        <f t="shared" si="2"/>
        <v/>
      </c>
    </row>
    <row r="15" spans="1:10" ht="15" x14ac:dyDescent="0.4">
      <c r="A15" s="40" t="s">
        <v>463</v>
      </c>
      <c r="B15" s="41">
        <f t="shared" si="0"/>
        <v>1107</v>
      </c>
      <c r="C15" s="17"/>
      <c r="D15" s="17">
        <v>29</v>
      </c>
      <c r="E15" s="17">
        <v>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Milly Pinnock</v>
      </c>
      <c r="I15" s="20">
        <f t="shared" si="1"/>
        <v>2.0231481481481482E-2</v>
      </c>
      <c r="J15" t="str">
        <f t="shared" si="2"/>
        <v/>
      </c>
    </row>
    <row r="16" spans="1:10" ht="15" x14ac:dyDescent="0.4">
      <c r="A16" s="40" t="s">
        <v>528</v>
      </c>
      <c r="B16" s="41" t="str">
        <f t="shared" si="0"/>
        <v>Laura Davison</v>
      </c>
      <c r="C16" s="17"/>
      <c r="D16" s="17">
        <v>31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Laura Davison</v>
      </c>
      <c r="I16" s="20">
        <f t="shared" si="1"/>
        <v>2.1817129629629631E-2</v>
      </c>
      <c r="J16" t="str">
        <f t="shared" si="2"/>
        <v>X</v>
      </c>
    </row>
    <row r="17" spans="1:10" ht="15" x14ac:dyDescent="0.4">
      <c r="A17" s="40" t="s">
        <v>482</v>
      </c>
      <c r="B17" s="41">
        <f t="shared" si="0"/>
        <v>1193</v>
      </c>
      <c r="C17" s="17"/>
      <c r="D17" s="17">
        <v>30</v>
      </c>
      <c r="E17" s="17">
        <v>48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Richard Hardwicke</v>
      </c>
      <c r="I17" s="20">
        <f t="shared" si="1"/>
        <v>2.1388888888888888E-2</v>
      </c>
      <c r="J17" t="str">
        <f t="shared" si="2"/>
        <v/>
      </c>
    </row>
    <row r="18" spans="1:10" ht="15" x14ac:dyDescent="0.4">
      <c r="A18" s="40" t="s">
        <v>108</v>
      </c>
      <c r="B18" s="41" t="str">
        <f t="shared" si="0"/>
        <v>Paul Eden (Ratae)</v>
      </c>
      <c r="C18" s="17"/>
      <c r="D18" s="17">
        <v>35</v>
      </c>
      <c r="E18" s="17">
        <v>30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Paul Eden (Ratae)</v>
      </c>
      <c r="I18" s="20">
        <f t="shared" si="1"/>
        <v>2.4652777777777777E-2</v>
      </c>
      <c r="J18" t="str">
        <f t="shared" si="2"/>
        <v>X</v>
      </c>
    </row>
    <row r="19" spans="1:10" ht="15" x14ac:dyDescent="0.4">
      <c r="A19" s="40" t="s">
        <v>475</v>
      </c>
      <c r="B19" s="41">
        <f t="shared" si="0"/>
        <v>245</v>
      </c>
      <c r="C19" s="17"/>
      <c r="D19" s="17">
        <v>30</v>
      </c>
      <c r="E19" s="17">
        <v>41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David Reay</v>
      </c>
      <c r="I19" s="20">
        <f t="shared" si="1"/>
        <v>2.1307870370370369E-2</v>
      </c>
      <c r="J19" t="str">
        <f t="shared" si="2"/>
        <v/>
      </c>
    </row>
    <row r="20" spans="1:10" ht="15" x14ac:dyDescent="0.4">
      <c r="A20" s="40" t="s">
        <v>481</v>
      </c>
      <c r="B20" s="41">
        <f t="shared" si="0"/>
        <v>1112</v>
      </c>
      <c r="C20" s="17"/>
      <c r="D20" s="17">
        <v>29</v>
      </c>
      <c r="E20" s="17">
        <v>29</v>
      </c>
      <c r="F20" s="17"/>
      <c r="G20" s="17"/>
      <c r="H20" s="19" t="str">
        <f>IF($B20="","",IF($J20="X",B20,CONCATENATE(VLOOKUP(B20,Competitors!$A$2:$I$650,3, FALSE)," ",VLOOKUP(B20,Competitors!$A$2:$I$650,2,FALSE))))</f>
        <v>Gary Ashwell</v>
      </c>
      <c r="I20" s="20">
        <f t="shared" si="1"/>
        <v>2.0474537037037038E-2</v>
      </c>
      <c r="J20" t="str">
        <f t="shared" si="2"/>
        <v/>
      </c>
    </row>
    <row r="21" spans="1:10" ht="15" x14ac:dyDescent="0.4">
      <c r="A21" s="40" t="s">
        <v>499</v>
      </c>
      <c r="B21" s="41">
        <f t="shared" si="0"/>
        <v>415</v>
      </c>
      <c r="C21" s="17"/>
      <c r="D21" s="17">
        <v>27</v>
      </c>
      <c r="E21" s="17">
        <v>26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Nik Kershaw</v>
      </c>
      <c r="I21" s="20">
        <f t="shared" si="1"/>
        <v>1.9050925925925926E-2</v>
      </c>
      <c r="J21" t="str">
        <f t="shared" si="2"/>
        <v/>
      </c>
    </row>
    <row r="22" spans="1:10" ht="15" x14ac:dyDescent="0.4">
      <c r="A22" s="40" t="s">
        <v>498</v>
      </c>
      <c r="B22" s="41">
        <f t="shared" si="0"/>
        <v>1192</v>
      </c>
      <c r="C22" s="17"/>
      <c r="D22" s="17">
        <v>28</v>
      </c>
      <c r="E22" s="17">
        <v>43</v>
      </c>
      <c r="F22" s="17" t="s">
        <v>473</v>
      </c>
      <c r="G22" s="17"/>
      <c r="H22" s="19" t="str">
        <f>IF($B22="","",IF($J22="X",B22,CONCATENATE(VLOOKUP(B22,Competitors!$A$2:$I$650,3, FALSE)," ",VLOOKUP(B22,Competitors!$A$2:$I$650,2,FALSE))))</f>
        <v>Dale Norris</v>
      </c>
      <c r="I22" s="20">
        <f t="shared" si="1"/>
        <v>1.9942129629629629E-2</v>
      </c>
      <c r="J22" t="str">
        <f t="shared" si="2"/>
        <v/>
      </c>
    </row>
    <row r="23" spans="1:10" ht="15" x14ac:dyDescent="0.4">
      <c r="A23" s="40" t="s">
        <v>467</v>
      </c>
      <c r="B23" s="41">
        <f t="shared" si="0"/>
        <v>704</v>
      </c>
      <c r="C23" s="17"/>
      <c r="D23" s="17">
        <v>31</v>
      </c>
      <c r="E23" s="17">
        <v>58</v>
      </c>
      <c r="F23" s="17"/>
      <c r="G23" s="17"/>
      <c r="H23" s="19" t="str">
        <f>IF($B23="","",IF($J23="X",B23,CONCATENATE(VLOOKUP(B23,Competitors!$A$2:$I$650,3, FALSE)," ",VLOOKUP(B23,Competitors!$A$2:$I$650,2,FALSE))))</f>
        <v>Chris Dainty</v>
      </c>
      <c r="I23" s="20">
        <f t="shared" si="1"/>
        <v>2.2199074074074072E-2</v>
      </c>
      <c r="J23" t="str">
        <f t="shared" si="2"/>
        <v/>
      </c>
    </row>
    <row r="24" spans="1:10" ht="15" x14ac:dyDescent="0.4">
      <c r="A24" s="40" t="s">
        <v>461</v>
      </c>
      <c r="B24" s="41">
        <f t="shared" si="0"/>
        <v>1407</v>
      </c>
      <c r="C24" s="17"/>
      <c r="D24" s="17">
        <v>28</v>
      </c>
      <c r="E24" s="17">
        <v>15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Colin Dobson</v>
      </c>
      <c r="I24" s="20">
        <f t="shared" si="1"/>
        <v>1.9618055555555555E-2</v>
      </c>
      <c r="J24" t="str">
        <f t="shared" si="2"/>
        <v/>
      </c>
    </row>
    <row r="25" spans="1:10" ht="15" x14ac:dyDescent="0.4">
      <c r="A25" s="40" t="s">
        <v>527</v>
      </c>
      <c r="B25" s="41">
        <f t="shared" si="0"/>
        <v>203</v>
      </c>
      <c r="C25" s="17"/>
      <c r="D25" s="17">
        <v>32</v>
      </c>
      <c r="E25" s="17">
        <v>33</v>
      </c>
      <c r="F25" s="17"/>
      <c r="G25" s="17"/>
      <c r="H25" s="19" t="str">
        <f>IF($B25="","",IF($J25="X",B25,CONCATENATE(VLOOKUP(B25,Competitors!$A$2:$I$650,3, FALSE)," ",VLOOKUP(B25,Competitors!$A$2:$I$650,2,FALSE))))</f>
        <v>Adrian Killworth</v>
      </c>
      <c r="I25" s="20">
        <f t="shared" si="1"/>
        <v>2.2604166666666668E-2</v>
      </c>
      <c r="J25" t="str">
        <f t="shared" si="2"/>
        <v/>
      </c>
    </row>
    <row r="26" spans="1:10" ht="15" x14ac:dyDescent="0.4">
      <c r="A26" s="40" t="s">
        <v>471</v>
      </c>
      <c r="B26" s="41">
        <f t="shared" si="0"/>
        <v>1161</v>
      </c>
      <c r="C26" s="17"/>
      <c r="D26" s="17">
        <v>26</v>
      </c>
      <c r="E26" s="17">
        <v>29</v>
      </c>
      <c r="F26" s="17"/>
      <c r="G26" s="17"/>
      <c r="H26" s="19" t="str">
        <f>IF($B26="","",IF($J26="X",B26,CONCATENATE(VLOOKUP(B26,Competitors!$A$2:$I$650,3, FALSE)," ",VLOOKUP(B26,Competitors!$A$2:$I$650,2,FALSE))))</f>
        <v>Maciej Suchocki</v>
      </c>
      <c r="I26" s="20">
        <f t="shared" si="1"/>
        <v>1.8391203703703705E-2</v>
      </c>
      <c r="J26" t="str">
        <f t="shared" si="2"/>
        <v/>
      </c>
    </row>
    <row r="27" spans="1:10" ht="15" x14ac:dyDescent="0.4">
      <c r="A27" s="40" t="s">
        <v>510</v>
      </c>
      <c r="B27" s="41">
        <f t="shared" si="0"/>
        <v>1109</v>
      </c>
      <c r="C27" s="17"/>
      <c r="D27" s="17">
        <v>29</v>
      </c>
      <c r="E27" s="17">
        <v>43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Haycox</v>
      </c>
      <c r="I27" s="20">
        <f t="shared" si="1"/>
        <v>2.0636574074074075E-2</v>
      </c>
      <c r="J27" t="str">
        <f t="shared" si="2"/>
        <v/>
      </c>
    </row>
    <row r="28" spans="1:10" ht="15" x14ac:dyDescent="0.4">
      <c r="A28" s="40" t="s">
        <v>490</v>
      </c>
      <c r="B28" s="41">
        <f t="shared" si="0"/>
        <v>699</v>
      </c>
      <c r="C28" s="17"/>
      <c r="D28" s="17">
        <v>27</v>
      </c>
      <c r="E28" s="17">
        <v>22</v>
      </c>
      <c r="F28" s="17"/>
      <c r="G28" s="17"/>
      <c r="H28" s="19" t="str">
        <f>IF($B28="","",IF($J28="X",B28,CONCATENATE(VLOOKUP(B28,Competitors!$A$2:$I$650,3, FALSE)," ",VLOOKUP(B28,Competitors!$A$2:$I$650,2,FALSE))))</f>
        <v>Jonathan Durnin</v>
      </c>
      <c r="I28" s="20">
        <f t="shared" si="1"/>
        <v>1.9004629629629628E-2</v>
      </c>
      <c r="J28" t="str">
        <f t="shared" si="2"/>
        <v/>
      </c>
    </row>
    <row r="29" spans="1:10" ht="15" x14ac:dyDescent="0.4">
      <c r="A29" s="40" t="s">
        <v>502</v>
      </c>
      <c r="B29" s="41">
        <f t="shared" si="0"/>
        <v>846</v>
      </c>
      <c r="C29" s="17"/>
      <c r="D29" s="17">
        <v>28</v>
      </c>
      <c r="E29" s="17">
        <v>17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1"/>
        <v>1.9641203703703702E-2</v>
      </c>
      <c r="J29" t="str">
        <f t="shared" si="2"/>
        <v/>
      </c>
    </row>
    <row r="30" spans="1:10" ht="15" x14ac:dyDescent="0.4">
      <c r="A30" s="40" t="s">
        <v>501</v>
      </c>
      <c r="B30" s="41">
        <f t="shared" si="0"/>
        <v>1237</v>
      </c>
      <c r="C30" s="17"/>
      <c r="D30" s="17">
        <v>28</v>
      </c>
      <c r="E30" s="17">
        <v>45</v>
      </c>
      <c r="F30" s="17" t="s">
        <v>473</v>
      </c>
      <c r="G30" s="17"/>
      <c r="H30" s="19" t="str">
        <f>IF($B30="","",IF($J30="X",B30,CONCATENATE(VLOOKUP(B30,Competitors!$A$2:$I$650,3, FALSE)," ",VLOOKUP(B30,Competitors!$A$2:$I$650,2,FALSE))))</f>
        <v>John Abbott</v>
      </c>
      <c r="I30" s="20">
        <f t="shared" si="1"/>
        <v>1.9965277777777776E-2</v>
      </c>
      <c r="J30" t="str">
        <f t="shared" si="2"/>
        <v/>
      </c>
    </row>
    <row r="31" spans="1:10" ht="15" x14ac:dyDescent="0.4">
      <c r="A31" s="40" t="s">
        <v>118</v>
      </c>
      <c r="B31" s="41" t="str">
        <f t="shared" si="0"/>
        <v>Phil Wilkinson (RFW)</v>
      </c>
      <c r="C31" s="17"/>
      <c r="D31" s="17">
        <v>27</v>
      </c>
      <c r="E31" s="17">
        <v>2</v>
      </c>
      <c r="F31" s="17"/>
      <c r="G31" s="17"/>
      <c r="H31" s="19" t="str">
        <f>IF($B31="","",IF($J31="X",B31,CONCATENATE(VLOOKUP(B31,Competitors!$A$2:$I$650,3, FALSE)," ",VLOOKUP(B31,Competitors!$A$2:$I$650,2,FALSE))))</f>
        <v>Phil Wilkinson (RFW)</v>
      </c>
      <c r="I31" s="20">
        <f t="shared" si="1"/>
        <v>1.8773148148148146E-2</v>
      </c>
      <c r="J31" t="str">
        <f t="shared" si="2"/>
        <v>X</v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tabSelected="1" zoomScaleNormal="100" workbookViewId="0">
      <selection activeCell="G25" sqref="G25"/>
    </sheetView>
  </sheetViews>
  <sheetFormatPr defaultColWidth="9.1328125" defaultRowHeight="12.75" x14ac:dyDescent="0.35"/>
  <cols>
    <col min="1" max="1" width="20.3984375" bestFit="1" customWidth="1"/>
    <col min="2" max="2" width="38.1328125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458</v>
      </c>
      <c r="B2" s="41">
        <f t="shared" ref="B2:B33" si="0">IF(A2="","",_xlfn.XLOOKUP(A2,ClubNames,ClubNumbers,_xlfn.XLOOKUP(A2,RoundRobinRiderNames,RoundRobinRiderDecoratedNames,A2)))</f>
        <v>1298</v>
      </c>
      <c r="C2" s="17"/>
      <c r="D2" s="17"/>
      <c r="E2" s="17"/>
      <c r="F2" s="17" t="s">
        <v>473</v>
      </c>
      <c r="G2" s="17" t="s">
        <v>474</v>
      </c>
      <c r="H2" s="19" t="str">
        <f>IF($B2="","",IF($J2="X",B2,CONCATENATE(VLOOKUP(B2,Competitors!$A$2:$I$650,3, FALSE)," ",VLOOKUP(B2,Competitors!$A$2:$I$650,2,FALSE))))</f>
        <v>Jane Moore</v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 t="s">
        <v>496</v>
      </c>
      <c r="B3" s="41">
        <f t="shared" si="0"/>
        <v>23</v>
      </c>
      <c r="C3" s="17">
        <v>1</v>
      </c>
      <c r="D3" s="17">
        <v>12</v>
      </c>
      <c r="E3" s="17">
        <v>2</v>
      </c>
      <c r="F3" s="17"/>
      <c r="G3" s="17"/>
      <c r="H3" s="19" t="str">
        <f>IF($B3="","",IF($J3="X",B3,CONCATENATE(VLOOKUP(B3,Competitors!$A$2:$I$650,3, FALSE)," ",VLOOKUP(B3,Competitors!$A$2:$I$650,2,FALSE))))</f>
        <v>Chris Hyde</v>
      </c>
      <c r="I3" s="20">
        <f t="shared" ref="I3:I66" si="1">IF(LEFT($F3,1)="D",UPPER($F3),(C3*3600+D3*60+E3)/86400)</f>
        <v>5.002314814814815E-2</v>
      </c>
      <c r="J3" t="str">
        <f t="shared" ref="J3:J66" si="2">IF(OR(B3="",ISNUMBER(B3)),"","X")</f>
        <v/>
      </c>
    </row>
    <row r="4" spans="1:10" ht="15" x14ac:dyDescent="0.4">
      <c r="A4" s="40" t="s">
        <v>478</v>
      </c>
      <c r="B4" s="41">
        <f t="shared" si="0"/>
        <v>1404</v>
      </c>
      <c r="C4" s="17">
        <v>1</v>
      </c>
      <c r="D4" s="17">
        <v>23</v>
      </c>
      <c r="E4" s="17">
        <v>47</v>
      </c>
      <c r="F4" s="17"/>
      <c r="G4" s="17"/>
      <c r="H4" s="19" t="str">
        <f>IF($B4="","",IF($J4="X",B4,CONCATENATE(VLOOKUP(B4,Competitors!$A$2:$I$650,3, FALSE)," ",VLOOKUP(B4,Competitors!$A$2:$I$650,2,FALSE))))</f>
        <v>Millie Lenehan</v>
      </c>
      <c r="I4" s="20">
        <f t="shared" si="1"/>
        <v>5.8182870370370371E-2</v>
      </c>
      <c r="J4" t="str">
        <f t="shared" si="2"/>
        <v/>
      </c>
    </row>
    <row r="5" spans="1:10" ht="15" x14ac:dyDescent="0.4">
      <c r="A5" s="40" t="s">
        <v>535</v>
      </c>
      <c r="B5" s="41" t="str">
        <f t="shared" si="0"/>
        <v>Pamela Moore (Coalville Wheelers)</v>
      </c>
      <c r="C5" s="17">
        <v>1</v>
      </c>
      <c r="D5" s="17">
        <v>24</v>
      </c>
      <c r="E5" s="17">
        <v>38</v>
      </c>
      <c r="F5" s="17"/>
      <c r="G5" s="17"/>
      <c r="H5" s="19" t="str">
        <f>IF($B5="","",IF($J5="X",B5,CONCATENATE(VLOOKUP(B5,Competitors!$A$2:$I$650,3, FALSE)," ",VLOOKUP(B5,Competitors!$A$2:$I$650,2,FALSE))))</f>
        <v>Pamela Moore (Coalville Wheelers)</v>
      </c>
      <c r="I5" s="20">
        <f t="shared" si="1"/>
        <v>5.8773148148148151E-2</v>
      </c>
      <c r="J5" t="str">
        <f t="shared" si="2"/>
        <v>X</v>
      </c>
    </row>
    <row r="6" spans="1:10" ht="15" x14ac:dyDescent="0.4">
      <c r="A6" s="40" t="s">
        <v>481</v>
      </c>
      <c r="B6" s="41">
        <f t="shared" si="0"/>
        <v>1112</v>
      </c>
      <c r="C6" s="17">
        <v>1</v>
      </c>
      <c r="D6" s="17">
        <v>9</v>
      </c>
      <c r="E6" s="17">
        <v>24</v>
      </c>
      <c r="F6" s="17"/>
      <c r="G6" s="17"/>
      <c r="H6" s="19" t="str">
        <f>IF($B6="","",IF($J6="X",B6,CONCATENATE(VLOOKUP(B6,Competitors!$A$2:$I$650,3, FALSE)," ",VLOOKUP(B6,Competitors!$A$2:$I$650,2,FALSE))))</f>
        <v>Gary Ashwell</v>
      </c>
      <c r="I6" s="20">
        <f t="shared" si="1"/>
        <v>4.8194444444444443E-2</v>
      </c>
      <c r="J6" t="str">
        <f t="shared" si="2"/>
        <v/>
      </c>
    </row>
    <row r="7" spans="1:10" ht="15" x14ac:dyDescent="0.4">
      <c r="A7" s="40" t="s">
        <v>102</v>
      </c>
      <c r="B7" s="41" t="str">
        <f t="shared" si="0"/>
        <v>Chris Bonsor (Ratae)</v>
      </c>
      <c r="C7" s="17"/>
      <c r="D7" s="17"/>
      <c r="E7" s="17"/>
      <c r="F7" s="17"/>
      <c r="G7" s="17" t="s">
        <v>474</v>
      </c>
      <c r="H7" s="19" t="str">
        <f>IF($B7="","",IF($J7="X",B7,CONCATENATE(VLOOKUP(B7,Competitors!$A$2:$I$650,3, FALSE)," ",VLOOKUP(B7,Competitors!$A$2:$I$650,2,FALSE))))</f>
        <v>Chris Bonsor (Ratae)</v>
      </c>
      <c r="I7" s="20">
        <f t="shared" si="1"/>
        <v>0</v>
      </c>
      <c r="J7" t="str">
        <f t="shared" si="2"/>
        <v>X</v>
      </c>
    </row>
    <row r="8" spans="1:10" ht="15" x14ac:dyDescent="0.4">
      <c r="A8" s="40" t="s">
        <v>536</v>
      </c>
      <c r="B8" s="41" t="str">
        <f t="shared" si="0"/>
        <v>John Capel (Coalville Wheelers)</v>
      </c>
      <c r="C8" s="17">
        <v>1</v>
      </c>
      <c r="D8" s="17">
        <v>9</v>
      </c>
      <c r="E8" s="17">
        <v>52</v>
      </c>
      <c r="F8" s="17"/>
      <c r="G8" s="17"/>
      <c r="H8" s="19" t="str">
        <f>IF($B8="","",IF($J8="X",B8,CONCATENATE(VLOOKUP(B8,Competitors!$A$2:$I$650,3, FALSE)," ",VLOOKUP(B8,Competitors!$A$2:$I$650,2,FALSE))))</f>
        <v>John Capel (Coalville Wheelers)</v>
      </c>
      <c r="I8" s="20">
        <f t="shared" si="1"/>
        <v>4.8518518518518516E-2</v>
      </c>
      <c r="J8" t="str">
        <f t="shared" si="2"/>
        <v>X</v>
      </c>
    </row>
    <row r="9" spans="1:10" ht="15" x14ac:dyDescent="0.4">
      <c r="A9" s="40" t="s">
        <v>493</v>
      </c>
      <c r="B9" s="41">
        <f t="shared" si="0"/>
        <v>1254</v>
      </c>
      <c r="C9" s="17"/>
      <c r="D9" s="17"/>
      <c r="E9" s="17"/>
      <c r="F9" s="17"/>
      <c r="G9" s="17" t="s">
        <v>474</v>
      </c>
      <c r="H9" s="19" t="str">
        <f>IF($B9="","",IF($J9="X",B9,CONCATENATE(VLOOKUP(B9,Competitors!$A$2:$I$650,3, FALSE)," ",VLOOKUP(B9,Competitors!$A$2:$I$650,2,FALSE))))</f>
        <v>Paul White</v>
      </c>
      <c r="I9" s="20">
        <f t="shared" si="1"/>
        <v>0</v>
      </c>
      <c r="J9" t="str">
        <f t="shared" si="2"/>
        <v/>
      </c>
    </row>
    <row r="10" spans="1:10" ht="15" x14ac:dyDescent="0.4">
      <c r="A10" s="40" t="s">
        <v>460</v>
      </c>
      <c r="B10" s="41">
        <f t="shared" si="0"/>
        <v>1355</v>
      </c>
      <c r="C10" s="17">
        <v>1</v>
      </c>
      <c r="D10" s="17">
        <v>5</v>
      </c>
      <c r="E10" s="17">
        <v>44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4.5648148148148146E-2</v>
      </c>
      <c r="J10" t="str">
        <f t="shared" si="2"/>
        <v/>
      </c>
    </row>
    <row r="11" spans="1:10" ht="15" x14ac:dyDescent="0.4">
      <c r="A11" s="40" t="s">
        <v>529</v>
      </c>
      <c r="B11" s="41">
        <f t="shared" si="0"/>
        <v>1195</v>
      </c>
      <c r="C11" s="17">
        <v>1</v>
      </c>
      <c r="D11" s="17">
        <v>11</v>
      </c>
      <c r="E11" s="17">
        <v>52</v>
      </c>
      <c r="F11" s="17" t="s">
        <v>473</v>
      </c>
      <c r="G11" s="17"/>
      <c r="H11" s="19" t="str">
        <f>IF($B11="","",IF($J11="X",B11,CONCATENATE(VLOOKUP(B11,Competitors!$A$2:$I$650,3, FALSE)," ",VLOOKUP(B11,Competitors!$A$2:$I$650,2,FALSE))))</f>
        <v>Charlie Hardwicke</v>
      </c>
      <c r="I11" s="20">
        <f t="shared" si="1"/>
        <v>4.9907407407407407E-2</v>
      </c>
      <c r="J11" t="str">
        <f t="shared" si="2"/>
        <v/>
      </c>
    </row>
    <row r="12" spans="1:10" ht="15" x14ac:dyDescent="0.4">
      <c r="A12" s="40" t="s">
        <v>482</v>
      </c>
      <c r="B12" s="41">
        <f t="shared" si="0"/>
        <v>1193</v>
      </c>
      <c r="C12" s="17">
        <v>1</v>
      </c>
      <c r="D12" s="17">
        <v>12</v>
      </c>
      <c r="E12" s="17">
        <v>17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Richard Hardwicke</v>
      </c>
      <c r="I12" s="20">
        <f t="shared" si="1"/>
        <v>5.019675925925926E-2</v>
      </c>
      <c r="J12" t="str">
        <f t="shared" si="2"/>
        <v/>
      </c>
    </row>
    <row r="13" spans="1:10" ht="15" x14ac:dyDescent="0.4">
      <c r="A13" s="40" t="s">
        <v>484</v>
      </c>
      <c r="B13" s="41">
        <f t="shared" si="0"/>
        <v>1419</v>
      </c>
      <c r="C13" s="17"/>
      <c r="D13" s="17"/>
      <c r="E13" s="17"/>
      <c r="F13" s="17" t="s">
        <v>473</v>
      </c>
      <c r="G13" s="17" t="s">
        <v>474</v>
      </c>
      <c r="H13" s="19" t="str">
        <f>IF($B13="","",IF($J13="X",B13,CONCATENATE(VLOOKUP(B13,Competitors!$A$2:$I$650,3, FALSE)," ",VLOOKUP(B13,Competitors!$A$2:$I$650,2,FALSE))))</f>
        <v>Ethan Marsh</v>
      </c>
      <c r="I13" s="20">
        <f t="shared" si="1"/>
        <v>0</v>
      </c>
      <c r="J13" t="str">
        <f t="shared" si="2"/>
        <v/>
      </c>
    </row>
    <row r="14" spans="1:10" ht="15" x14ac:dyDescent="0.4">
      <c r="A14" s="40" t="s">
        <v>461</v>
      </c>
      <c r="B14" s="41">
        <f t="shared" si="0"/>
        <v>1407</v>
      </c>
      <c r="C14" s="17">
        <v>1</v>
      </c>
      <c r="D14" s="17">
        <v>6</v>
      </c>
      <c r="E14" s="17">
        <v>32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Colin Dobson</v>
      </c>
      <c r="I14" s="20">
        <f t="shared" si="1"/>
        <v>4.6203703703703705E-2</v>
      </c>
      <c r="J14" t="str">
        <f t="shared" si="2"/>
        <v/>
      </c>
    </row>
    <row r="15" spans="1:10" ht="15" x14ac:dyDescent="0.4">
      <c r="A15" s="40" t="s">
        <v>497</v>
      </c>
      <c r="B15" s="41">
        <f t="shared" si="0"/>
        <v>407</v>
      </c>
      <c r="C15" s="17"/>
      <c r="D15" s="17">
        <v>57</v>
      </c>
      <c r="E15" s="17">
        <v>53</v>
      </c>
      <c r="F15" s="17"/>
      <c r="G15" s="17"/>
      <c r="H15" s="19" t="str">
        <f>IF($B15="","",IF($J15="X",B15,CONCATENATE(VLOOKUP(B15,Competitors!$A$2:$I$650,3, FALSE)," ",VLOOKUP(B15,Competitors!$A$2:$I$650,2,FALSE))))</f>
        <v>Hans van Nierop</v>
      </c>
      <c r="I15" s="20">
        <f t="shared" si="1"/>
        <v>4.0196759259259258E-2</v>
      </c>
      <c r="J15" t="str">
        <f t="shared" si="2"/>
        <v/>
      </c>
    </row>
    <row r="16" spans="1:10" ht="15" x14ac:dyDescent="0.4">
      <c r="A16" s="40" t="s">
        <v>467</v>
      </c>
      <c r="B16" s="41">
        <f t="shared" si="0"/>
        <v>704</v>
      </c>
      <c r="C16" s="17">
        <v>1</v>
      </c>
      <c r="D16" s="17">
        <v>11</v>
      </c>
      <c r="E16" s="17">
        <v>53</v>
      </c>
      <c r="F16" s="17"/>
      <c r="G16" s="17"/>
      <c r="H16" s="19" t="str">
        <f>IF($B16="","",IF($J16="X",B16,CONCATENATE(VLOOKUP(B16,Competitors!$A$2:$I$650,3, FALSE)," ",VLOOKUP(B16,Competitors!$A$2:$I$650,2,FALSE))))</f>
        <v>Chris Dainty</v>
      </c>
      <c r="I16" s="20">
        <f t="shared" si="1"/>
        <v>4.9918981481481481E-2</v>
      </c>
      <c r="J16" t="str">
        <f t="shared" si="2"/>
        <v/>
      </c>
    </row>
    <row r="17" spans="1:10" ht="15" x14ac:dyDescent="0.4">
      <c r="A17" s="40" t="s">
        <v>486</v>
      </c>
      <c r="B17" s="41">
        <f t="shared" si="0"/>
        <v>564</v>
      </c>
      <c r="C17" s="17">
        <v>1</v>
      </c>
      <c r="D17" s="17">
        <v>11</v>
      </c>
      <c r="E17" s="17">
        <v>54</v>
      </c>
      <c r="F17" s="17"/>
      <c r="G17" s="17"/>
      <c r="H17" s="19" t="str">
        <f>IF($B17="","",IF($J17="X",B17,CONCATENATE(VLOOKUP(B17,Competitors!$A$2:$I$650,3, FALSE)," ",VLOOKUP(B17,Competitors!$A$2:$I$650,2,FALSE))))</f>
        <v>Ian Murdey</v>
      </c>
      <c r="I17" s="20">
        <f t="shared" si="1"/>
        <v>4.9930555555555554E-2</v>
      </c>
      <c r="J17" t="str">
        <f t="shared" si="2"/>
        <v/>
      </c>
    </row>
    <row r="18" spans="1:10" ht="15" x14ac:dyDescent="0.4">
      <c r="A18" s="40" t="s">
        <v>500</v>
      </c>
      <c r="B18" s="41">
        <f t="shared" si="0"/>
        <v>915</v>
      </c>
      <c r="C18" s="17"/>
      <c r="D18" s="17"/>
      <c r="E18" s="17"/>
      <c r="F18" s="17"/>
      <c r="G18" s="17" t="s">
        <v>474</v>
      </c>
      <c r="H18" s="19" t="str">
        <f>IF($B18="","",IF($J18="X",B18,CONCATENATE(VLOOKUP(B18,Competitors!$A$2:$I$650,3, FALSE)," ",VLOOKUP(B18,Competitors!$A$2:$I$650,2,FALSE))))</f>
        <v>Julian Twynham</v>
      </c>
      <c r="I18" s="20">
        <f t="shared" si="1"/>
        <v>0</v>
      </c>
      <c r="J18" t="str">
        <f t="shared" si="2"/>
        <v/>
      </c>
    </row>
    <row r="19" spans="1:10" ht="15" x14ac:dyDescent="0.4">
      <c r="A19" s="40" t="s">
        <v>499</v>
      </c>
      <c r="B19" s="41">
        <f t="shared" si="0"/>
        <v>415</v>
      </c>
      <c r="C19" s="17">
        <v>1</v>
      </c>
      <c r="D19" s="17">
        <v>5</v>
      </c>
      <c r="E19" s="17">
        <v>56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Nik Kershaw</v>
      </c>
      <c r="I19" s="20">
        <f t="shared" si="1"/>
        <v>4.5787037037037036E-2</v>
      </c>
      <c r="J19" t="str">
        <f t="shared" si="2"/>
        <v/>
      </c>
    </row>
    <row r="20" spans="1:10" ht="15" x14ac:dyDescent="0.4">
      <c r="A20" s="40" t="s">
        <v>464</v>
      </c>
      <c r="B20" s="41">
        <f t="shared" si="0"/>
        <v>1403</v>
      </c>
      <c r="C20" s="17">
        <v>1</v>
      </c>
      <c r="D20" s="17">
        <v>10</v>
      </c>
      <c r="E20" s="17">
        <v>48</v>
      </c>
      <c r="F20" s="17"/>
      <c r="G20" s="17"/>
      <c r="H20" s="19" t="str">
        <f>IF($B20="","",IF($J20="X",B20,CONCATENATE(VLOOKUP(B20,Competitors!$A$2:$I$650,3, FALSE)," ",VLOOKUP(B20,Competitors!$A$2:$I$650,2,FALSE))))</f>
        <v>Toby Lenehan</v>
      </c>
      <c r="I20" s="20">
        <f t="shared" si="1"/>
        <v>4.9166666666666664E-2</v>
      </c>
      <c r="J20" t="str">
        <f t="shared" si="2"/>
        <v/>
      </c>
    </row>
    <row r="21" spans="1:10" ht="15" x14ac:dyDescent="0.4">
      <c r="A21" s="40" t="s">
        <v>498</v>
      </c>
      <c r="B21" s="41">
        <f t="shared" si="0"/>
        <v>1192</v>
      </c>
      <c r="C21" s="17">
        <v>1</v>
      </c>
      <c r="D21" s="17">
        <v>4</v>
      </c>
      <c r="E21" s="17">
        <v>27</v>
      </c>
      <c r="F21" s="17"/>
      <c r="G21" s="17"/>
      <c r="H21" s="19" t="str">
        <f>IF($B21="","",IF($J21="X",B21,CONCATENATE(VLOOKUP(B21,Competitors!$A$2:$I$650,3, FALSE)," ",VLOOKUP(B21,Competitors!$A$2:$I$650,2,FALSE))))</f>
        <v>Dale Norris</v>
      </c>
      <c r="I21" s="20">
        <f t="shared" si="1"/>
        <v>4.4756944444444446E-2</v>
      </c>
      <c r="J21" t="str">
        <f t="shared" si="2"/>
        <v/>
      </c>
    </row>
    <row r="22" spans="1:10" ht="15" x14ac:dyDescent="0.4">
      <c r="A22" s="40" t="s">
        <v>479</v>
      </c>
      <c r="B22" s="41">
        <f t="shared" si="0"/>
        <v>1055</v>
      </c>
      <c r="C22" s="17">
        <v>1</v>
      </c>
      <c r="D22" s="17">
        <v>6</v>
      </c>
      <c r="E22" s="17">
        <v>35</v>
      </c>
      <c r="F22" s="17"/>
      <c r="G22" s="17"/>
      <c r="H22" s="19" t="str">
        <f>IF($B22="","",IF($J22="X",B22,CONCATENATE(VLOOKUP(B22,Competitors!$A$2:$I$650,3, FALSE)," ",VLOOKUP(B22,Competitors!$A$2:$I$650,2,FALSE))))</f>
        <v>Austin Smith</v>
      </c>
      <c r="I22" s="20">
        <f t="shared" si="1"/>
        <v>4.6238425925925926E-2</v>
      </c>
      <c r="J22" t="str">
        <f t="shared" si="2"/>
        <v/>
      </c>
    </row>
    <row r="23" spans="1:10" ht="15" x14ac:dyDescent="0.4">
      <c r="A23" s="40" t="s">
        <v>490</v>
      </c>
      <c r="B23" s="41">
        <f t="shared" si="0"/>
        <v>699</v>
      </c>
      <c r="C23" s="17">
        <v>1</v>
      </c>
      <c r="D23" s="17">
        <v>1</v>
      </c>
      <c r="E23" s="17">
        <v>46</v>
      </c>
      <c r="F23" s="17"/>
      <c r="G23" s="17"/>
      <c r="H23" s="19" t="str">
        <f>IF($B23="","",IF($J23="X",B23,CONCATENATE(VLOOKUP(B23,Competitors!$A$2:$I$650,3, FALSE)," ",VLOOKUP(B23,Competitors!$A$2:$I$650,2,FALSE))))</f>
        <v>Jonathan Durnin</v>
      </c>
      <c r="I23" s="20">
        <f t="shared" si="1"/>
        <v>4.2893518518518518E-2</v>
      </c>
      <c r="J23" t="str">
        <f t="shared" si="2"/>
        <v/>
      </c>
    </row>
    <row r="24" spans="1:10" ht="15" x14ac:dyDescent="0.4">
      <c r="A24" s="40" t="s">
        <v>502</v>
      </c>
      <c r="B24" s="41">
        <f t="shared" si="0"/>
        <v>846</v>
      </c>
      <c r="C24" s="17">
        <v>1</v>
      </c>
      <c r="D24" s="17">
        <v>8</v>
      </c>
      <c r="E24" s="17">
        <v>33</v>
      </c>
      <c r="F24" s="17"/>
      <c r="G24" s="17"/>
      <c r="H24" s="19" t="str">
        <f>IF($B24="","",IF($J24="X",B24,CONCATENATE(VLOOKUP(B24,Competitors!$A$2:$I$650,3, FALSE)," ",VLOOKUP(B24,Competitors!$A$2:$I$650,2,FALSE))))</f>
        <v>Roger Kockelbergh</v>
      </c>
      <c r="I24" s="20">
        <f t="shared" si="1"/>
        <v>4.760416666666667E-2</v>
      </c>
      <c r="J24" t="str">
        <f t="shared" si="2"/>
        <v/>
      </c>
    </row>
    <row r="25" spans="1:10" ht="15" x14ac:dyDescent="0.4">
      <c r="A25" s="40" t="s">
        <v>503</v>
      </c>
      <c r="B25" s="41">
        <f t="shared" si="0"/>
        <v>1094</v>
      </c>
      <c r="C25" s="17"/>
      <c r="D25" s="17"/>
      <c r="E25" s="17"/>
      <c r="F25" s="17"/>
      <c r="G25" s="17" t="s">
        <v>539</v>
      </c>
      <c r="H25" s="19" t="str">
        <f>IF($B25="","",IF($J25="X",B25,CONCATENATE(VLOOKUP(B25,Competitors!$A$2:$I$650,3, FALSE)," ",VLOOKUP(B25,Competitors!$A$2:$I$650,2,FALSE))))</f>
        <v>Andy Poulton</v>
      </c>
      <c r="I25" s="20">
        <f t="shared" si="1"/>
        <v>0</v>
      </c>
      <c r="J25" t="str">
        <f t="shared" si="2"/>
        <v/>
      </c>
    </row>
    <row r="26" spans="1:10" ht="15" x14ac:dyDescent="0.4">
      <c r="A26" s="40" t="s">
        <v>537</v>
      </c>
      <c r="B26" s="41" t="str">
        <f t="shared" si="0"/>
        <v>Linda Thames</v>
      </c>
      <c r="C26" s="17">
        <v>1</v>
      </c>
      <c r="D26" s="17">
        <v>14</v>
      </c>
      <c r="E26" s="17">
        <v>38</v>
      </c>
      <c r="F26" s="17"/>
      <c r="G26" s="17"/>
      <c r="H26" s="19" t="str">
        <f>IF($B26="","",IF($J26="X",B26,CONCATENATE(VLOOKUP(B26,Competitors!$A$2:$I$650,3, FALSE)," ",VLOOKUP(B26,Competitors!$A$2:$I$650,2,FALSE))))</f>
        <v>Linda Thames</v>
      </c>
      <c r="I26" s="20">
        <f t="shared" si="1"/>
        <v>5.1828703703703703E-2</v>
      </c>
      <c r="J26" t="str">
        <f t="shared" si="2"/>
        <v>X</v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41</vt:i4>
      </vt:variant>
      <vt:variant>
        <vt:lpstr>Named Ranges</vt:lpstr>
      </vt:variant>
      <vt:variant>
        <vt:i4>13</vt:i4>
      </vt:variant>
    </vt:vector>
  </HeadingPairs>
  <TitlesOfParts>
    <vt:vector size="54" baseType="lpstr">
      <vt:lpstr>Revisions</vt:lpstr>
      <vt:lpstr>Competitors</vt:lpstr>
      <vt:lpstr>0307_competitors_2026</vt:lpstr>
      <vt:lpstr>0310_competitors_2026</vt:lpstr>
      <vt:lpstr>0321_competitors_2026</vt:lpstr>
      <vt:lpstr>0407_competitors_2026</vt:lpstr>
      <vt:lpstr>0407_competitors_2026b</vt:lpstr>
      <vt:lpstr>0409_competitors_2026</vt:lpstr>
      <vt:lpstr>0413_competitors_2026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2026-05-03T09:21:53Z</dcterms:modified>
</cp:coreProperties>
</file>