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D5B84700-2024-4B21-A54B-C405FB0A3AFE}" xr6:coauthVersionLast="47" xr6:coauthVersionMax="47" xr10:uidLastSave="{00000000-0000-0000-0000-000000000000}"/>
  <bookViews>
    <workbookView xWindow="-83" yWindow="0" windowWidth="14566" windowHeight="17363"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s="1"/>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l="1"/>
  <c r="H11" i="33" s="1"/>
  <c r="J15" i="33"/>
  <c r="H15" i="33" s="1"/>
  <c r="J26" i="33"/>
  <c r="H26" i="33" s="1"/>
  <c r="J27" i="33"/>
  <c r="H27" i="33" s="1"/>
  <c r="J7" i="33"/>
  <c r="H7" i="33" s="1"/>
  <c r="J10" i="33"/>
  <c r="H10" i="33" s="1"/>
  <c r="J31" i="33"/>
  <c r="H31" i="33" s="1"/>
  <c r="J23" i="33"/>
  <c r="H23" i="33" s="1"/>
  <c r="J14" i="33"/>
  <c r="H14" i="33" s="1"/>
  <c r="J4" i="33"/>
  <c r="H4" i="33" s="1"/>
  <c r="J20" i="33"/>
  <c r="H20" i="33" s="1"/>
  <c r="J6" i="33"/>
  <c r="H6" i="33" s="1"/>
  <c r="J3" i="33"/>
  <c r="H3" i="33" s="1"/>
  <c r="J12" i="33"/>
  <c r="H12" i="33" s="1"/>
  <c r="J33" i="33"/>
  <c r="H33" i="33" s="1"/>
  <c r="J8" i="33"/>
  <c r="H8" i="33" s="1"/>
  <c r="J21" i="33"/>
  <c r="H21" i="33" s="1"/>
  <c r="J19" i="33"/>
  <c r="H19" i="33" s="1"/>
  <c r="J24" i="33"/>
  <c r="H24" i="33" s="1"/>
  <c r="J18" i="33"/>
  <c r="H18" i="33" s="1"/>
  <c r="J2" i="33"/>
  <c r="H2" i="33" s="1"/>
  <c r="J28" i="33"/>
  <c r="H28" i="33" s="1"/>
  <c r="J25" i="33"/>
  <c r="H25" i="33" s="1"/>
  <c r="J32" i="33"/>
  <c r="H32" i="33" s="1"/>
  <c r="J17" i="33"/>
  <c r="H17" i="33" s="1"/>
  <c r="J5" i="33"/>
  <c r="H5" i="33" s="1"/>
  <c r="J9" i="33"/>
  <c r="H9" i="33" s="1"/>
  <c r="J30" i="33"/>
  <c r="H30" i="33" s="1"/>
  <c r="J16" i="33"/>
  <c r="H16" i="33" s="1"/>
  <c r="J22" i="33"/>
  <c r="H22" i="33" s="1"/>
  <c r="J13" i="33"/>
  <c r="H13" i="33" s="1"/>
  <c r="J29" i="33"/>
  <c r="H29"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<sst xmlns="http://schemas.openxmlformats.org/spreadsheetml/2006/main" count="15263" uniqueCount="639">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</sst>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B39" sqref="B39"/>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IF(A2="","",_xlfn.XLOOKUP(A2,ClubNames,ClubNumbers,_xlfn.XLOOKUP(A2,RoundRobinRiderNames,RoundRobinRiderDecoratedNames,A2)))</f>
        <v>Geoff Stanbridge (Ratae)</v>
      </c>
      <c r="C2" s="48"/>
      <c r="D2" s="49"/>
      <c r="E2" s="49"/>
      <c r="F2" s="49" t="s">
        <v>551</v>
      </c>
      <c r="G2" s="49"/>
      <c r="H2" s="50" t="str">
        <f>IF($B2="","",IF($J2="X",B2,CONCATENATE(VLOOKUP(B2,Competitors!$A$2:$I$650,3,FALSE)," ",VLOOKUP(B2,Competitors!$A$2:$I$650,2,FALSE))))</f>
        <v>Geoff Stanbridge (Ratae)</v>
      </c>
      <c r="I2" s="51">
        <f>IF(LEFT($F2,1)="D",UPPER($F2),(C2*3600+D2*60+E2)/86400)</f>
        <v>0</v>
      </c>
      <c r="J2" t="str">
        <f>IF(OR(B2="",ISNUMBER(B2)),"","X")</f>
        <v>X</v>
      </c>
    </row>
    <row r="3" spans="1:10" ht="15">
      <c r="A3" s="46" t="s">
        <v>445</v>
      </c>
      <c r="B3" s="47">
        <f>IF(A3="","",_xlfn.XLOOKUP(A3,ClubNames,ClubNumbers,_xlfn.XLOOKUP(A3,RoundRobinRiderNames,RoundRobinRiderDecoratedNames,A3)))</f>
        <v>1386</v>
      </c>
      <c r="C3" s="48"/>
      <c r="D3" s="49"/>
      <c r="E3" s="49"/>
      <c r="F3" s="49" t="s">
        <v>551</v>
      </c>
      <c r="G3" s="49"/>
      <c r="H3" s="50" t="str">
        <f>IF($B3="","",IF($J3="X",B3,CONCATENATE(VLOOKUP(B3,Competitors!$A$2:$I$650,3,FALSE)," ",VLOOKUP(B3,Competitors!$A$2:$I$650,2,FALSE))))</f>
        <v>Mea Moore</v>
      </c>
      <c r="I3" s="51">
        <f>IF(LEFT($F3,1)="D",UPPER($F3),(C3*3600+D3*60+E3)/86400)</f>
        <v>0</v>
      </c>
      <c r="J3" t="str">
        <f>IF(OR(B3="",ISNUMBER(B3)),"","X")</f>
        <v/>
      </c>
    </row>
    <row r="4" spans="1:10" ht="15">
      <c r="A4" s="46" t="s">
        <v>631</v>
      </c>
      <c r="B4" s="47">
        <f>IF(A4="","",_xlfn.XLOOKUP(A4,ClubNames,ClubNumbers,_xlfn.XLOOKUP(A4,RoundRobinRiderNames,RoundRobinRiderDecoratedNames,A4)))</f>
        <v>990</v>
      </c>
      <c r="C4" s="48"/>
      <c r="D4" s="49"/>
      <c r="E4" s="49"/>
      <c r="F4" s="49" t="s">
        <v>551</v>
      </c>
      <c r="G4" s="49"/>
      <c r="H4" s="50" t="str">
        <f>IF($B4="","",IF($J4="X",B4,CONCATENATE(VLOOKUP(B4,Competitors!$A$2:$I$650,3,FALSE)," ",VLOOKUP(B4,Competitors!$A$2:$I$650,2,FALSE))))</f>
        <v>Jen Hulme</v>
      </c>
      <c r="I4" s="51">
        <f>IF(LEFT($F4,1)="D",UPPER($F4),(C4*3600+D4*60+E4)/86400)</f>
        <v>0</v>
      </c>
      <c r="J4" t="str">
        <f>IF(OR(B4="",ISNUMBER(B4)),"","X")</f>
        <v/>
      </c>
    </row>
    <row r="5" spans="1:10" ht="15">
      <c r="A5" s="46" t="s">
        <v>632</v>
      </c>
      <c r="B5" s="47" t="str">
        <f>IF(A5="","",_xlfn.XLOOKUP(A5,ClubNames,ClubNumbers,_xlfn.XLOOKUP(A5,RoundRobinRiderNames,RoundRobinRiderDecoratedNames,A5)))</f>
        <v>Michael Wheeler (KCC)</v>
      </c>
      <c r="C5" s="48"/>
      <c r="D5" s="49"/>
      <c r="E5" s="49"/>
      <c r="F5" s="49" t="s">
        <v>551</v>
      </c>
      <c r="G5" s="49"/>
      <c r="H5" s="50" t="str">
        <f>IF($B5="","",IF($J5="X",B5,CONCATENATE(VLOOKUP(B5,Competitors!$A$2:$I$650,3,FALSE)," ",VLOOKUP(B5,Competitors!$A$2:$I$650,2,FALSE))))</f>
        <v>Michael Wheeler (KCC)</v>
      </c>
      <c r="I5" s="51">
        <f>IF(LEFT($F5,1)="D",UPPER($F5),(C5*3600+D5*60+E5)/86400)</f>
        <v>0</v>
      </c>
      <c r="J5" t="str">
        <f>IF(OR(B5="",ISNUMBER(B5)),"","X")</f>
        <v>X</v>
      </c>
    </row>
    <row r="6" spans="1:10" ht="15">
      <c r="A6" s="46" t="s">
        <v>460</v>
      </c>
      <c r="B6" s="47">
        <f>IF(A6="","",_xlfn.XLOOKUP(A6,ClubNames,ClubNumbers,_xlfn.XLOOKUP(A6,RoundRobinRiderNames,RoundRobinRiderDecoratedNames,A6)))</f>
        <v>742</v>
      </c>
      <c r="C6" s="48"/>
      <c r="D6" s="49"/>
      <c r="E6" s="49"/>
      <c r="F6" s="49" t="s">
        <v>551</v>
      </c>
      <c r="G6" s="49"/>
      <c r="H6" s="50" t="str">
        <f>IF($B6="","",IF($J6="X",B6,CONCATENATE(VLOOKUP(B6,Competitors!$A$2:$I$650,3,FALSE)," ",VLOOKUP(B6,Competitors!$A$2:$I$650,2,FALSE))))</f>
        <v>Claire Moore</v>
      </c>
      <c r="I6" s="51">
        <f>IF(LEFT($F6,1)="D",UPPER($F6),(C6*3600+D6*60+E6)/86400)</f>
        <v>0</v>
      </c>
      <c r="J6" t="str">
        <f>IF(OR(B6="",ISNUMBER(B6)),"","X")</f>
        <v/>
      </c>
    </row>
    <row r="7" spans="1:10" ht="15">
      <c r="A7" s="46" t="s">
        <v>448</v>
      </c>
      <c r="B7" s="47">
        <f>IF(A7="","",_xlfn.XLOOKUP(A7,ClubNames,ClubNumbers,_xlfn.XLOOKUP(A7,RoundRobinRiderNames,RoundRobinRiderDecoratedNames,A7)))</f>
        <v>1194</v>
      </c>
      <c r="C7" s="48"/>
      <c r="D7" s="49"/>
      <c r="E7" s="49"/>
      <c r="F7" s="49" t="s">
        <v>551</v>
      </c>
      <c r="G7" s="49"/>
      <c r="H7" s="50" t="str">
        <f>IF($B7="","",IF($J7="X",B7,CONCATENATE(VLOOKUP(B7,Competitors!$A$2:$I$650,3,FALSE)," ",VLOOKUP(B7,Competitors!$A$2:$I$650,2,FALSE))))</f>
        <v>Alex Hardwicke</v>
      </c>
      <c r="I7" s="51">
        <f>IF(LEFT($F7,1)="D",UPPER($F7),(C7*3600+D7*60+E7)/86400)</f>
        <v>0</v>
      </c>
      <c r="J7" t="str">
        <f>IF(OR(B7="",ISNUMBER(B7)),"","X")</f>
        <v/>
      </c>
    </row>
    <row r="8" spans="1:10" ht="15">
      <c r="A8" s="46" t="s">
        <v>453</v>
      </c>
      <c r="B8" s="47">
        <f>IF(A8="","",_xlfn.XLOOKUP(A8,ClubNames,ClubNumbers,_xlfn.XLOOKUP(A8,RoundRobinRiderNames,RoundRobinRiderDecoratedNames,A8)))</f>
        <v>1404</v>
      </c>
      <c r="C8" s="48"/>
      <c r="D8" s="49"/>
      <c r="E8" s="49"/>
      <c r="F8" s="49"/>
      <c r="G8" s="49"/>
      <c r="H8" s="50" t="str">
        <f>IF($B8="","",IF($J8="X",B8,CONCATENATE(VLOOKUP(B8,Competitors!$A$2:$I$650,3,FALSE)," ",VLOOKUP(B8,Competitors!$A$2:$I$650,2,FALSE))))</f>
        <v>Millie Lenehan</v>
      </c>
      <c r="I8" s="51">
        <f>IF(LEFT($F8,1)="D",UPPER($F8),(C8*3600+D8*60+E8)/86400)</f>
        <v>0</v>
      </c>
      <c r="J8" t="str">
        <f>IF(OR(B8="",ISNUMBER(B8)),"","X")</f>
        <v/>
      </c>
    </row>
    <row r="9" spans="1:10" ht="15">
      <c r="A9" s="46" t="s">
        <v>447</v>
      </c>
      <c r="B9" s="47">
        <f>IF(A9="","",_xlfn.XLOOKUP(A9,ClubNames,ClubNumbers,_xlfn.XLOOKUP(A9,RoundRobinRiderNames,RoundRobinRiderDecoratedNames,A9)))</f>
        <v>1379</v>
      </c>
      <c r="C9" s="48"/>
      <c r="D9" s="49"/>
      <c r="E9" s="49"/>
      <c r="F9" s="49" t="s">
        <v>551</v>
      </c>
      <c r="G9" s="49"/>
      <c r="H9" s="50" t="str">
        <f>IF($B9="","",IF($J9="X",B9,CONCATENATE(VLOOKUP(B9,Competitors!$A$2:$I$650,3,FALSE)," ",VLOOKUP(B9,Competitors!$A$2:$I$650,2,FALSE))))</f>
        <v>Michaela Latham</v>
      </c>
      <c r="I9" s="51">
        <f>IF(LEFT($F9,1)="D",UPPER($F9),(C9*3600+D9*60+E9)/86400)</f>
        <v>0</v>
      </c>
      <c r="J9" t="str">
        <f>IF(OR(B9="",ISNUMBER(B9)),"","X")</f>
        <v/>
      </c>
    </row>
    <row r="10" spans="1:10" ht="15">
      <c r="A10" s="46" t="s">
        <v>594</v>
      </c>
      <c r="B10" s="47" t="str">
        <f>IF(A10="","",_xlfn.XLOOKUP(A10,ClubNames,ClubNumbers,_xlfn.XLOOKUP(A10,RoundRobinRiderNames,RoundRobinRiderDecoratedNames,A10)))</f>
        <v>Maria Cayford (KCC)</v>
      </c>
      <c r="C10" s="48"/>
      <c r="D10" s="49"/>
      <c r="E10" s="49"/>
      <c r="F10" s="49"/>
      <c r="G10" s="49"/>
      <c r="H10" s="50" t="str">
        <f>IF($B10="","",IF($J10="X",B10,CONCATENATE(VLOOKUP(B10,Competitors!$A$2:$I$650,3,FALSE)," ",VLOOKUP(B10,Competitors!$A$2:$I$650,2,FALSE))))</f>
        <v>Maria Cayford (KCC)</v>
      </c>
      <c r="I10" s="51">
        <f>IF(LEFT($F10,1)="D",UPPER($F10),(C10*3600+D10*60+E10)/86400)</f>
        <v>0</v>
      </c>
      <c r="J10" t="str">
        <f>IF(OR(B10="",ISNUMBER(B10)),"","X")</f>
        <v>X</v>
      </c>
    </row>
    <row r="11" spans="1:10" ht="15">
      <c r="A11" s="46" t="s">
        <v>430</v>
      </c>
      <c r="B11" s="47">
        <f>IF(A11="","",_xlfn.XLOOKUP(A11,ClubNames,ClubNumbers,_xlfn.XLOOKUP(A11,RoundRobinRiderNames,RoundRobinRiderDecoratedNames,A11)))</f>
        <v>1107</v>
      </c>
      <c r="C11" s="48"/>
      <c r="D11" s="49"/>
      <c r="E11" s="49"/>
      <c r="F11" s="49"/>
      <c r="G11" s="49"/>
      <c r="H11" s="50" t="str">
        <f>IF($B11="","",IF($J11="X",B11,CONCATENATE(VLOOKUP(B11,Competitors!$A$2:$I$650,3,FALSE)," ",VLOOKUP(B11,Competitors!$A$2:$I$650,2,FALSE))))</f>
        <v>Milly Pinnock</v>
      </c>
      <c r="I11" s="51">
        <f>IF(LEFT($F11,1)="D",UPPER($F11),(C11*3600+D11*60+E11)/86400)</f>
        <v>0</v>
      </c>
      <c r="J11" t="str">
        <f>IF(OR(B11="",ISNUMBER(B11)),"","X")</f>
        <v/>
      </c>
    </row>
    <row r="12" spans="1:10" ht="15">
      <c r="A12" s="46" t="s">
        <v>530</v>
      </c>
      <c r="B12" s="47" t="str">
        <f>IF(A12="","",_xlfn.XLOOKUP(A12,ClubNames,ClubNumbers,_xlfn.XLOOKUP(A12,RoundRobinRiderNames,RoundRobinRiderDecoratedNames,A12)))</f>
        <v>Lynne Wilkinson-Scofield (RFW)</v>
      </c>
      <c r="C12" s="48"/>
      <c r="D12" s="49"/>
      <c r="E12" s="49"/>
      <c r="F12" s="49"/>
      <c r="G12" s="49"/>
      <c r="H12" s="50" t="str">
        <f>IF($B12="","",IF($J12="X",B12,CONCATENATE(VLOOKUP(B12,Competitors!$A$2:$I$650,3,FALSE)," ",VLOOKUP(B12,Competitors!$A$2:$I$650,2,FALSE))))</f>
        <v>Lynne Wilkinson-Scofield (RFW)</v>
      </c>
      <c r="I12" s="51">
        <f>IF(LEFT($F12,1)="D",UPPER($F12),(C12*3600+D12*60+E12)/86400)</f>
        <v>0</v>
      </c>
      <c r="J12" t="str">
        <f>IF(OR(B12="",ISNUMBER(B12)),"","X")</f>
        <v>X</v>
      </c>
    </row>
    <row r="13" spans="1:10" ht="15">
      <c r="A13" s="46" t="s">
        <v>458</v>
      </c>
      <c r="B13" s="47">
        <f>IF(A13="","",_xlfn.XLOOKUP(A13,ClubNames,ClubNumbers,_xlfn.XLOOKUP(A13,RoundRobinRiderNames,RoundRobinRiderDecoratedNames,A13)))</f>
        <v>120</v>
      </c>
      <c r="C13" s="48"/>
      <c r="D13" s="49"/>
      <c r="E13" s="49"/>
      <c r="F13" s="49"/>
      <c r="G13" s="49"/>
      <c r="H13" s="50" t="str">
        <f>IF($B13="","",IF($J13="X",B13,CONCATENATE(VLOOKUP(B13,Competitors!$A$2:$I$650,3,FALSE)," ",VLOOKUP(B13,Competitors!$A$2:$I$650,2,FALSE))))</f>
        <v>Linda Hubbard</v>
      </c>
      <c r="I13" s="51">
        <f>IF(LEFT($F13,1)="D",UPPER($F13),(C13*3600+D13*60+E13)/86400)</f>
        <v>0</v>
      </c>
      <c r="J13" t="str">
        <f>IF(OR(B13="",ISNUMBER(B13)),"","X")</f>
        <v/>
      </c>
    </row>
    <row r="14" spans="1:10" ht="15">
      <c r="A14" s="46" t="s">
        <v>419</v>
      </c>
      <c r="B14" s="47">
        <f>IF(A14="","",_xlfn.XLOOKUP(A14,ClubNames,ClubNumbers,_xlfn.XLOOKUP(A14,RoundRobinRiderNames,RoundRobinRiderDecoratedNames,A14)))</f>
        <v>1355</v>
      </c>
      <c r="C14" s="48"/>
      <c r="D14" s="49"/>
      <c r="E14" s="49"/>
      <c r="F14" s="49" t="s">
        <v>551</v>
      </c>
      <c r="G14" s="49"/>
      <c r="H14" s="50" t="str">
        <f>IF($B14="","",IF($J14="X",B14,CONCATENATE(VLOOKUP(B14,Competitors!$A$2:$I$650,3,FALSE)," ",VLOOKUP(B14,Competitors!$A$2:$I$650,2,FALSE))))</f>
        <v>Aubrey Elmer</v>
      </c>
      <c r="I14" s="51">
        <f>IF(LEFT($F14,1)="D",UPPER($F14),(C14*3600+D14*60+E14)/86400)</f>
        <v>0</v>
      </c>
      <c r="J14" t="str">
        <f>IF(OR(B14="",ISNUMBER(B14)),"","X")</f>
        <v/>
      </c>
    </row>
    <row r="15" spans="1:10" ht="15">
      <c r="A15" s="46" t="s">
        <v>438</v>
      </c>
      <c r="B15" s="47">
        <f>IF(A15="","",_xlfn.XLOOKUP(A15,ClubNames,ClubNumbers,_xlfn.XLOOKUP(A15,RoundRobinRiderNames,RoundRobinRiderDecoratedNames,A15)))</f>
        <v>1195</v>
      </c>
      <c r="C15" s="48"/>
      <c r="D15" s="49"/>
      <c r="E15" s="49"/>
      <c r="F15" s="49" t="s">
        <v>551</v>
      </c>
      <c r="G15" s="49"/>
      <c r="H15" s="50" t="str">
        <f>IF($B15="","",IF($J15="X",B15,CONCATENATE(VLOOKUP(B15,Competitors!$A$2:$I$650,3,FALSE)," ",VLOOKUP(B15,Competitors!$A$2:$I$650,2,FALSE))))</f>
        <v>Charlie Hardwicke</v>
      </c>
      <c r="I15" s="51">
        <f>IF(LEFT($F15,1)="D",UPPER($F15),(C15*3600+D15*60+E15)/86400)</f>
        <v>0</v>
      </c>
      <c r="J15" t="str">
        <f>IF(OR(B15="",ISNUMBER(B15)),"","X")</f>
        <v/>
      </c>
    </row>
    <row r="16" spans="1:10" ht="15">
      <c r="A16" s="46" t="s">
        <v>432</v>
      </c>
      <c r="B16" s="47">
        <f>IF(A16="","",_xlfn.XLOOKUP(A16,ClubNames,ClubNumbers,_xlfn.XLOOKUP(A16,RoundRobinRiderNames,RoundRobinRiderDecoratedNames,A16)))</f>
        <v>1403</v>
      </c>
      <c r="C16" s="48"/>
      <c r="D16" s="49"/>
      <c r="E16" s="49"/>
      <c r="F16" s="49"/>
      <c r="G16" s="49"/>
      <c r="H16" s="50" t="str">
        <f>IF($B16="","",IF($J16="X",B16,CONCATENATE(VLOOKUP(B16,Competitors!$A$2:$I$650,3,FALSE)," ",VLOOKUP(B16,Competitors!$A$2:$I$650,2,FALSE))))</f>
        <v>Toby Lenehan</v>
      </c>
      <c r="I16" s="51">
        <f>IF(LEFT($F16,1)="D",UPPER($F16),(C16*3600+D16*60+E16)/86400)</f>
        <v>0</v>
      </c>
      <c r="J16" t="str">
        <f>IF(OR(B16="",ISNUMBER(B16)),"","X")</f>
        <v/>
      </c>
    </row>
    <row r="17" spans="1:10" ht="15">
      <c r="A17" s="46" t="s">
        <v>634</v>
      </c>
      <c r="B17" s="47" t="str">
        <f>IF(A17="","",_xlfn.XLOOKUP(A17,ClubNames,ClubNumbers,_xlfn.XLOOKUP(A17,RoundRobinRiderNames,RoundRobinRiderDecoratedNames,A17)))</f>
        <v>Paul Akroyd (VTTA E.Mids)</v>
      </c>
      <c r="C17" s="48"/>
      <c r="D17" s="49"/>
      <c r="E17" s="49"/>
      <c r="F17" s="49" t="s">
        <v>551</v>
      </c>
      <c r="G17" s="49"/>
      <c r="H17" s="50" t="str">
        <f>IF($B17="","",IF($J17="X",B17,CONCATENATE(VLOOKUP(B17,Competitors!$A$2:$I$650,3,FALSE)," ",VLOOKUP(B17,Competitors!$A$2:$I$650,2,FALSE))))</f>
        <v>Paul Akroyd (VTTA E.Mids)</v>
      </c>
      <c r="I17" s="51">
        <f>IF(LEFT($F17,1)="D",UPPER($F17),(C17*3600+D17*60+E17)/86400)</f>
        <v>0</v>
      </c>
      <c r="J17" t="str">
        <f>IF(OR(B17="",ISNUMBER(B17)),"","X")</f>
        <v>X</v>
      </c>
    </row>
    <row r="18" spans="1:10" ht="15">
      <c r="A18" s="46" t="s">
        <v>444</v>
      </c>
      <c r="B18" s="47">
        <f>IF(A18="","",_xlfn.XLOOKUP(A18,ClubNames,ClubNumbers,_xlfn.XLOOKUP(A18,RoundRobinRiderNames,RoundRobinRiderDecoratedNames,A18)))</f>
        <v>1193</v>
      </c>
      <c r="C18" s="48"/>
      <c r="D18" s="49"/>
      <c r="E18" s="49"/>
      <c r="F18" s="49" t="s">
        <v>551</v>
      </c>
      <c r="G18" s="49"/>
      <c r="H18" s="50" t="str">
        <f>IF($B18="","",IF($J18="X",B18,CONCATENATE(VLOOKUP(B18,Competitors!$A$2:$I$650,3,FALSE)," ",VLOOKUP(B18,Competitors!$A$2:$I$650,2,FALSE))))</f>
        <v>Richard Hardwicke</v>
      </c>
      <c r="I18" s="51">
        <f>IF(LEFT($F18,1)="D",UPPER($F18),(C18*3600+D18*60+E18)/86400)</f>
        <v>0</v>
      </c>
      <c r="J18" t="str">
        <f>IF(OR(B18="",ISNUMBER(B18)),"","X")</f>
        <v/>
      </c>
    </row>
    <row r="19" spans="1:10" ht="15">
      <c r="A19" s="46" t="s">
        <v>633</v>
      </c>
      <c r="B19" s="47" t="str">
        <f>IF(A19="","",_xlfn.XLOOKUP(A19,ClubNames,ClubNumbers,_xlfn.XLOOKUP(A19,RoundRobinRiderNames,RoundRobinRiderDecoratedNames,A19)))</f>
        <v>Ian Bird (KCC)</v>
      </c>
      <c r="C19" s="48"/>
      <c r="D19" s="49"/>
      <c r="E19" s="49"/>
      <c r="F19" s="49" t="s">
        <v>551</v>
      </c>
      <c r="G19" s="49"/>
      <c r="H19" s="50" t="str">
        <f>IF($B19="","",IF($J19="X",B19,CONCATENATE(VLOOKUP(B19,Competitors!$A$2:$I$650,3,FALSE)," ",VLOOKUP(B19,Competitors!$A$2:$I$650,2,FALSE))))</f>
        <v>Ian Bird (KCC)</v>
      </c>
      <c r="I19" s="51">
        <f>IF(LEFT($F19,1)="D",UPPER($F19),(C19*3600+D19*60+E19)/86400)</f>
        <v>0</v>
      </c>
      <c r="J19" t="str">
        <f>IF(OR(B19="",ISNUMBER(B19)),"","X")</f>
        <v>X</v>
      </c>
    </row>
    <row r="20" spans="1:10" ht="15">
      <c r="A20" s="46" t="s">
        <v>459</v>
      </c>
      <c r="B20" s="47">
        <f>IF(A20="","",_xlfn.XLOOKUP(A20,ClubNames,ClubNumbers,_xlfn.XLOOKUP(A20,RoundRobinRiderNames,RoundRobinRiderDecoratedNames,A20)))</f>
        <v>715</v>
      </c>
      <c r="C20" s="48"/>
      <c r="D20" s="49"/>
      <c r="E20" s="49"/>
      <c r="F20" s="49"/>
      <c r="G20" s="49"/>
      <c r="H20" s="50" t="str">
        <f>IF($B20="","",IF($J20="X",B20,CONCATENATE(VLOOKUP(B20,Competitors!$A$2:$I$650,3,FALSE)," ",VLOOKUP(B20,Competitors!$A$2:$I$650,2,FALSE))))</f>
        <v>Steven Coulam</v>
      </c>
      <c r="I20" s="51">
        <f>IF(LEFT($F20,1)="D",UPPER($F20),(C20*3600+D20*60+E20)/86400)</f>
        <v>0</v>
      </c>
      <c r="J20" t="str">
        <f>IF(OR(B20="",ISNUMBER(B20)),"","X")</f>
        <v/>
      </c>
    </row>
    <row r="21" spans="1:10" ht="15">
      <c r="A21" s="46" t="s">
        <v>507</v>
      </c>
      <c r="B21" s="47" t="str">
        <f>IF(A21="","",_xlfn.XLOOKUP(A21,ClubNames,ClubNumbers,_xlfn.XLOOKUP(A21,RoundRobinRiderNames,RoundRobinRiderDecoratedNames,A21)))</f>
        <v>Chris Bonsor (Ratae)</v>
      </c>
      <c r="C21" s="48"/>
      <c r="D21" s="49"/>
      <c r="E21" s="49"/>
      <c r="F21" s="49"/>
      <c r="G21" s="49"/>
      <c r="H21" s="50" t="str">
        <f>IF($B21="","",IF($J21="X",B21,CONCATENATE(VLOOKUP(B21,Competitors!$A$2:$I$650,3,FALSE)," ",VLOOKUP(B21,Competitors!$A$2:$I$650,2,FALSE))))</f>
        <v>Chris Bonsor (Ratae)</v>
      </c>
      <c r="I21" s="51">
        <f>IF(LEFT($F21,1)="D",UPPER($F21),(C21*3600+D21*60+E21)/86400)</f>
        <v>0</v>
      </c>
      <c r="J21" t="str">
        <f>IF(OR(B21="",ISNUMBER(B21)),"","X")</f>
        <v>X</v>
      </c>
    </row>
    <row r="22" spans="1:10" ht="15">
      <c r="A22" s="46" t="s">
        <v>515</v>
      </c>
      <c r="B22" s="47" t="str">
        <f>IF(A22="","",_xlfn.XLOOKUP(A22,ClubNames,ClubNumbers,_xlfn.XLOOKUP(A22,RoundRobinRiderNames,RoundRobinRiderDecoratedNames,A22)))</f>
        <v>Mark Newton (Ratae)</v>
      </c>
      <c r="C22" s="48"/>
      <c r="D22" s="49"/>
      <c r="E22" s="49"/>
      <c r="F22" s="49"/>
      <c r="G22" s="49"/>
      <c r="H22" s="50" t="str">
        <f>IF($B22="","",IF($J22="X",B22,CONCATENATE(VLOOKUP(B22,Competitors!$A$2:$I$650,3,FALSE)," ",VLOOKUP(B22,Competitors!$A$2:$I$650,2,FALSE))))</f>
        <v>Mark Newton (Ratae)</v>
      </c>
      <c r="I22" s="51">
        <f>IF(LEFT($F22,1)="D",UPPER($F22),(C22*3600+D22*60+E22)/86400)</f>
        <v>0</v>
      </c>
      <c r="J22" t="str">
        <f>IF(OR(B22="",ISNUMBER(B22)),"","X")</f>
        <v>X</v>
      </c>
    </row>
    <row r="23" spans="1:10" ht="15">
      <c r="A23" s="46" t="s">
        <v>582</v>
      </c>
      <c r="B23" s="47" t="str">
        <f>IF(A23="","",_xlfn.XLOOKUP(A23,ClubNames,ClubNumbers,_xlfn.XLOOKUP(A23,RoundRobinRiderNames,RoundRobinRiderDecoratedNames,A23)))</f>
        <v>Mike Deely (G Fox) (RFW)</v>
      </c>
      <c r="C23" s="48"/>
      <c r="D23" s="49"/>
      <c r="E23" s="49"/>
      <c r="F23" s="49"/>
      <c r="G23" s="49"/>
      <c r="H23" s="50" t="str">
        <f>IF($B23="","",IF($J23="X",B23,CONCATENATE(VLOOKUP(B23,Competitors!$A$2:$I$650,3,FALSE)," ",VLOOKUP(B23,Competitors!$A$2:$I$650,2,FALSE))))</f>
        <v>Mike Deely (G Fox) (RFW)</v>
      </c>
      <c r="I23" s="51">
        <f>IF(LEFT($F23,1)="D",UPPER($F23),(C23*3600+D23*60+E23)/86400)</f>
        <v>0</v>
      </c>
      <c r="J23" t="str">
        <f>IF(OR(B23="",ISNUMBER(B23)),"","X")</f>
        <v>X</v>
      </c>
    </row>
    <row r="24" spans="1:10" ht="15">
      <c r="A24" s="46" t="s">
        <v>436</v>
      </c>
      <c r="B24" s="47">
        <f>IF(A24="","",_xlfn.XLOOKUP(A24,ClubNames,ClubNumbers,_xlfn.XLOOKUP(A24,RoundRobinRiderNames,RoundRobinRiderDecoratedNames,A24)))</f>
        <v>846</v>
      </c>
      <c r="C24" s="48"/>
      <c r="D24" s="49"/>
      <c r="E24" s="49"/>
      <c r="F24" s="49"/>
      <c r="G24" s="49"/>
      <c r="H24" s="50" t="str">
        <f>IF($B24="","",IF($J24="X",B24,CONCATENATE(VLOOKUP(B24,Competitors!$A$2:$I$650,3,FALSE)," ",VLOOKUP(B24,Competitors!$A$2:$I$650,2,FALSE))))</f>
        <v>Roger Kockelbergh</v>
      </c>
      <c r="I24" s="51">
        <f>IF(LEFT($F24,1)="D",UPPER($F24),(C24*3600+D24*60+E24)/86400)</f>
        <v>0</v>
      </c>
      <c r="J24" t="str">
        <f>IF(OR(B24="",ISNUMBER(B24)),"","X")</f>
        <v/>
      </c>
    </row>
    <row r="25" spans="1:10" ht="15">
      <c r="A25" s="46" t="s">
        <v>429</v>
      </c>
      <c r="B25" s="47">
        <f>IF(A25="","",_xlfn.XLOOKUP(A25,ClubNames,ClubNumbers,_xlfn.XLOOKUP(A25,RoundRobinRiderNames,RoundRobinRiderDecoratedNames,A25)))</f>
        <v>1237</v>
      </c>
      <c r="C25" s="48"/>
      <c r="D25" s="49"/>
      <c r="E25" s="49"/>
      <c r="F25" s="49" t="s">
        <v>551</v>
      </c>
      <c r="G25" s="49"/>
      <c r="H25" s="50" t="str">
        <f>IF($B25="","",IF($J25="X",B25,CONCATENATE(VLOOKUP(B25,Competitors!$A$2:$I$650,3,FALSE)," ",VLOOKUP(B25,Competitors!$A$2:$I$650,2,FALSE))))</f>
        <v>John Abbott</v>
      </c>
      <c r="I25" s="51">
        <f>IF(LEFT($F25,1)="D",UPPER($F25),(C25*3600+D25*60+E25)/86400)</f>
        <v>0</v>
      </c>
      <c r="J25" t="str">
        <f>IF(OR(B25="",ISNUMBER(B25)),"","X")</f>
        <v/>
      </c>
    </row>
    <row r="26" spans="1:10" ht="15">
      <c r="A26" s="46" t="s">
        <v>601</v>
      </c>
      <c r="B26" s="47" t="str">
        <f>IF(A26="","",_xlfn.XLOOKUP(A26,ClubNames,ClubNumbers,_xlfn.XLOOKUP(A26,RoundRobinRiderNames,RoundRobinRiderDecoratedNames,A26)))</f>
        <v>Evan Collett (G Fox) (KCC)</v>
      </c>
      <c r="C26" s="48"/>
      <c r="D26" s="49"/>
      <c r="E26" s="49"/>
      <c r="F26" s="49"/>
      <c r="G26" s="49"/>
      <c r="H26" s="50" t="str">
        <f>IF($B26="","",IF($J26="X",B26,CONCATENATE(VLOOKUP(B26,Competitors!$A$2:$I$650,3,FALSE)," ",VLOOKUP(B26,Competitors!$A$2:$I$650,2,FALSE))))</f>
        <v>Evan Collett (G Fox) (KCC)</v>
      </c>
      <c r="I26" s="51">
        <f>IF(LEFT($F26,1)="D",UPPER($F26),(C26*3600+D26*60+E26)/86400)</f>
        <v>0</v>
      </c>
      <c r="J26" t="str">
        <f>IF(OR(B26="",ISNUMBER(B26)),"","X")</f>
        <v>X</v>
      </c>
    </row>
    <row r="27" spans="1:10" ht="15">
      <c r="A27" s="46" t="s">
        <v>417</v>
      </c>
      <c r="B27" s="47">
        <f>IF(A27="","",_xlfn.XLOOKUP(A27,ClubNames,ClubNumbers,_xlfn.XLOOKUP(A27,RoundRobinRiderNames,RoundRobinRiderDecoratedNames,A27)))</f>
        <v>38</v>
      </c>
      <c r="C27" s="48"/>
      <c r="D27" s="49"/>
      <c r="E27" s="49"/>
      <c r="F27" s="49"/>
      <c r="G27" s="49"/>
      <c r="H27" s="50" t="str">
        <f>IF($B27="","",IF($J27="X",B27,CONCATENATE(VLOOKUP(B27,Competitors!$A$2:$I$650,3,FALSE)," ",VLOOKUP(B27,Competitors!$A$2:$I$650,2,FALSE))))</f>
        <v>Phil Rayner</v>
      </c>
      <c r="I27" s="51">
        <f>IF(LEFT($F27,1)="D",UPPER($F27),(C27*3600+D27*60+E27)/86400)</f>
        <v>0</v>
      </c>
      <c r="J27" t="str">
        <f>IF(OR(B27="",ISNUMBER(B27)),"","X")</f>
        <v/>
      </c>
    </row>
    <row r="28" spans="1:10" ht="15">
      <c r="A28" s="46" t="s">
        <v>584</v>
      </c>
      <c r="B28" s="47">
        <f>IF(A28="","",_xlfn.XLOOKUP(A28,ClubNames,ClubNumbers,_xlfn.XLOOKUP(A28,RoundRobinRiderNames,RoundRobinRiderDecoratedNames,A28)))</f>
        <v>741</v>
      </c>
      <c r="C28" s="48"/>
      <c r="D28" s="49"/>
      <c r="E28" s="49"/>
      <c r="F28" s="49" t="s">
        <v>551</v>
      </c>
      <c r="G28" s="49"/>
      <c r="H28" s="50" t="str">
        <f>IF($B28="","",IF($J28="X",B28,CONCATENATE(VLOOKUP(B28,Competitors!$A$2:$I$650,3,FALSE)," ",VLOOKUP(B28,Competitors!$A$2:$I$650,2,FALSE))))</f>
        <v>Rob Moore</v>
      </c>
      <c r="I28" s="51">
        <f>IF(LEFT($F28,1)="D",UPPER($F28),(C28*3600+D28*60+E28)/86400)</f>
        <v>0</v>
      </c>
      <c r="J28" t="str">
        <f>IF(OR(B28="",ISNUMBER(B28)),"","X")</f>
        <v/>
      </c>
    </row>
    <row r="29" spans="1:10" ht="15">
      <c r="A29" s="46" t="s">
        <v>412</v>
      </c>
      <c r="B29" s="47">
        <f>IF(A29="","",_xlfn.XLOOKUP(A29,ClubNames,ClubNumbers,_xlfn.XLOOKUP(A29,RoundRobinRiderNames,RoundRobinRiderDecoratedNames,A29)))</f>
        <v>407</v>
      </c>
      <c r="C29" s="48"/>
      <c r="D29" s="49"/>
      <c r="E29" s="49"/>
      <c r="F29" s="49"/>
      <c r="G29" s="49"/>
      <c r="H29" s="50" t="str">
        <f>IF($B29="","",IF($J29="X",B29,CONCATENATE(VLOOKUP(B29,Competitors!$A$2:$I$650,3,FALSE)," ",VLOOKUP(B29,Competitors!$A$2:$I$650,2,FALSE))))</f>
        <v>Hans van Nierop</v>
      </c>
      <c r="I29" s="51">
        <f>IF(LEFT($F29,1)="D",UPPER($F29),(C29*3600+D29*60+E29)/86400)</f>
        <v>0</v>
      </c>
      <c r="J29" t="str">
        <f>IF(OR(B29="",ISNUMBER(B29)),"","X")</f>
        <v/>
      </c>
    </row>
    <row r="30" spans="1:10" ht="15">
      <c r="A30" s="46" t="s">
        <v>523</v>
      </c>
      <c r="B30" s="47" t="str">
        <f>IF(A30="","",_xlfn.XLOOKUP(A30,ClubNames,ClubNumbers,_xlfn.XLOOKUP(A30,RoundRobinRiderNames,RoundRobinRiderDecoratedNames,A30)))</f>
        <v>Chris Fowler (RFW)</v>
      </c>
      <c r="C30" s="48"/>
      <c r="D30" s="49"/>
      <c r="E30" s="49"/>
      <c r="F30" s="49"/>
      <c r="G30" s="49"/>
      <c r="H30" s="50" t="str">
        <f>IF($B30="","",IF($J30="X",B30,CONCATENATE(VLOOKUP(B30,Competitors!$A$2:$I$650,3,FALSE)," ",VLOOKUP(B30,Competitors!$A$2:$I$650,2,FALSE))))</f>
        <v>Chris Fowler (RFW)</v>
      </c>
      <c r="I30" s="51">
        <f>IF(LEFT($F30,1)="D",UPPER($F30),(C30*3600+D30*60+E30)/86400)</f>
        <v>0</v>
      </c>
      <c r="J30" t="str">
        <f>IF(OR(B30="",ISNUMBER(B30)),"","X")</f>
        <v>X</v>
      </c>
    </row>
    <row r="31" spans="1:10" ht="15">
      <c r="A31" s="46" t="s">
        <v>534</v>
      </c>
      <c r="B31" s="47" t="str">
        <f>IF(A31="","",_xlfn.XLOOKUP(A31,ClubNames,ClubNumbers,_xlfn.XLOOKUP(A31,RoundRobinRiderNames,RoundRobinRiderDecoratedNames,A31)))</f>
        <v>Phil Wilkinson (RFW)</v>
      </c>
      <c r="C31" s="48"/>
      <c r="D31" s="49"/>
      <c r="E31" s="49"/>
      <c r="F31" s="49"/>
      <c r="G31" s="49"/>
      <c r="H31" s="50" t="str">
        <f>IF($B31="","",IF($J31="X",B31,CONCATENATE(VLOOKUP(B31,Competitors!$A$2:$I$650,3,FALSE)," ",VLOOKUP(B31,Competitors!$A$2:$I$650,2,FALSE))))</f>
        <v>Phil Wilkinson (RFW)</v>
      </c>
      <c r="I31" s="51">
        <f>IF(LEFT($F31,1)="D",UPPER($F31),(C31*3600+D31*60+E31)/86400)</f>
        <v>0</v>
      </c>
      <c r="J31" t="str">
        <f>IF(OR(B31="",ISNUMBER(B31)),"","X")</f>
        <v>X</v>
      </c>
    </row>
    <row r="32" spans="1:10" ht="15">
      <c r="A32" s="46" t="s">
        <v>415</v>
      </c>
      <c r="B32" s="47">
        <f>IF(A32="","",_xlfn.XLOOKUP(A32,ClubNames,ClubNumbers,_xlfn.XLOOKUP(A32,RoundRobinRiderNames,RoundRobinRiderDecoratedNames,A32)))</f>
        <v>699</v>
      </c>
      <c r="C32" s="48"/>
      <c r="D32" s="49"/>
      <c r="E32" s="49"/>
      <c r="F32" s="49"/>
      <c r="G32" s="49"/>
      <c r="H32" s="50" t="str">
        <f>IF($B32="","",IF($J32="X",B32,CONCATENATE(VLOOKUP(B32,Competitors!$A$2:$I$650,3,FALSE)," ",VLOOKUP(B32,Competitors!$A$2:$I$650,2,FALSE))))</f>
        <v>Jonathan Durnin</v>
      </c>
      <c r="I32" s="51">
        <f>IF(LEFT($F32,1)="D",UPPER($F32),(C32*3600+D32*60+E32)/86400)</f>
        <v>0</v>
      </c>
      <c r="J32" t="str">
        <f>IF(OR(B32="",ISNUMBER(B32)),"","X")</f>
        <v/>
      </c>
    </row>
    <row r="33" spans="1:10" ht="15">
      <c r="A33" s="46"/>
      <c r="B33" s="47" t="str">
        <f t="shared" ref="B2:B34" si="0">IF(A33="","",_xlfn.XLOOKUP(A33,ClubNames,ClubNumbers,_xlfn.XLOOKUP(A33,RoundRobinRiderNames,RoundRobinRiderDecoratedNames,A33)))</f>
        <v/>
      </c>
      <c r="C33" s="48"/>
      <c r="D33" s="49"/>
      <c r="E33" s="49"/>
      <c r="F33" s="49"/>
      <c r="G33" s="49"/>
      <c r="H33" s="50" t="str">
        <f>IF($B33="","",IF($J33="X",B33,CONCATENATE(VLOOKUP(B33,Competitors!$A$2:$I$650,3,FALSE)," ",VLOOKUP(B33,Competitors!$A$2:$I$650,2,FALSE))))</f>
        <v/>
      </c>
      <c r="I33" s="51">
        <f t="shared" ref="I2:I33" si="1">IF(LEFT($F33,1)="D",UPPER($F33),(C33*3600+D33*60+E33)/86400)</f>
        <v>0</v>
      </c>
      <c r="J33" t="str">
        <f t="shared" ref="J2:J33" si="2">IF(OR(B33="",ISNUMBER(B33)),"","X")</f>
        <v/>
      </c>
    </row>
    <row r="34" spans="1:10" ht="15">
      <c r="A34" s="46"/>
      <c r="B34" s="47" t="str">
        <f t="shared" si="0"/>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2026-07-02T13:13:35Z</dcterms:modified>
</cp:coreProperties>
</file>