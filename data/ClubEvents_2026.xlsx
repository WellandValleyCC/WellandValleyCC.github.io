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C3387871-FB0B-4A08-859A-126B9289400F}" xr6:coauthVersionLast="47" xr6:coauthVersionMax="47" xr10:uidLastSave="{00000000-0000-0000-0000-000000000000}"/>
  <bookViews>
    <workbookView xWindow="0" yWindow="3885" windowWidth="28800" windowHeight="13118" firstSheet="28" activeTab="30"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C15" i="18"/>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J18" i="26"/>
  <c r="H18" i="2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J26" i="30"/>
  <c r="H26" i="30"/>
  <c r="J25" i="30"/>
  <c r="H25" i="30"/>
  <c r="J23" i="30"/>
  <c r="J22" i="30"/>
  <c r="J21" i="30"/>
  <c r="J20" i="30"/>
  <c r="H20" i="30"/>
  <c r="J19" i="30"/>
  <c r="H19" i="30"/>
  <c r="J18" i="30"/>
  <c r="J17" i="30"/>
  <c r="J16" i="30"/>
  <c r="H16" i="30"/>
  <c r="J15" i="30"/>
  <c r="H15" i="30"/>
  <c r="J14" i="30"/>
  <c r="H14" i="30"/>
  <c r="J13" i="30"/>
  <c r="J12" i="30"/>
  <c r="J11" i="30"/>
  <c r="J9" i="30"/>
  <c r="J8" i="30"/>
  <c r="J7" i="30"/>
  <c r="H7" i="30"/>
  <c r="J6" i="30"/>
  <c r="H6" i="30"/>
  <c r="J5" i="30"/>
  <c r="H5" i="30"/>
  <c r="J4"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H89" i="40"/>
  <c r="H87" i="40"/>
  <c r="H33" i="39"/>
  <c r="J79" i="37"/>
  <c r="J64" i="31"/>
  <c r="J87" i="40"/>
  <c r="J33" i="39"/>
  <c r="H75" i="34"/>
  <c r="J85" i="20"/>
  <c r="H64" i="31"/>
  <c r="J56" i="28"/>
  <c r="J96" i="43"/>
  <c r="H96" i="43"/>
  <c r="J95" i="43"/>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H98" i="43"/>
  <c r="H97" i="43"/>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C104" i="34"/>
  <c r="C104" i="28"/>
  <c r="C104" i="38"/>
  <c r="C104" i="37"/>
  <c r="C104" i="44"/>
  <c r="C104" i="21"/>
  <c r="C104" i="41"/>
  <c r="C104" i="27"/>
  <c r="C104" i="23"/>
  <c r="C104" i="39"/>
  <c r="C104" i="29"/>
  <c r="C104" i="31"/>
  <c r="C104" i="45"/>
  <c r="C104" i="36"/>
  <c r="C104" i="24"/>
  <c r="C104" i="26"/>
  <c r="C104" i="19"/>
  <c r="C104" i="30"/>
  <c r="C104" i="43"/>
  <c r="C104" i="33"/>
  <c r="C104" i="20"/>
  <c r="C104" i="46"/>
  <c r="C104" i="40"/>
  <c r="C104" i="25"/>
  <c r="C104" i="35"/>
  <c r="C104" i="32"/>
  <c r="C104" i="22"/>
  <c r="C104" i="42"/>
  <c r="J24" i="30"/>
  <c r="H24" i="30"/>
  <c r="J3" i="30"/>
  <c r="H8" i="30"/>
  <c r="H21" i="30"/>
  <c r="H22" i="30"/>
  <c r="H13" i="30"/>
  <c r="H12" i="30"/>
  <c r="H27" i="30"/>
  <c r="H23" i="30"/>
  <c r="H11" i="30"/>
  <c r="H17" i="30"/>
  <c r="H18" i="30"/>
  <c r="H9" i="30"/>
  <c r="H4" i="30"/>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J2" i="30"/>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H3" i="30"/>
  <c r="H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<sst xmlns="http://schemas.openxmlformats.org/spreadsheetml/2006/main" count="14287" uniqueCount="607">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</sst>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 workbookViewId="0">
      <selection activeCell="A15" sqref="A15"/>
    </sheetView>
  </sheetViews>
  <sheetFormatPr defaultRowHeight="12.75" x14ac:dyDescent="0.15"/>
  <cols>
    <col min="1" max="1" width="28.453125" customWidth="1"/>
    <col min="2" max="2" width="19.1484375" customWidth="1"/>
    <col min="3" max="3" width="3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 t="shared" ref="C4:C35" si="0">IF(ISBLANK(B4),IF(ISBLANK(A4),"",A4),_xlfn.CONCAT(A4," (",B4,")"))</f>
        <v>David Marshall (Bluelight CC)</v>
      </c>
      <c r="H4" t="s">
        <v>474</v>
      </c>
    </row>
    <row r="5" spans="1:8" ht="15" x14ac:dyDescent="0.2">
      <c r="A5" t="s">
        <v>475</v>
      </c>
      <c r="B5" t="s">
        <v>476</v>
      </c>
      <c r="C5" s="36" t="str">
        <f t="shared" si="0"/>
        <v>John Capel (Coalville Wheelers)</v>
      </c>
    </row>
    <row r="6" spans="1:8" ht="15" x14ac:dyDescent="0.2">
      <c r="A6" t="s">
        <v>477</v>
      </c>
      <c r="B6" t="s">
        <v>476</v>
      </c>
      <c r="C6" s="36" t="str">
        <f t="shared" si="0"/>
        <v>Pamela Moore (Coalville Wheelers)</v>
      </c>
      <c r="D6" t="s">
        <v>372</v>
      </c>
    </row>
    <row r="7" spans="1:8" ht="15" x14ac:dyDescent="0.2">
      <c r="A7" t="s">
        <v>478</v>
      </c>
      <c r="B7" t="s">
        <v>479</v>
      </c>
      <c r="C7" s="36" t="str">
        <f t="shared" si="0"/>
        <v>Jayne Mumford (W) (Cov Tri)</v>
      </c>
      <c r="D7" t="s">
        <v>372</v>
      </c>
    </row>
    <row r="8" spans="1:8" ht="15" x14ac:dyDescent="0.2">
      <c r="A8" t="s">
        <v>480</v>
      </c>
      <c r="B8" t="s">
        <v>479</v>
      </c>
      <c r="C8" s="36" t="str">
        <f t="shared" si="0"/>
        <v>Simon Clarke (Cov Tri)</v>
      </c>
    </row>
    <row r="9" spans="1:8" ht="15" x14ac:dyDescent="0.2">
      <c r="A9" t="s">
        <v>481</v>
      </c>
      <c r="B9" t="s">
        <v>482</v>
      </c>
      <c r="C9" s="36" t="str">
        <f t="shared" si="0"/>
        <v>Lydia Baxter (FTP Fusion)</v>
      </c>
      <c r="D9" t="s">
        <v>372</v>
      </c>
    </row>
    <row r="10" spans="1:8" ht="15" x14ac:dyDescent="0.2">
      <c r="A10" t="s">
        <v>483</v>
      </c>
      <c r="B10" t="s">
        <v>397</v>
      </c>
      <c r="C10" s="36" t="str">
        <f t="shared" si="0"/>
        <v>Andy Thomas (HCRC)</v>
      </c>
    </row>
    <row r="11" spans="1:8" ht="15" x14ac:dyDescent="0.2">
      <c r="A11" t="s">
        <v>484</v>
      </c>
      <c r="B11" t="s">
        <v>397</v>
      </c>
      <c r="C11" s="36" t="str">
        <f t="shared" si="0"/>
        <v>Colin Parkinson (SWRC) (HCRC)</v>
      </c>
    </row>
    <row r="12" spans="1:8" ht="15" x14ac:dyDescent="0.2">
      <c r="A12" t="s">
        <v>485</v>
      </c>
      <c r="B12" t="s">
        <v>397</v>
      </c>
      <c r="C12" s="36" t="str">
        <f t="shared" si="0"/>
        <v>Joe Murray (M I Racing) (HCRC)</v>
      </c>
    </row>
    <row r="13" spans="1:8" ht="15" x14ac:dyDescent="0.2">
      <c r="A13" t="s">
        <v>486</v>
      </c>
      <c r="B13" t="s">
        <v>397</v>
      </c>
      <c r="C13" s="36" t="str">
        <f t="shared" si="0"/>
        <v>Mick Wills (M I Racing) (HCRC)</v>
      </c>
    </row>
    <row r="14" spans="1:8" ht="15" x14ac:dyDescent="0.2">
      <c r="A14" t="s">
        <v>487</v>
      </c>
      <c r="B14" t="s">
        <v>391</v>
      </c>
      <c r="C14" s="36" t="str">
        <f t="shared" si="0"/>
        <v>Andy King (KCC)</v>
      </c>
    </row>
    <row r="15" spans="1:8" ht="15" x14ac:dyDescent="0.2">
      <c r="A15" t="s">
        <v>603</v>
      </c>
      <c r="B15" t="s">
        <v>391</v>
      </c>
      <c r="C15" s="36" t="str">
        <f t="shared" si="0"/>
        <v>Evan Collett (G Fox) (KCC)</v>
      </c>
    </row>
    <row r="16" spans="1:8" ht="15" x14ac:dyDescent="0.2">
      <c r="A16" t="s">
        <v>488</v>
      </c>
      <c r="B16" t="s">
        <v>391</v>
      </c>
      <c r="C16" s="36" t="str">
        <f t="shared" si="0"/>
        <v>Josh Brown (KCC)</v>
      </c>
    </row>
    <row r="17" spans="1:4" ht="15" x14ac:dyDescent="0.2">
      <c r="A17" t="s">
        <v>596</v>
      </c>
      <c r="B17" t="s">
        <v>391</v>
      </c>
      <c r="C17" s="36" t="str">
        <f t="shared" si="0"/>
        <v>Maria Cayford (KCC)</v>
      </c>
      <c r="D17" t="s">
        <v>372</v>
      </c>
    </row>
    <row r="18" spans="1:4" ht="15" x14ac:dyDescent="0.2">
      <c r="A18" t="s">
        <v>489</v>
      </c>
      <c r="B18" t="s">
        <v>400</v>
      </c>
      <c r="C18" s="36" t="str">
        <f t="shared" si="0"/>
        <v>Harriet Hughes (LFCC)</v>
      </c>
      <c r="D18" t="s">
        <v>372</v>
      </c>
    </row>
    <row r="19" spans="1:4" ht="15" x14ac:dyDescent="0.2">
      <c r="A19" t="s">
        <v>490</v>
      </c>
      <c r="B19" t="s">
        <v>400</v>
      </c>
      <c r="C19" s="36" t="str">
        <f t="shared" si="0"/>
        <v>Mat Mabe (LFCC)</v>
      </c>
    </row>
    <row r="20" spans="1:4" ht="15" x14ac:dyDescent="0.2">
      <c r="A20" t="s">
        <v>491</v>
      </c>
      <c r="B20" t="s">
        <v>400</v>
      </c>
      <c r="C20" s="36" t="str">
        <f t="shared" si="0"/>
        <v>Matt Finch (LFCC)</v>
      </c>
    </row>
    <row r="21" spans="1:4" ht="15" x14ac:dyDescent="0.2">
      <c r="A21" t="s">
        <v>492</v>
      </c>
      <c r="B21" t="s">
        <v>400</v>
      </c>
      <c r="C21" s="36" t="str">
        <f t="shared" si="0"/>
        <v>Morris Mabe (LFCC)</v>
      </c>
    </row>
    <row r="22" spans="1:4" ht="15" x14ac:dyDescent="0.2">
      <c r="A22" t="s">
        <v>493</v>
      </c>
      <c r="B22" t="s">
        <v>400</v>
      </c>
      <c r="C22" s="36" t="str">
        <f t="shared" si="0"/>
        <v>Sam Nettel (LFCC)</v>
      </c>
    </row>
    <row r="23" spans="1:4" ht="15" x14ac:dyDescent="0.2">
      <c r="A23" t="s">
        <v>494</v>
      </c>
      <c r="B23" t="s">
        <v>400</v>
      </c>
      <c r="C23" s="36" t="str">
        <f t="shared" si="0"/>
        <v>Talles Medevives (LFCC)</v>
      </c>
    </row>
    <row r="24" spans="1:4" ht="15" x14ac:dyDescent="0.2">
      <c r="A24" t="s">
        <v>495</v>
      </c>
      <c r="B24" t="s">
        <v>496</v>
      </c>
      <c r="C24" s="36" t="str">
        <f t="shared" si="0"/>
        <v>Dean Tacey (LRC)</v>
      </c>
    </row>
    <row r="25" spans="1:4" ht="15" x14ac:dyDescent="0.2">
      <c r="A25" t="s">
        <v>497</v>
      </c>
      <c r="B25" t="s">
        <v>498</v>
      </c>
      <c r="C25" s="36" t="str">
        <f t="shared" si="0"/>
        <v>Chris Booth (MOCC)</v>
      </c>
    </row>
    <row r="26" spans="1:4" ht="15" x14ac:dyDescent="0.2">
      <c r="A26" t="s">
        <v>499</v>
      </c>
      <c r="B26" t="s">
        <v>498</v>
      </c>
      <c r="C26" s="36" t="str">
        <f t="shared" si="0"/>
        <v>David Cooper (MOCC)</v>
      </c>
    </row>
    <row r="27" spans="1:4" ht="15" x14ac:dyDescent="0.2">
      <c r="A27" t="s">
        <v>500</v>
      </c>
      <c r="B27" t="s">
        <v>498</v>
      </c>
      <c r="C27" s="36" t="str">
        <f t="shared" si="0"/>
        <v>Jamie Haines (MOCC)</v>
      </c>
    </row>
    <row r="28" spans="1:4" ht="15" x14ac:dyDescent="0.2">
      <c r="A28" t="s">
        <v>501</v>
      </c>
      <c r="B28" t="s">
        <v>498</v>
      </c>
      <c r="C28" s="36" t="str">
        <f t="shared" si="0"/>
        <v>Laura Ayers (W) (MOCC)</v>
      </c>
      <c r="D28" t="s">
        <v>372</v>
      </c>
    </row>
    <row r="29" spans="1:4" ht="15" x14ac:dyDescent="0.2">
      <c r="A29" t="s">
        <v>502</v>
      </c>
      <c r="B29" t="s">
        <v>503</v>
      </c>
      <c r="C29" s="36" t="str">
        <f t="shared" si="0"/>
        <v>Ed Tarelli (Race Hub)</v>
      </c>
      <c r="D29" s="36"/>
    </row>
    <row r="30" spans="1:4" ht="15" x14ac:dyDescent="0.2">
      <c r="A30" t="s">
        <v>504</v>
      </c>
      <c r="B30" t="s">
        <v>505</v>
      </c>
      <c r="C30" s="36" t="str">
        <f t="shared" si="0"/>
        <v>Lewis Cooper (RAF Tri)</v>
      </c>
    </row>
    <row r="31" spans="1:4" ht="15" x14ac:dyDescent="0.2">
      <c r="A31" t="s">
        <v>506</v>
      </c>
      <c r="B31" t="s">
        <v>394</v>
      </c>
      <c r="C31" s="36" t="str">
        <f t="shared" si="0"/>
        <v>Alex Whitmore (Ratae)</v>
      </c>
    </row>
    <row r="32" spans="1:4" ht="15" x14ac:dyDescent="0.2">
      <c r="A32" t="s">
        <v>507</v>
      </c>
      <c r="B32" t="s">
        <v>394</v>
      </c>
      <c r="C32" s="36" t="str">
        <f t="shared" si="0"/>
        <v>Brian Lincoln (Ratae)</v>
      </c>
    </row>
    <row r="33" spans="1:4" ht="15" x14ac:dyDescent="0.2">
      <c r="A33" t="s">
        <v>508</v>
      </c>
      <c r="B33" t="s">
        <v>394</v>
      </c>
      <c r="C33" s="36" t="str">
        <f t="shared" si="0"/>
        <v>Chris Bonsor (Ratae)</v>
      </c>
    </row>
    <row r="34" spans="1:4" ht="15" x14ac:dyDescent="0.2">
      <c r="A34" t="s">
        <v>509</v>
      </c>
      <c r="B34" t="s">
        <v>394</v>
      </c>
      <c r="C34" s="36" t="str">
        <f t="shared" si="0"/>
        <v>Chris Spray (Ratae)</v>
      </c>
    </row>
    <row r="35" spans="1:4" ht="15" x14ac:dyDescent="0.2">
      <c r="A35" t="s">
        <v>510</v>
      </c>
      <c r="B35" t="s">
        <v>394</v>
      </c>
      <c r="C35" s="36" t="str">
        <f t="shared" si="0"/>
        <v>Debbie Cooper (Ratae)</v>
      </c>
      <c r="D35" t="s">
        <v>372</v>
      </c>
    </row>
    <row r="36" spans="1:4" ht="15" x14ac:dyDescent="0.2">
      <c r="A36" t="s">
        <v>511</v>
      </c>
      <c r="B36" t="s">
        <v>394</v>
      </c>
      <c r="C36" s="36" t="str">
        <f t="shared" ref="C36:C67" si="1">IF(ISBLANK(B36),IF(ISBLANK(A36),"",A36),_xlfn.CONCAT(A36," (",B36,")"))</f>
        <v>Ed Watson (Ratae)</v>
      </c>
    </row>
    <row r="37" spans="1:4" ht="15" x14ac:dyDescent="0.2">
      <c r="A37" t="s">
        <v>588</v>
      </c>
      <c r="B37" s="63" t="s">
        <v>394</v>
      </c>
      <c r="C37" s="36" t="str">
        <f t="shared" si="1"/>
        <v>Geoff Stanbridge (Ratae)</v>
      </c>
    </row>
    <row r="38" spans="1:4" ht="15" x14ac:dyDescent="0.2">
      <c r="A38" t="s">
        <v>512</v>
      </c>
      <c r="B38" t="s">
        <v>394</v>
      </c>
      <c r="C38" s="36" t="str">
        <f t="shared" si="1"/>
        <v>Jonathon Clarke (Ratae)</v>
      </c>
      <c r="D38" s="36"/>
    </row>
    <row r="39" spans="1:4" ht="15" x14ac:dyDescent="0.2">
      <c r="A39" t="s">
        <v>513</v>
      </c>
      <c r="B39" t="s">
        <v>394</v>
      </c>
      <c r="C39" s="36" t="str">
        <f t="shared" si="1"/>
        <v>Lesley Allden (Ratae)</v>
      </c>
      <c r="D39" t="s">
        <v>372</v>
      </c>
    </row>
    <row r="40" spans="1:4" ht="15" x14ac:dyDescent="0.2">
      <c r="A40" t="s">
        <v>514</v>
      </c>
      <c r="B40" t="s">
        <v>394</v>
      </c>
      <c r="C40" s="36" t="str">
        <f t="shared" si="1"/>
        <v>Lucy Sturgess (Ratae)</v>
      </c>
      <c r="D40" t="s">
        <v>372</v>
      </c>
    </row>
    <row r="41" spans="1:4" ht="15" x14ac:dyDescent="0.2">
      <c r="A41" t="s">
        <v>515</v>
      </c>
      <c r="B41" t="s">
        <v>394</v>
      </c>
      <c r="C41" s="36" t="str">
        <f t="shared" si="1"/>
        <v>Mark Marmoy (Ratae)</v>
      </c>
    </row>
    <row r="42" spans="1:4" ht="15" x14ac:dyDescent="0.2">
      <c r="A42" t="s">
        <v>516</v>
      </c>
      <c r="B42" t="s">
        <v>394</v>
      </c>
      <c r="C42" s="36" t="str">
        <f t="shared" si="1"/>
        <v>Mark Newton (Ratae)</v>
      </c>
    </row>
    <row r="43" spans="1:4" ht="15" x14ac:dyDescent="0.2">
      <c r="A43" t="s">
        <v>517</v>
      </c>
      <c r="B43" t="s">
        <v>394</v>
      </c>
      <c r="C43" s="36" t="str">
        <f t="shared" si="1"/>
        <v>Marshall Briggs (Ratae)</v>
      </c>
    </row>
    <row r="44" spans="1:4" ht="15" x14ac:dyDescent="0.2">
      <c r="A44" t="s">
        <v>518</v>
      </c>
      <c r="B44" t="s">
        <v>394</v>
      </c>
      <c r="C44" s="36" t="str">
        <f t="shared" si="1"/>
        <v>Natalie Harris (Ratae)</v>
      </c>
      <c r="D44" t="s">
        <v>372</v>
      </c>
    </row>
    <row r="45" spans="1:4" ht="15" x14ac:dyDescent="0.2">
      <c r="A45" t="s">
        <v>519</v>
      </c>
      <c r="B45" t="s">
        <v>394</v>
      </c>
      <c r="C45" s="36" t="str">
        <f t="shared" si="1"/>
        <v>Paul Eden (Ratae)</v>
      </c>
    </row>
    <row r="46" spans="1:4" ht="15" x14ac:dyDescent="0.2">
      <c r="A46" t="s">
        <v>520</v>
      </c>
      <c r="B46" t="s">
        <v>394</v>
      </c>
      <c r="C46" s="36" t="str">
        <f t="shared" si="1"/>
        <v>Sadie Murphy (Ratae)</v>
      </c>
      <c r="D46" t="s">
        <v>372</v>
      </c>
    </row>
    <row r="47" spans="1:4" ht="15" x14ac:dyDescent="0.2">
      <c r="A47" t="s">
        <v>521</v>
      </c>
      <c r="B47" t="s">
        <v>394</v>
      </c>
      <c r="C47" s="36" t="str">
        <f t="shared" si="1"/>
        <v>Steve Pearce (Ratae)</v>
      </c>
    </row>
    <row r="48" spans="1:4" ht="15" x14ac:dyDescent="0.2">
      <c r="A48" t="s">
        <v>522</v>
      </c>
      <c r="B48" t="s">
        <v>385</v>
      </c>
      <c r="C48" s="36" t="str">
        <f t="shared" si="1"/>
        <v>Adam Wells (RFW)</v>
      </c>
    </row>
    <row r="49" spans="1:4" ht="15" x14ac:dyDescent="0.2">
      <c r="A49" t="s">
        <v>523</v>
      </c>
      <c r="B49" t="s">
        <v>385</v>
      </c>
      <c r="C49" s="36" t="str">
        <f t="shared" si="1"/>
        <v>Alex Borrowman (RFW)</v>
      </c>
    </row>
    <row r="50" spans="1:4" ht="15" x14ac:dyDescent="0.2">
      <c r="A50" t="s">
        <v>524</v>
      </c>
      <c r="B50" t="s">
        <v>385</v>
      </c>
      <c r="C50" s="36" t="str">
        <f t="shared" si="1"/>
        <v>Anne Gilhespy (RFW)</v>
      </c>
      <c r="D50" t="s">
        <v>372</v>
      </c>
    </row>
    <row r="51" spans="1:4" ht="15" x14ac:dyDescent="0.2">
      <c r="A51" t="s">
        <v>525</v>
      </c>
      <c r="B51" t="s">
        <v>385</v>
      </c>
      <c r="C51" s="36" t="str">
        <f t="shared" si="1"/>
        <v>Chris Fowler (RFW)</v>
      </c>
    </row>
    <row r="52" spans="1:4" ht="15" x14ac:dyDescent="0.2">
      <c r="A52" t="s">
        <v>526</v>
      </c>
      <c r="B52" t="s">
        <v>385</v>
      </c>
      <c r="C52" s="36" t="str">
        <f t="shared" si="1"/>
        <v>Dan Hempkin (RFW)</v>
      </c>
    </row>
    <row r="53" spans="1:4" ht="15" x14ac:dyDescent="0.2">
      <c r="A53" t="s">
        <v>527</v>
      </c>
      <c r="B53" t="s">
        <v>385</v>
      </c>
      <c r="C53" s="36" t="str">
        <f t="shared" si="1"/>
        <v>David Hill (RFW)</v>
      </c>
    </row>
    <row r="54" spans="1:4" ht="15" x14ac:dyDescent="0.2">
      <c r="A54" t="s">
        <v>528</v>
      </c>
      <c r="B54" t="s">
        <v>385</v>
      </c>
      <c r="C54" s="36" t="str">
        <f t="shared" si="1"/>
        <v>Ethan Mitchell-Clarke (RFW)</v>
      </c>
    </row>
    <row r="55" spans="1:4" ht="15" x14ac:dyDescent="0.2">
      <c r="A55" t="s">
        <v>529</v>
      </c>
      <c r="B55" t="s">
        <v>385</v>
      </c>
      <c r="C55" s="36" t="str">
        <f t="shared" si="1"/>
        <v>Giles Cooper (RFW)</v>
      </c>
    </row>
    <row r="56" spans="1:4" ht="15" x14ac:dyDescent="0.2">
      <c r="A56" t="s">
        <v>595</v>
      </c>
      <c r="B56" t="s">
        <v>385</v>
      </c>
      <c r="C56" s="36" t="str">
        <f t="shared" si="1"/>
        <v>Graeme Hall (RFW)</v>
      </c>
    </row>
    <row r="57" spans="1:4" ht="15" x14ac:dyDescent="0.2">
      <c r="A57" t="s">
        <v>530</v>
      </c>
      <c r="B57" t="s">
        <v>385</v>
      </c>
      <c r="C57" s="36" t="str">
        <f t="shared" si="1"/>
        <v>Gregg Payne (RFW)</v>
      </c>
    </row>
    <row r="58" spans="1:4" ht="15" x14ac:dyDescent="0.2">
      <c r="A58" t="s">
        <v>599</v>
      </c>
      <c r="B58" t="s">
        <v>385</v>
      </c>
      <c r="C58" s="36" t="str">
        <f t="shared" si="1"/>
        <v>Hudson Hendry (Ride Revolution) (RFW)</v>
      </c>
    </row>
    <row r="59" spans="1:4" ht="15" x14ac:dyDescent="0.2">
      <c r="A59" t="s">
        <v>601</v>
      </c>
      <c r="B59" t="s">
        <v>385</v>
      </c>
      <c r="C59" s="36" t="str">
        <f t="shared" si="1"/>
        <v>Laurence Noble (RFW)</v>
      </c>
    </row>
    <row r="60" spans="1:4" ht="15" x14ac:dyDescent="0.2">
      <c r="A60" t="s">
        <v>531</v>
      </c>
      <c r="B60" t="s">
        <v>385</v>
      </c>
      <c r="C60" s="36" t="str">
        <f t="shared" si="1"/>
        <v>Lynne Scofield (RFW)</v>
      </c>
      <c r="D60" t="s">
        <v>372</v>
      </c>
    </row>
    <row r="61" spans="1:4" ht="15" x14ac:dyDescent="0.2">
      <c r="A61" t="s">
        <v>532</v>
      </c>
      <c r="B61" t="s">
        <v>385</v>
      </c>
      <c r="C61" s="36" t="str">
        <f t="shared" si="1"/>
        <v>Lynne Wilkinson-Scofield (RFW)</v>
      </c>
      <c r="D61" t="s">
        <v>372</v>
      </c>
    </row>
    <row r="62" spans="1:4" ht="15" x14ac:dyDescent="0.2">
      <c r="A62" t="s">
        <v>533</v>
      </c>
      <c r="B62" t="s">
        <v>385</v>
      </c>
      <c r="C62" s="36" t="str">
        <f t="shared" si="1"/>
        <v>Michael Carter (RFW)</v>
      </c>
    </row>
    <row r="63" spans="1:4" ht="15" x14ac:dyDescent="0.2">
      <c r="A63" t="s">
        <v>584</v>
      </c>
      <c r="B63" t="s">
        <v>385</v>
      </c>
      <c r="C63" s="36" t="str">
        <f t="shared" si="1"/>
        <v>Mike Deely (G Fox) (RFW)</v>
      </c>
    </row>
    <row r="64" spans="1:4" ht="15" x14ac:dyDescent="0.2">
      <c r="A64" t="s">
        <v>519</v>
      </c>
      <c r="B64" t="s">
        <v>385</v>
      </c>
      <c r="C64" s="36" t="str">
        <f t="shared" si="1"/>
        <v>Paul Eden (RFW)</v>
      </c>
    </row>
    <row r="65" spans="1:3" ht="15" x14ac:dyDescent="0.2">
      <c r="A65" t="s">
        <v>534</v>
      </c>
      <c r="B65" t="s">
        <v>385</v>
      </c>
      <c r="C65" s="36" t="str">
        <f t="shared" si="1"/>
        <v>Paul Russell (RFW)</v>
      </c>
    </row>
    <row r="66" spans="1:3" ht="15" x14ac:dyDescent="0.2">
      <c r="A66" t="s">
        <v>535</v>
      </c>
      <c r="B66" t="s">
        <v>385</v>
      </c>
      <c r="C66" s="36" t="str">
        <f t="shared" si="1"/>
        <v>Paul Ryan (RFW)</v>
      </c>
    </row>
    <row r="67" spans="1:3" ht="15" x14ac:dyDescent="0.2">
      <c r="A67" t="s">
        <v>536</v>
      </c>
      <c r="B67" t="s">
        <v>385</v>
      </c>
      <c r="C67" s="36" t="str">
        <f t="shared" si="1"/>
        <v>Phil Wilkinson (RFW)</v>
      </c>
    </row>
    <row r="68" spans="1:3" ht="15" x14ac:dyDescent="0.2">
      <c r="A68" t="s">
        <v>597</v>
      </c>
      <c r="B68" t="s">
        <v>385</v>
      </c>
      <c r="C68" s="36" t="str">
        <f t="shared" ref="C68:C99" si="2">IF(ISBLANK(B68),IF(ISBLANK(A68),"",A68),_xlfn.CONCAT(A68," (",B68,")"))</f>
        <v>Steve Coombs (RFW)</v>
      </c>
    </row>
    <row r="69" spans="1:3" ht="15" x14ac:dyDescent="0.2">
      <c r="A69" t="s">
        <v>598</v>
      </c>
      <c r="B69" t="s">
        <v>385</v>
      </c>
      <c r="C69" s="36" t="str">
        <f t="shared" si="2"/>
        <v>Steve Wickham (RFW)</v>
      </c>
    </row>
    <row r="70" spans="1:3" ht="15" x14ac:dyDescent="0.2">
      <c r="A70" t="s">
        <v>538</v>
      </c>
      <c r="B70" t="s">
        <v>539</v>
      </c>
      <c r="C70" s="36" t="str">
        <f t="shared" si="2"/>
        <v>Adrian James (Rugby RCC)</v>
      </c>
    </row>
    <row r="71" spans="1:3" ht="15" x14ac:dyDescent="0.2">
      <c r="A71" t="s">
        <v>540</v>
      </c>
      <c r="B71" t="s">
        <v>541</v>
      </c>
      <c r="C71" s="36" t="str">
        <f t="shared" si="2"/>
        <v>Carl Shaw (Speedhub)</v>
      </c>
    </row>
    <row r="72" spans="1:3" ht="15" x14ac:dyDescent="0.2">
      <c r="A72" t="s">
        <v>542</v>
      </c>
      <c r="B72" t="s">
        <v>543</v>
      </c>
      <c r="C72" s="36" t="str">
        <f t="shared" si="2"/>
        <v>Oliver Searle (St Ives CC)</v>
      </c>
    </row>
    <row r="73" spans="1:3" ht="15" x14ac:dyDescent="0.2">
      <c r="C73" s="36" t="str">
        <f t="shared" si="2"/>
        <v/>
      </c>
    </row>
    <row r="74" spans="1:3" ht="15" x14ac:dyDescent="0.2">
      <c r="C74" s="36" t="str">
        <f t="shared" si="2"/>
        <v/>
      </c>
    </row>
    <row r="75" spans="1:3" ht="15" x14ac:dyDescent="0.2">
      <c r="C75" s="36" t="str">
        <f t="shared" si="2"/>
        <v/>
      </c>
    </row>
    <row r="76" spans="1:3" ht="15" x14ac:dyDescent="0.2">
      <c r="C76" s="36" t="str">
        <f t="shared" si="2"/>
        <v/>
      </c>
    </row>
    <row r="77" spans="1:3" ht="15" x14ac:dyDescent="0.2">
      <c r="C77" s="36" t="str">
        <f t="shared" si="2"/>
        <v/>
      </c>
    </row>
    <row r="78" spans="1:3" ht="15" x14ac:dyDescent="0.2">
      <c r="C78" s="36" t="str">
        <f t="shared" si="2"/>
        <v/>
      </c>
    </row>
    <row r="79" spans="1:3" ht="15" x14ac:dyDescent="0.2">
      <c r="C79" s="36" t="str">
        <f t="shared" si="2"/>
        <v/>
      </c>
    </row>
    <row r="80" spans="1:3" ht="15" x14ac:dyDescent="0.2">
      <c r="C80" s="36" t="str">
        <f t="shared" si="2"/>
        <v/>
      </c>
    </row>
    <row r="81" spans="3:3" ht="15" x14ac:dyDescent="0.2">
      <c r="C81" s="36" t="str">
        <f t="shared" si="2"/>
        <v/>
      </c>
    </row>
    <row r="82" spans="3:3" ht="15" x14ac:dyDescent="0.2">
      <c r="C82" s="36" t="str">
        <f t="shared" si="2"/>
        <v/>
      </c>
    </row>
    <row r="83" spans="3:3" ht="15" x14ac:dyDescent="0.2">
      <c r="C83" s="36" t="str">
        <f t="shared" si="2"/>
        <v/>
      </c>
    </row>
    <row r="84" spans="3:3" ht="15" x14ac:dyDescent="0.2">
      <c r="C84" s="36" t="str">
        <f t="shared" si="2"/>
        <v/>
      </c>
    </row>
    <row r="85" spans="3:3" ht="15" x14ac:dyDescent="0.2">
      <c r="C85" s="36" t="str">
        <f t="shared" si="2"/>
        <v/>
      </c>
    </row>
    <row r="86" spans="3:3" ht="15" x14ac:dyDescent="0.2">
      <c r="C86" s="36" t="str">
        <f t="shared" si="2"/>
        <v/>
      </c>
    </row>
    <row r="87" spans="3:3" ht="15" x14ac:dyDescent="0.2">
      <c r="C87" s="36" t="str">
        <f t="shared" si="2"/>
        <v/>
      </c>
    </row>
    <row r="88" spans="3:3" ht="15" x14ac:dyDescent="0.2">
      <c r="C88" s="36" t="str">
        <f t="shared" si="2"/>
        <v/>
      </c>
    </row>
    <row r="89" spans="3:3" ht="15" x14ac:dyDescent="0.2">
      <c r="C89" s="36" t="str">
        <f t="shared" si="2"/>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455</v>
      </c>
      <c r="B2" s="47">
        <v>558</v>
      </c>
      <c r="C2" s="48"/>
      <c r="D2" s="49">
        <v>43</v>
      </c>
      <c r="E2" s="49">
        <v>1</v>
      </c>
      <c r="F2" s="49" t="s">
        <v>553</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553</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553</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553</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553</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553</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553</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554</v>
      </c>
      <c r="B11" s="47">
        <v>1385</v>
      </c>
      <c r="C11" s="48"/>
      <c r="D11" s="49"/>
      <c r="E11" s="49"/>
      <c r="F11" s="49" t="s">
        <v>553</v>
      </c>
      <c r="G11" s="49" t="s">
        <v>555</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553</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556</v>
      </c>
      <c r="B14" s="47">
        <v>1162</v>
      </c>
      <c r="C14" s="48"/>
      <c r="D14" s="49"/>
      <c r="E14" s="49"/>
      <c r="F14" s="49" t="s">
        <v>553</v>
      </c>
      <c r="G14" s="49" t="s">
        <v>555</v>
      </c>
      <c r="H14" s="50" t="str">
        <f>IF($B14="","",IF($J14="X",B14,CONCATENATE(VLOOKUP(B14,Competitors!$A$2:$I$650,3,FALSE)," ",VLOOKUP(B14,Competitors!$A$2:$I$650,2,FALSE))))</f>
        <v>Richard Krause</v>
      </c>
      <c r="I14" s="51">
        <f t="shared" si="0"/>
        <v>0</v>
      </c>
      <c r="J14" t="str">
        <f t="shared" si="1"/>
        <v/>
      </c>
    </row>
    <row r="15" spans="1:10" ht="14.25" x14ac:dyDescent="0.15">
      <c r="A15" s="46" t="s">
        <v>557</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553</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553</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558</v>
      </c>
      <c r="B19" s="47" t="s">
        <v>558</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553</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559</v>
      </c>
      <c r="B21" s="47" t="s">
        <v>559</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455</v>
      </c>
      <c r="B2" s="47">
        <v>558</v>
      </c>
      <c r="C2" s="48">
        <v>1</v>
      </c>
      <c r="D2" s="48">
        <v>35</v>
      </c>
      <c r="E2" s="48">
        <v>37</v>
      </c>
      <c r="F2" s="48" t="s">
        <v>553</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553</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553</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553</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553</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553</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553</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562</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553</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553</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553</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537</v>
      </c>
      <c r="B21" s="47" t="s">
        <v>537</v>
      </c>
      <c r="C21" s="48">
        <v>0</v>
      </c>
      <c r="D21" s="48">
        <v>48</v>
      </c>
      <c r="E21" s="48">
        <v>48</v>
      </c>
      <c r="F21" s="48" t="s">
        <v>553</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559</v>
      </c>
      <c r="B23" s="47" t="s">
        <v>559</v>
      </c>
      <c r="C23" s="48">
        <v>0</v>
      </c>
      <c r="D23" s="48">
        <v>55</v>
      </c>
      <c r="E23" s="48">
        <v>18</v>
      </c>
      <c r="F23" s="48" t="s">
        <v>553</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455</v>
      </c>
      <c r="B2" s="47">
        <v>558</v>
      </c>
      <c r="C2" s="48"/>
      <c r="D2" s="48">
        <v>39</v>
      </c>
      <c r="E2" s="48">
        <v>2</v>
      </c>
      <c r="F2" s="48" t="s">
        <v>553</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553</v>
      </c>
      <c r="G3" s="48"/>
      <c r="H3" s="50" t="str">
        <f>IF($B3="","",IF($J3="X",B3,CONCATENATE(VLOOKUP(B3,Competitors!$A$2:$I$650,3,FALSE)," ",VLOOKUP(B3,Competitors!$A$2:$I$650,2,FALSE))))</f>
        <v>Ray Taylor</v>
      </c>
      <c r="I3" s="51">
        <f t="shared" si="0"/>
        <v>2.435185185185185E-2</v>
      </c>
      <c r="J3" t="str">
        <f t="shared" si="1"/>
        <v/>
      </c>
    </row>
    <row r="4" spans="1:10" ht="14.25" x14ac:dyDescent="0.15">
      <c r="A4" s="46" t="s">
        <v>508</v>
      </c>
      <c r="B4" s="47" t="s">
        <v>563</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531</v>
      </c>
      <c r="B5" s="47" t="s">
        <v>564</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562</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565</v>
      </c>
      <c r="B8" s="47" t="s">
        <v>565</v>
      </c>
      <c r="C8" s="48"/>
      <c r="D8" s="48">
        <v>23</v>
      </c>
      <c r="E8" s="48">
        <v>0</v>
      </c>
      <c r="F8" s="48" t="s">
        <v>553</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557</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566</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566</v>
      </c>
      <c r="H12" s="50" t="str">
        <f>IF($B12="","",IF($J12="X",B12,CONCATENATE(VLOOKUP(B12,Competitors!$A$2:$I$650,3,FALSE)," ",VLOOKUP(B12,Competitors!$A$2:$I$650,2,FALSE))))</f>
        <v>Simon Ward</v>
      </c>
      <c r="I12" s="51">
        <f t="shared" si="0"/>
        <v>0</v>
      </c>
      <c r="J12" t="str">
        <f t="shared" si="1"/>
        <v/>
      </c>
    </row>
    <row r="13" spans="1:10" ht="14.25" x14ac:dyDescent="0.15">
      <c r="A13" s="46" t="s">
        <v>536</v>
      </c>
      <c r="B13" s="47" t="s">
        <v>567</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521</v>
      </c>
      <c r="B14" s="47" t="s">
        <v>568</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553</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553</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554</v>
      </c>
      <c r="B20" s="47">
        <v>1385</v>
      </c>
      <c r="C20" s="48"/>
      <c r="D20" s="48"/>
      <c r="E20" s="48"/>
      <c r="F20" s="48"/>
      <c r="G20" s="48" t="s">
        <v>562</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553</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509</v>
      </c>
      <c r="B26" s="47" t="s">
        <v>569</v>
      </c>
      <c r="C26" s="48"/>
      <c r="D26" s="48"/>
      <c r="E26" s="48"/>
      <c r="F26" s="48"/>
      <c r="G26" s="48" t="s">
        <v>562</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562</v>
      </c>
      <c r="H27" s="50" t="str">
        <f>IF($B27="","",IF($J27="X",B27,CONCATENATE(VLOOKUP(B27,Competitors!$A$2:$I$650,3,FALSE)," ",VLOOKUP(B27,Competitors!$A$2:$I$650,2,FALSE))))</f>
        <v>John Abbott</v>
      </c>
      <c r="I27" s="51">
        <f t="shared" si="0"/>
        <v>0</v>
      </c>
      <c r="J27" t="str">
        <f t="shared" si="1"/>
        <v/>
      </c>
    </row>
    <row r="28" spans="1:10" ht="14.25" x14ac:dyDescent="0.15">
      <c r="A28" s="46" t="s">
        <v>516</v>
      </c>
      <c r="B28" s="47" t="s">
        <v>570</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571</v>
      </c>
      <c r="C31" s="48"/>
      <c r="D31" s="48">
        <v>22</v>
      </c>
      <c r="E31" s="48">
        <v>49</v>
      </c>
      <c r="F31" s="48" t="s">
        <v>553</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507</v>
      </c>
      <c r="B35" s="47" t="s">
        <v>572</v>
      </c>
      <c r="C35" s="48"/>
      <c r="D35" s="48">
        <v>34</v>
      </c>
      <c r="E35" s="48">
        <v>29</v>
      </c>
      <c r="F35" s="48" t="s">
        <v>553</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517</v>
      </c>
      <c r="B36" s="47" t="s">
        <v>573</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455</v>
      </c>
      <c r="B2" s="54">
        <v>558</v>
      </c>
      <c r="C2" s="48"/>
      <c r="D2" s="48">
        <v>39</v>
      </c>
      <c r="E2" s="48">
        <v>9</v>
      </c>
      <c r="F2" s="48" t="s">
        <v>553</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553</v>
      </c>
      <c r="G3" s="48"/>
      <c r="H3" s="50" t="str">
        <f>IF($B3="","",IF($J3="X",B3,CONCATENATE(VLOOKUP(B3,Competitors!$A$2:$I$650,3,FALSE)," ",VLOOKUP(B3,Competitors!$A$2:$I$650,2,FALSE))))</f>
        <v>Ray Taylor</v>
      </c>
      <c r="I3" s="51">
        <f t="shared" si="0"/>
        <v>2.3796296296296298E-2</v>
      </c>
      <c r="J3" t="str">
        <f t="shared" si="1"/>
        <v/>
      </c>
    </row>
    <row r="4" spans="1:10" ht="14.25" x14ac:dyDescent="0.15">
      <c r="A4" s="46" t="s">
        <v>508</v>
      </c>
      <c r="B4" s="54" t="s">
        <v>563</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553</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553</v>
      </c>
      <c r="G6" s="48"/>
      <c r="H6" s="50" t="str">
        <f>IF($B6="","",IF($J6="X",B6,CONCATENATE(VLOOKUP(B6,Competitors!$A$2:$I$650,3,FALSE)," ",VLOOKUP(B6,Competitors!$A$2:$I$650,2,FALSE))))</f>
        <v>Jane Moore</v>
      </c>
      <c r="I6" s="51">
        <f t="shared" si="0"/>
        <v>2.2800925925925926E-2</v>
      </c>
      <c r="J6" t="str">
        <f t="shared" si="1"/>
        <v/>
      </c>
    </row>
    <row r="7" spans="1:10" ht="14.25" x14ac:dyDescent="0.15">
      <c r="A7" s="46" t="s">
        <v>513</v>
      </c>
      <c r="B7" s="54" t="s">
        <v>574</v>
      </c>
      <c r="C7" s="48"/>
      <c r="D7" s="48">
        <v>33</v>
      </c>
      <c r="E7" s="48">
        <v>51</v>
      </c>
      <c r="F7" s="48" t="s">
        <v>553</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521</v>
      </c>
      <c r="B9" s="54" t="s">
        <v>568</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507</v>
      </c>
      <c r="B10" s="54" t="s">
        <v>572</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562</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553</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575</v>
      </c>
      <c r="B14" s="54" t="s">
        <v>575</v>
      </c>
      <c r="C14" s="48"/>
      <c r="D14" s="48">
        <v>38</v>
      </c>
      <c r="E14" s="48">
        <v>6</v>
      </c>
      <c r="F14" s="48" t="s">
        <v>553</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553</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553</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553</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553</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553</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562</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553</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553</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519</v>
      </c>
      <c r="B37" s="54" t="s">
        <v>576</v>
      </c>
      <c r="C37" s="48"/>
      <c r="D37" s="48">
        <v>34</v>
      </c>
      <c r="E37" s="48">
        <v>21</v>
      </c>
      <c r="F37" s="48" t="s">
        <v>553</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562</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45" t="s">
        <v>463</v>
      </c>
      <c r="I1" s="45" t="s">
        <v>551</v>
      </c>
      <c r="J1" t="s">
        <v>552</v>
      </c>
    </row>
    <row r="2" spans="1:10" ht="14.25" x14ac:dyDescent="0.15">
      <c r="A2" s="46" t="s">
        <v>455</v>
      </c>
      <c r="B2" s="47">
        <f t="shared" ref="B2:B33" si="0">IF(A2="","",_xlfn.XLOOKUP(A2,ClubNames,ClubNumbers,_xlfn.XLOOKUP(A2,RoundRobinRiderNames,RoundRobinRiderDecoratedNames,A2)))</f>
        <v>558</v>
      </c>
      <c r="C2" s="48"/>
      <c r="D2" s="48">
        <v>40</v>
      </c>
      <c r="E2" s="48">
        <v>54</v>
      </c>
      <c r="F2" s="48" t="s">
        <v>553</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553</v>
      </c>
      <c r="G3" s="48"/>
      <c r="H3" s="50" t="str">
        <f>IF($B3="","",IF($J3="X",B3,CONCATENATE(VLOOKUP(B3,Competitors!$A$2:$I$650,3,FALSE)," ",VLOOKUP(B3,Competitors!$A$2:$I$650,2,FALSE))))</f>
        <v>Jane Moore</v>
      </c>
      <c r="I3" s="51">
        <f t="shared" si="1"/>
        <v>2.4143518518518519E-2</v>
      </c>
      <c r="J3" t="str">
        <f t="shared" si="2"/>
        <v/>
      </c>
    </row>
    <row r="4" spans="1:10" ht="14.25" x14ac:dyDescent="0.15">
      <c r="A4" s="46" t="s">
        <v>516</v>
      </c>
      <c r="B4" s="47" t="str">
        <f t="shared" si="0"/>
        <v>Mark Newton (Ratae)</v>
      </c>
      <c r="C4" s="48"/>
      <c r="D4" s="48">
        <v>30</v>
      </c>
      <c r="E4" s="48">
        <v>18</v>
      </c>
      <c r="F4" s="48" t="s">
        <v>553</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553</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507</v>
      </c>
      <c r="B7" s="47" t="str">
        <f t="shared" si="0"/>
        <v>Brian Lincoln (Ratae)</v>
      </c>
      <c r="C7" s="48"/>
      <c r="D7" s="48">
        <v>35</v>
      </c>
      <c r="E7" s="48">
        <v>55</v>
      </c>
      <c r="F7" s="48" t="s">
        <v>553</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553</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553</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553</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575</v>
      </c>
      <c r="B16" s="47" t="str">
        <f t="shared" si="0"/>
        <v>Laura Davison</v>
      </c>
      <c r="C16" s="48"/>
      <c r="D16" s="48">
        <v>31</v>
      </c>
      <c r="E16" s="48">
        <v>25</v>
      </c>
      <c r="F16" s="48" t="s">
        <v>553</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553</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519</v>
      </c>
      <c r="B18" s="47" t="str">
        <f t="shared" si="0"/>
        <v>Paul Eden (Ratae)</v>
      </c>
      <c r="C18" s="48"/>
      <c r="D18" s="48">
        <v>35</v>
      </c>
      <c r="E18" s="48">
        <v>30</v>
      </c>
      <c r="F18" s="48" t="s">
        <v>553</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553</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553</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553</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553</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553</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553</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536</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449</v>
      </c>
      <c r="B2" s="47">
        <f t="shared" ref="B2:B33" si="0">IF(A2="","",_xlfn.XLOOKUP(A2,ClubNames,ClubNumbers,_xlfn.XLOOKUP(A2,RoundRobinRiderNames,RoundRobinRiderDecoratedNames,A2)))</f>
        <v>1298</v>
      </c>
      <c r="C2" s="48"/>
      <c r="D2" s="48"/>
      <c r="E2" s="48"/>
      <c r="F2" s="48" t="s">
        <v>553</v>
      </c>
      <c r="G2" s="48" t="s">
        <v>555</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508</v>
      </c>
      <c r="B7" s="47" t="str">
        <f t="shared" si="0"/>
        <v>Chris Bonsor (Ratae)</v>
      </c>
      <c r="C7" s="48"/>
      <c r="D7" s="48"/>
      <c r="E7" s="48"/>
      <c r="F7" s="48"/>
      <c r="G7" s="48" t="s">
        <v>555</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555</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553</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553</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553</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553</v>
      </c>
      <c r="G13" s="48" t="s">
        <v>555</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553</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555</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553</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553</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577</v>
      </c>
      <c r="H25" s="50" t="str">
        <f>IF($B25="","",IF($J25="X",B25,CONCATENATE(VLOOKUP(B25,Competitors!$A$2:$I$650,3,FALSE)," ",VLOOKUP(B25,Competitors!$A$2:$I$650,2,FALSE))))</f>
        <v>Andy Poulton</v>
      </c>
      <c r="I25" s="51">
        <f t="shared" si="1"/>
        <v>0</v>
      </c>
      <c r="J25" t="str">
        <f t="shared" si="2"/>
        <v/>
      </c>
    </row>
    <row r="26" spans="1:10" ht="14.25" x14ac:dyDescent="0.15">
      <c r="A26" s="46" t="s">
        <v>578</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553</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553</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553</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553</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553</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553</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553</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553</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553</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553</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553</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553</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553</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577</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553</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553</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553</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553</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577</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553</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553</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452</v>
      </c>
      <c r="B2" s="47">
        <f t="shared" ref="B2:B33" si="0">IF(A2="","",_xlfn.XLOOKUP(A2,ClubNames,ClubNumbers,_xlfn.XLOOKUP(A2,RoundRobinRiderNames,RoundRobinRiderDecoratedNames,A2)))</f>
        <v>1244</v>
      </c>
      <c r="C2" s="48"/>
      <c r="D2" s="48">
        <v>30</v>
      </c>
      <c r="E2" s="48">
        <v>3</v>
      </c>
      <c r="F2" s="48" t="s">
        <v>553</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553</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553</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553</v>
      </c>
      <c r="G5" s="48" t="s">
        <v>555</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553</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553</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553</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553</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553</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553</v>
      </c>
      <c r="G12" s="48" t="s">
        <v>555</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553</v>
      </c>
      <c r="G13" s="48" t="s">
        <v>555</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553</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555</v>
      </c>
      <c r="H17" s="50" t="str">
        <f>IF($B17="","",IF($J17="X",B17,CONCATENATE(VLOOKUP(B17,Competitors!$A$2:$I$650,3,FALSE)," ",VLOOKUP(B17,Competitors!$A$2:$I$650,2,FALSE))))</f>
        <v>Milly Pinnock</v>
      </c>
      <c r="I17" s="51">
        <f t="shared" si="1"/>
        <v>0</v>
      </c>
      <c r="J17" t="str">
        <f t="shared" si="2"/>
        <v/>
      </c>
    </row>
    <row r="18" spans="1:10" ht="14.25" x14ac:dyDescent="0.15">
      <c r="A18" s="46" t="s">
        <v>516</v>
      </c>
      <c r="B18" s="47" t="str">
        <f t="shared" si="0"/>
        <v>Mark Newton (Ratae)</v>
      </c>
      <c r="C18" s="48"/>
      <c r="D18" s="48">
        <v>28</v>
      </c>
      <c r="E18" s="48">
        <v>2</v>
      </c>
      <c r="F18" s="48" t="s">
        <v>553</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553</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553</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553</v>
      </c>
      <c r="G27" s="48" t="s">
        <v>555</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553</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553</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553</v>
      </c>
      <c r="G4" s="48"/>
      <c r="H4" s="50" t="str">
        <f>IF($B4="","",IF($J4="X",B4,CONCATENATE(VLOOKUP(B4,Competitors!$A$2:$I$650,3,FALSE)," ",VLOOKUP(B4,Competitors!$A$2:$I$650,2,FALSE))))</f>
        <v>Michaela Latham</v>
      </c>
      <c r="I4" s="51">
        <f t="shared" si="1"/>
        <v>5.0752314814814813E-2</v>
      </c>
      <c r="J4" t="str">
        <f t="shared" si="2"/>
        <v/>
      </c>
    </row>
    <row r="5" spans="1:10" ht="14.25" x14ac:dyDescent="0.15">
      <c r="A5" s="56" t="s">
        <v>532</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553</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579</v>
      </c>
      <c r="B8" s="47" t="str">
        <f t="shared" si="0"/>
        <v>Charlie Hoyle</v>
      </c>
      <c r="C8" s="48"/>
      <c r="D8" s="48"/>
      <c r="E8" s="48"/>
      <c r="F8" s="48"/>
      <c r="G8" s="48" t="s">
        <v>562</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553</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553</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566</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553</v>
      </c>
      <c r="G14" s="48" t="s">
        <v>562</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553</v>
      </c>
      <c r="G22" s="48" t="s">
        <v>562</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553</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553</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580</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536</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5" x14ac:dyDescent="0.15">
      <c r="A2" s="57" t="s">
        <v>454</v>
      </c>
      <c r="B2" s="47">
        <f t="shared" ref="B2:B33" si="0">IF(A2="","",_xlfn.XLOOKUP(A2,ClubNames,ClubNumbers,_xlfn.XLOOKUP(A2,RoundRobinRiderNames,RoundRobinRiderDecoratedNames,A2)))</f>
        <v>990</v>
      </c>
      <c r="C2" s="48"/>
      <c r="D2" s="48">
        <v>31</v>
      </c>
      <c r="E2" s="48">
        <v>1</v>
      </c>
      <c r="F2" s="48" t="s">
        <v>553</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553</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553</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553</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553</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553</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553</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553</v>
      </c>
      <c r="G9" s="48"/>
      <c r="H9" s="50" t="str">
        <f>IF($B9="","",IF($J9="X",B9,CONCATENATE(VLOOKUP(B9,Competitors!$A$2:$I$650,3,FALSE)," ",VLOOKUP(B9,Competitors!$A$2:$I$650,2,FALSE))))</f>
        <v>Richard Hardwicke</v>
      </c>
      <c r="I9" s="51">
        <f t="shared" si="1"/>
        <v>1.7858796296296296E-2</v>
      </c>
      <c r="J9" t="str">
        <f t="shared" si="2"/>
        <v/>
      </c>
    </row>
    <row r="10" spans="1:10" ht="15" x14ac:dyDescent="0.15">
      <c r="A10" s="57" t="s">
        <v>508</v>
      </c>
      <c r="B10" s="47" t="str">
        <f t="shared" si="0"/>
        <v>Chris Bonsor (Ratae)</v>
      </c>
      <c r="C10" s="48"/>
      <c r="D10" s="48">
        <v>25</v>
      </c>
      <c r="E10" s="48">
        <v>39</v>
      </c>
      <c r="F10" s="48" t="s">
        <v>553</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553</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553</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553</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581</v>
      </c>
      <c r="B14" s="47" t="str">
        <f t="shared" si="0"/>
        <v>Tom Keane</v>
      </c>
      <c r="C14" s="48"/>
      <c r="D14" s="48">
        <v>26</v>
      </c>
      <c r="E14" s="48">
        <v>56</v>
      </c>
      <c r="F14" s="48" t="s">
        <v>553</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518</v>
      </c>
      <c r="B15" s="47" t="str">
        <f t="shared" si="0"/>
        <v>Natalie Harris (Ratae)</v>
      </c>
      <c r="C15" s="48"/>
      <c r="D15" s="48">
        <v>28</v>
      </c>
      <c r="E15" s="48">
        <v>39</v>
      </c>
      <c r="F15" s="48" t="s">
        <v>553</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582</v>
      </c>
      <c r="B16" s="47">
        <f t="shared" si="0"/>
        <v>1423</v>
      </c>
      <c r="C16" s="48"/>
      <c r="D16" s="48">
        <v>29</v>
      </c>
      <c r="E16" s="48">
        <v>0</v>
      </c>
      <c r="F16" s="48" t="s">
        <v>553</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583</v>
      </c>
      <c r="B17" s="47">
        <f t="shared" si="0"/>
        <v>1422</v>
      </c>
      <c r="C17" s="48"/>
      <c r="D17" s="48"/>
      <c r="E17" s="48"/>
      <c r="F17" s="48" t="s">
        <v>553</v>
      </c>
      <c r="G17" s="48" t="s">
        <v>555</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553</v>
      </c>
      <c r="G19" s="48" t="s">
        <v>577</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553</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553</v>
      </c>
      <c r="G22" s="48" t="s">
        <v>555</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553</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507</v>
      </c>
      <c r="B30" s="47" t="str">
        <f t="shared" si="0"/>
        <v>Brian Lincoln (Ratae)</v>
      </c>
      <c r="C30" s="48"/>
      <c r="D30" s="48">
        <v>29</v>
      </c>
      <c r="E30" s="48">
        <v>11</v>
      </c>
      <c r="F30" s="48" t="s">
        <v>553</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537</v>
      </c>
      <c r="B31" s="47" t="str">
        <f t="shared" si="0"/>
        <v>Hudson Hendry</v>
      </c>
      <c r="C31" s="48"/>
      <c r="D31" s="48"/>
      <c r="E31" s="48"/>
      <c r="F31" s="48" t="s">
        <v>553</v>
      </c>
      <c r="G31" s="48" t="s">
        <v>555</v>
      </c>
      <c r="H31" s="50" t="str">
        <f>IF($B31="","",IF($J31="X",B31,CONCATENATE(VLOOKUP(B31,Competitors!$A$2:$I$650,3,FALSE)," ",VLOOKUP(B31,Competitors!$A$2:$I$650,2,FALSE))))</f>
        <v>Hudson Hendry</v>
      </c>
      <c r="I31" s="51">
        <f t="shared" si="1"/>
        <v>0</v>
      </c>
      <c r="J31" t="str">
        <f t="shared" si="2"/>
        <v>X</v>
      </c>
    </row>
    <row r="32" spans="1:10" ht="15" x14ac:dyDescent="0.15">
      <c r="A32" s="57" t="s">
        <v>414</v>
      </c>
      <c r="B32" s="47">
        <f t="shared" si="0"/>
        <v>989</v>
      </c>
      <c r="C32" s="48"/>
      <c r="D32" s="48">
        <v>23</v>
      </c>
      <c r="E32" s="48">
        <v>34</v>
      </c>
      <c r="F32" s="48" t="s">
        <v>553</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553</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553</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536</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553</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584</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532</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454</v>
      </c>
      <c r="B2" s="47">
        <f t="shared" ref="B2:B33" si="0">IF(A2="","",_xlfn.XLOOKUP(A2,ClubNames,ClubNumbers,_xlfn.XLOOKUP(A2,RoundRobinRiderNames,RoundRobinRiderDecoratedNames,A2)))</f>
        <v>990</v>
      </c>
      <c r="C2" s="48"/>
      <c r="D2" s="48">
        <v>31</v>
      </c>
      <c r="E2" s="48">
        <v>8</v>
      </c>
      <c r="F2" s="48" t="s">
        <v>553</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4.25" x14ac:dyDescent="0.15">
      <c r="A3" s="46" t="s">
        <v>513</v>
      </c>
      <c r="B3" s="47" t="str">
        <f t="shared" si="0"/>
        <v>Lesley Allden (Ratae)</v>
      </c>
      <c r="C3" s="48"/>
      <c r="D3" s="48">
        <v>32</v>
      </c>
      <c r="E3" s="48">
        <v>9</v>
      </c>
      <c r="F3" s="48" t="s">
        <v>553</v>
      </c>
      <c r="G3" s="48"/>
      <c r="H3" s="50" t="str">
        <f>IF($B3="","",IF($J3="X",B3,CONCATENATE(VLOOKUP(B3,Competitors!$A$2:$I$650,3,FALSE)," ",VLOOKUP(B3,Competitors!$A$2:$I$650,2,FALSE))))</f>
        <v>Lesley Allden (Ratae)</v>
      </c>
      <c r="I3" s="51">
        <f t="shared" si="1"/>
        <v>2.2326388888888889E-2</v>
      </c>
      <c r="J3" t="str">
        <f t="shared" si="2"/>
        <v>X</v>
      </c>
    </row>
    <row r="4" spans="1:10" ht="14.25" x14ac:dyDescent="0.15">
      <c r="A4" s="46" t="s">
        <v>461</v>
      </c>
      <c r="B4" s="47">
        <f t="shared" si="0"/>
        <v>742</v>
      </c>
      <c r="C4" s="48"/>
      <c r="D4" s="48">
        <v>30</v>
      </c>
      <c r="E4" s="48">
        <v>17</v>
      </c>
      <c r="F4" s="48" t="s">
        <v>553</v>
      </c>
      <c r="G4" s="48"/>
      <c r="H4" s="50" t="str">
        <f>IF($B4="","",IF($J4="X",B4,CONCATENATE(VLOOKUP(B4,Competitors!$A$2:$I$650,3,FALSE)," ",VLOOKUP(B4,Competitors!$A$2:$I$650,2,FALSE))))</f>
        <v>Claire Moore</v>
      </c>
      <c r="I4" s="51">
        <f t="shared" si="1"/>
        <v>2.1030092592592593E-2</v>
      </c>
      <c r="J4" t="str">
        <f t="shared" si="2"/>
        <v/>
      </c>
    </row>
    <row r="5" spans="1:10" ht="14.25" x14ac:dyDescent="0.15">
      <c r="A5" s="46" t="s">
        <v>448</v>
      </c>
      <c r="B5" s="47">
        <f t="shared" si="0"/>
        <v>1194</v>
      </c>
      <c r="C5" s="48"/>
      <c r="D5" s="48">
        <v>28</v>
      </c>
      <c r="E5" s="48">
        <v>4</v>
      </c>
      <c r="F5" s="48" t="s">
        <v>553</v>
      </c>
      <c r="G5" s="48"/>
      <c r="H5" s="50" t="str">
        <f>IF($B5="","",IF($J5="X",B5,CONCATENATE(VLOOKUP(B5,Competitors!$A$2:$I$650,3,FALSE)," ",VLOOKUP(B5,Competitors!$A$2:$I$650,2,FALSE))))</f>
        <v>Alex Hardwicke</v>
      </c>
      <c r="I5" s="51">
        <f t="shared" si="1"/>
        <v>1.9490740740740739E-2</v>
      </c>
      <c r="J5" t="str">
        <f t="shared" si="2"/>
        <v/>
      </c>
    </row>
    <row r="6" spans="1:10" ht="14.25" x14ac:dyDescent="0.15">
      <c r="A6" s="46" t="s">
        <v>585</v>
      </c>
      <c r="B6" s="47">
        <f t="shared" si="0"/>
        <v>935</v>
      </c>
      <c r="C6" s="48"/>
      <c r="D6" s="48">
        <v>34</v>
      </c>
      <c r="E6" s="48">
        <v>39</v>
      </c>
      <c r="F6" s="48" t="s">
        <v>553</v>
      </c>
      <c r="G6" s="48"/>
      <c r="H6" s="50" t="str">
        <f>IF($B6="","",IF($J6="X",B6,CONCATENATE(VLOOKUP(B6,Competitors!$A$2:$I$650,3,FALSE)," ",VLOOKUP(B6,Competitors!$A$2:$I$650,2,FALSE))))</f>
        <v>Sophie Ward</v>
      </c>
      <c r="I6" s="51">
        <f t="shared" si="1"/>
        <v>2.4062500000000001E-2</v>
      </c>
      <c r="J6" t="str">
        <f t="shared" si="2"/>
        <v/>
      </c>
    </row>
    <row r="7" spans="1:10" ht="14.25" x14ac:dyDescent="0.15">
      <c r="A7" s="46" t="s">
        <v>444</v>
      </c>
      <c r="B7" s="47">
        <f t="shared" si="0"/>
        <v>1193</v>
      </c>
      <c r="C7" s="48"/>
      <c r="D7" s="48">
        <v>26</v>
      </c>
      <c r="E7" s="48">
        <v>53</v>
      </c>
      <c r="F7" s="48" t="s">
        <v>553</v>
      </c>
      <c r="G7" s="48"/>
      <c r="H7" s="50" t="str">
        <f>IF($B7="","",IF($J7="X",B7,CONCATENATE(VLOOKUP(B7,Competitors!$A$2:$I$650,3,FALSE)," ",VLOOKUP(B7,Competitors!$A$2:$I$650,2,FALSE))))</f>
        <v>Richard Hardwicke</v>
      </c>
      <c r="I7" s="51">
        <f t="shared" si="1"/>
        <v>1.8668981481481481E-2</v>
      </c>
      <c r="J7" t="str">
        <f t="shared" si="2"/>
        <v/>
      </c>
    </row>
    <row r="8" spans="1:10" ht="14.25" x14ac:dyDescent="0.15">
      <c r="A8" s="46" t="s">
        <v>462</v>
      </c>
      <c r="B8" s="47">
        <f t="shared" si="0"/>
        <v>7</v>
      </c>
      <c r="C8" s="48"/>
      <c r="D8" s="48">
        <v>30</v>
      </c>
      <c r="E8" s="48">
        <v>52</v>
      </c>
      <c r="F8" s="48" t="s">
        <v>553</v>
      </c>
      <c r="G8" s="48"/>
      <c r="H8" s="50" t="str">
        <f>IF($B8="","",IF($J8="X",B8,CONCATENATE(VLOOKUP(B8,Competitors!$A$2:$I$650,3,FALSE)," ",VLOOKUP(B8,Competitors!$A$2:$I$650,2,FALSE))))</f>
        <v>Vic Barnett</v>
      </c>
      <c r="I8" s="51">
        <f t="shared" si="1"/>
        <v>2.1435185185185186E-2</v>
      </c>
      <c r="J8" t="str">
        <f t="shared" si="2"/>
        <v/>
      </c>
    </row>
    <row r="9" spans="1:10" ht="14.25" x14ac:dyDescent="0.15">
      <c r="A9" s="46" t="s">
        <v>438</v>
      </c>
      <c r="B9" s="47">
        <f t="shared" si="0"/>
        <v>1195</v>
      </c>
      <c r="C9" s="48"/>
      <c r="D9" s="48">
        <v>25</v>
      </c>
      <c r="E9" s="48">
        <v>14</v>
      </c>
      <c r="F9" s="48" t="s">
        <v>553</v>
      </c>
      <c r="G9" s="48"/>
      <c r="H9" s="50" t="str">
        <f>IF($B9="","",IF($J9="X",B9,CONCATENATE(VLOOKUP(B9,Competitors!$A$2:$I$650,3,FALSE)," ",VLOOKUP(B9,Competitors!$A$2:$I$650,2,FALSE))))</f>
        <v>Charlie Hardwicke</v>
      </c>
      <c r="I9" s="51">
        <f t="shared" si="1"/>
        <v>1.7523148148148149E-2</v>
      </c>
      <c r="J9" t="str">
        <f t="shared" si="2"/>
        <v/>
      </c>
    </row>
    <row r="10" spans="1:10" ht="14.25" x14ac:dyDescent="0.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4.25" x14ac:dyDescent="0.15">
      <c r="A11" s="46" t="s">
        <v>419</v>
      </c>
      <c r="B11" s="47">
        <f t="shared" si="0"/>
        <v>1355</v>
      </c>
      <c r="C11" s="48"/>
      <c r="D11" s="48">
        <v>24</v>
      </c>
      <c r="E11" s="48">
        <v>7</v>
      </c>
      <c r="F11" s="48" t="s">
        <v>553</v>
      </c>
      <c r="G11" s="48"/>
      <c r="H11" s="50" t="str">
        <f>IF($B11="","",IF($J11="X",B11,CONCATENATE(VLOOKUP(B11,Competitors!$A$2:$I$650,3,FALSE)," ",VLOOKUP(B11,Competitors!$A$2:$I$650,2,FALSE))))</f>
        <v>Aubrey Elmer</v>
      </c>
      <c r="I11" s="51">
        <f t="shared" si="1"/>
        <v>1.6747685185185185E-2</v>
      </c>
      <c r="J11" t="str">
        <f t="shared" si="2"/>
        <v/>
      </c>
    </row>
    <row r="12" spans="1:10" ht="14.25" x14ac:dyDescent="0.15">
      <c r="A12" s="46" t="s">
        <v>458</v>
      </c>
      <c r="B12" s="47">
        <f t="shared" si="0"/>
        <v>967</v>
      </c>
      <c r="C12" s="48"/>
      <c r="D12" s="48">
        <v>23</v>
      </c>
      <c r="E12" s="48">
        <v>7</v>
      </c>
      <c r="F12" s="48" t="s">
        <v>553</v>
      </c>
      <c r="G12" s="48"/>
      <c r="H12" s="50" t="str">
        <f>IF($B12="","",IF($J12="X",B12,CONCATENATE(VLOOKUP(B12,Competitors!$A$2:$I$650,3,FALSE)," ",VLOOKUP(B12,Competitors!$A$2:$I$650,2,FALSE))))</f>
        <v>Daniel McDonnell</v>
      </c>
      <c r="I12" s="51">
        <f t="shared" si="1"/>
        <v>1.6053240740740739E-2</v>
      </c>
      <c r="J12" t="str">
        <f t="shared" si="2"/>
        <v/>
      </c>
    </row>
    <row r="13" spans="1:10" ht="14.25" x14ac:dyDescent="0.15">
      <c r="A13" s="46" t="s">
        <v>586</v>
      </c>
      <c r="B13" s="47">
        <f t="shared" si="0"/>
        <v>741</v>
      </c>
      <c r="C13" s="48"/>
      <c r="D13" s="48">
        <v>23</v>
      </c>
      <c r="E13" s="48">
        <v>10</v>
      </c>
      <c r="F13" s="48" t="s">
        <v>553</v>
      </c>
      <c r="G13" s="48"/>
      <c r="H13" s="50" t="str">
        <f>IF($B13="","",IF($J13="X",B13,CONCATENATE(VLOOKUP(B13,Competitors!$A$2:$I$650,3,FALSE)," ",VLOOKUP(B13,Competitors!$A$2:$I$650,2,FALSE))))</f>
        <v>Rob Moore</v>
      </c>
      <c r="I13" s="51">
        <f t="shared" si="1"/>
        <v>1.6087962962962964E-2</v>
      </c>
      <c r="J13" t="str">
        <f t="shared" si="2"/>
        <v/>
      </c>
    </row>
    <row r="14" spans="1:10" ht="14.25" x14ac:dyDescent="0.15">
      <c r="A14" s="46" t="s">
        <v>581</v>
      </c>
      <c r="B14" s="47" t="str">
        <f t="shared" si="0"/>
        <v>Tom Keane</v>
      </c>
      <c r="C14" s="48"/>
      <c r="D14" s="48">
        <v>27</v>
      </c>
      <c r="E14" s="48">
        <v>32</v>
      </c>
      <c r="F14" s="48" t="s">
        <v>553</v>
      </c>
      <c r="G14" s="48"/>
      <c r="H14" s="50" t="str">
        <f>IF($B14="","",IF($J14="X",B14,CONCATENATE(VLOOKUP(B14,Competitors!$A$2:$I$650,3,FALSE)," ",VLOOKUP(B14,Competitors!$A$2:$I$650,2,FALSE))))</f>
        <v>Tom Keane</v>
      </c>
      <c r="I14" s="51">
        <f t="shared" si="1"/>
        <v>1.9120370370370371E-2</v>
      </c>
      <c r="J14" t="str">
        <f t="shared" si="2"/>
        <v>X</v>
      </c>
    </row>
    <row r="15" spans="1:10" ht="14.25" x14ac:dyDescent="0.15">
      <c r="A15" s="46" t="s">
        <v>557</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4.25" x14ac:dyDescent="0.15">
      <c r="A16" s="46" t="s">
        <v>575</v>
      </c>
      <c r="B16" s="47" t="str">
        <f t="shared" si="0"/>
        <v>Laura Davison</v>
      </c>
      <c r="C16" s="48"/>
      <c r="D16" s="48">
        <v>27</v>
      </c>
      <c r="E16" s="48">
        <v>48</v>
      </c>
      <c r="F16" s="48" t="s">
        <v>553</v>
      </c>
      <c r="G16" s="48"/>
      <c r="H16" s="50" t="str">
        <f>IF($B16="","",IF($J16="X",B16,CONCATENATE(VLOOKUP(B16,Competitors!$A$2:$I$650,3,FALSE)," ",VLOOKUP(B16,Competitors!$A$2:$I$650,2,FALSE))))</f>
        <v>Laura Davison</v>
      </c>
      <c r="I16" s="51">
        <f t="shared" si="1"/>
        <v>1.9305555555555555E-2</v>
      </c>
      <c r="J16" t="str">
        <f t="shared" si="2"/>
        <v>X</v>
      </c>
    </row>
    <row r="17" spans="1:10" ht="14.25" x14ac:dyDescent="0.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4.25" x14ac:dyDescent="0.15">
      <c r="A18" s="46" t="s">
        <v>587</v>
      </c>
      <c r="B18" s="47">
        <f t="shared" si="0"/>
        <v>1048</v>
      </c>
      <c r="C18" s="48"/>
      <c r="D18" s="48">
        <v>29</v>
      </c>
      <c r="E18" s="48">
        <v>34</v>
      </c>
      <c r="F18" s="48" t="s">
        <v>553</v>
      </c>
      <c r="G18" s="48"/>
      <c r="H18" s="50" t="str">
        <f>IF($B18="","",IF($J18="X",B18,CONCATENATE(VLOOKUP(B18,Competitors!$A$2:$I$650,3,FALSE)," ",VLOOKUP(B18,Competitors!$A$2:$I$650,2,FALSE))))</f>
        <v>Andy Smith</v>
      </c>
      <c r="I18" s="51">
        <f t="shared" si="1"/>
        <v>2.0532407407407409E-2</v>
      </c>
      <c r="J18" t="str">
        <f t="shared" si="2"/>
        <v/>
      </c>
    </row>
    <row r="19" spans="1:10" ht="14.25" x14ac:dyDescent="0.15">
      <c r="A19" s="61" t="s">
        <v>588</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4.25" x14ac:dyDescent="0.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4.25" x14ac:dyDescent="0.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4.25" x14ac:dyDescent="0.15">
      <c r="A22" s="46" t="s">
        <v>507</v>
      </c>
      <c r="B22" s="47" t="str">
        <f t="shared" si="0"/>
        <v>Brian Lincoln (Ratae)</v>
      </c>
      <c r="C22" s="48"/>
      <c r="D22" s="48">
        <v>29</v>
      </c>
      <c r="E22" s="48">
        <v>1</v>
      </c>
      <c r="F22" s="48" t="s">
        <v>553</v>
      </c>
      <c r="G22" s="48"/>
      <c r="H22" s="50" t="str">
        <f>IF($B22="","",IF($J22="X",B22,CONCATENATE(VLOOKUP(B22,Competitors!$A$2:$I$650,3,FALSE)," ",VLOOKUP(B22,Competitors!$A$2:$I$650,2,FALSE))))</f>
        <v>Brian Lincoln (Ratae)</v>
      </c>
      <c r="I22" s="51">
        <f t="shared" si="1"/>
        <v>2.0150462962962964E-2</v>
      </c>
      <c r="J22" t="str">
        <f t="shared" si="2"/>
        <v>X</v>
      </c>
    </row>
    <row r="23" spans="1:10" ht="14.25" x14ac:dyDescent="0.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4.25" x14ac:dyDescent="0.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4.25" x14ac:dyDescent="0.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4.25" x14ac:dyDescent="0.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4.25" x14ac:dyDescent="0.15">
      <c r="A27" s="46" t="s">
        <v>589</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4.25" x14ac:dyDescent="0.15">
      <c r="A28" s="46" t="s">
        <v>457</v>
      </c>
      <c r="B28" s="47">
        <f t="shared" si="0"/>
        <v>295</v>
      </c>
      <c r="C28" s="48"/>
      <c r="D28" s="48">
        <v>27</v>
      </c>
      <c r="E28" s="48">
        <v>8</v>
      </c>
      <c r="F28" s="48" t="s">
        <v>553</v>
      </c>
      <c r="G28" s="48"/>
      <c r="H28" s="50" t="str">
        <f>IF($B28="","",IF($J28="X",B28,CONCATENATE(VLOOKUP(B28,Competitors!$A$2:$I$650,3,FALSE)," ",VLOOKUP(B28,Competitors!$A$2:$I$650,2,FALSE))))</f>
        <v>Stuart Dawkins</v>
      </c>
      <c r="I28" s="51">
        <f t="shared" si="1"/>
        <v>1.8842592592592591E-2</v>
      </c>
      <c r="J28" t="str">
        <f t="shared" si="2"/>
        <v/>
      </c>
    </row>
    <row r="29" spans="1:10" ht="14.25" x14ac:dyDescent="0.15">
      <c r="A29" s="46" t="s">
        <v>423</v>
      </c>
      <c r="B29" s="47">
        <f t="shared" si="0"/>
        <v>1407</v>
      </c>
      <c r="C29" s="48"/>
      <c r="D29" s="48">
        <v>24</v>
      </c>
      <c r="E29" s="48">
        <v>20</v>
      </c>
      <c r="F29" s="48" t="s">
        <v>553</v>
      </c>
      <c r="G29" s="48"/>
      <c r="H29" s="50" t="str">
        <f>IF($B29="","",IF($J29="X",B29,CONCATENATE(VLOOKUP(B29,Competitors!$A$2:$I$650,3,FALSE)," ",VLOOKUP(B29,Competitors!$A$2:$I$650,2,FALSE))))</f>
        <v>Colin Dobson</v>
      </c>
      <c r="I29" s="51">
        <f t="shared" si="1"/>
        <v>1.6898148148148148E-2</v>
      </c>
      <c r="J29" t="str">
        <f t="shared" si="2"/>
        <v/>
      </c>
    </row>
    <row r="30" spans="1:10" ht="14.25" x14ac:dyDescent="0.15">
      <c r="A30" s="46" t="s">
        <v>422</v>
      </c>
      <c r="B30" s="47">
        <f t="shared" si="0"/>
        <v>415</v>
      </c>
      <c r="C30" s="48"/>
      <c r="D30" s="48">
        <v>24</v>
      </c>
      <c r="E30" s="48">
        <v>31</v>
      </c>
      <c r="F30" s="48" t="s">
        <v>553</v>
      </c>
      <c r="G30" s="48"/>
      <c r="H30" s="50" t="str">
        <f>IF($B30="","",IF($J30="X",B30,CONCATENATE(VLOOKUP(B30,Competitors!$A$2:$I$650,3,FALSE)," ",VLOOKUP(B30,Competitors!$A$2:$I$650,2,FALSE))))</f>
        <v>Nik Kershaw</v>
      </c>
      <c r="I30" s="51">
        <f t="shared" si="1"/>
        <v>1.7025462962962964E-2</v>
      </c>
      <c r="J30" t="str">
        <f t="shared" si="2"/>
        <v/>
      </c>
    </row>
    <row r="31" spans="1:10" ht="14.25" x14ac:dyDescent="0.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4.25" x14ac:dyDescent="0.15">
      <c r="A32" s="46" t="s">
        <v>414</v>
      </c>
      <c r="B32" s="47">
        <f t="shared" si="0"/>
        <v>989</v>
      </c>
      <c r="C32" s="48"/>
      <c r="D32" s="48">
        <v>23</v>
      </c>
      <c r="E32" s="48">
        <v>50</v>
      </c>
      <c r="F32" s="48" t="s">
        <v>553</v>
      </c>
      <c r="G32" s="48"/>
      <c r="H32" s="50" t="str">
        <f>IF($B32="","",IF($J32="X",B32,CONCATENATE(VLOOKUP(B32,Competitors!$A$2:$I$650,3,FALSE)," ",VLOOKUP(B32,Competitors!$A$2:$I$650,2,FALSE))))</f>
        <v>Jason Williams</v>
      </c>
      <c r="I32" s="51">
        <f t="shared" si="1"/>
        <v>1.6550925925925927E-2</v>
      </c>
      <c r="J32" t="str">
        <f t="shared" si="2"/>
        <v/>
      </c>
    </row>
    <row r="33" spans="1:10" ht="14.25" x14ac:dyDescent="0.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4.25" x14ac:dyDescent="0.15">
      <c r="A34" s="46" t="s">
        <v>590</v>
      </c>
      <c r="B34" s="47">
        <f t="shared" ref="B34:B97" si="3">IF(A34="","",_xlfn.XLOOKUP(A34,ClubNames,ClubNumbers,_xlfn.XLOOKUP(A34,RoundRobinRiderNames,RoundRobinRiderDecoratedNames,A34)))</f>
        <v>1370</v>
      </c>
      <c r="C34" s="48"/>
      <c r="D34" s="48">
        <v>25</v>
      </c>
      <c r="E34" s="48">
        <v>19</v>
      </c>
      <c r="F34" s="48" t="s">
        <v>553</v>
      </c>
      <c r="G34" s="48"/>
      <c r="H34" s="50" t="str">
        <f>IF($B34="","",IF($J34="X",B34,CONCATENATE(VLOOKUP(B34,Competitors!$A$2:$I$650,3,FALSE)," ",VLOOKUP(B34,Competitors!$A$2:$I$650,2,FALSE))))</f>
        <v>Ian Aldridge</v>
      </c>
      <c r="I34" s="51">
        <f t="shared" si="1"/>
        <v>1.758101851851852E-2</v>
      </c>
      <c r="J34" t="str">
        <f t="shared" si="2"/>
        <v/>
      </c>
    </row>
    <row r="35" spans="1:10" ht="14.25" x14ac:dyDescent="0.15">
      <c r="A35" s="46" t="s">
        <v>429</v>
      </c>
      <c r="B35" s="47">
        <f t="shared" si="3"/>
        <v>1237</v>
      </c>
      <c r="C35" s="48"/>
      <c r="D35" s="48">
        <v>24</v>
      </c>
      <c r="E35" s="48">
        <v>41</v>
      </c>
      <c r="F35" s="48" t="s">
        <v>553</v>
      </c>
      <c r="G35" s="48"/>
      <c r="H35" s="50" t="str">
        <f>IF($B35="","",IF($J35="X",B35,CONCATENATE(VLOOKUP(B35,Competitors!$A$2:$I$650,3,FALSE)," ",VLOOKUP(B35,Competitors!$A$2:$I$650,2,FALSE))))</f>
        <v>John Abbott</v>
      </c>
      <c r="I35" s="51">
        <f t="shared" si="1"/>
        <v>1.7141203703703704E-2</v>
      </c>
      <c r="J35" t="str">
        <f t="shared" si="2"/>
        <v/>
      </c>
    </row>
    <row r="36" spans="1:10" ht="14.25" x14ac:dyDescent="0.15">
      <c r="A36" s="46" t="s">
        <v>591</v>
      </c>
      <c r="B36" s="47" t="str">
        <f t="shared" si="3"/>
        <v>Brian Harman</v>
      </c>
      <c r="C36" s="48"/>
      <c r="D36" s="48">
        <v>26</v>
      </c>
      <c r="E36" s="48">
        <v>19</v>
      </c>
      <c r="F36" s="48" t="s">
        <v>553</v>
      </c>
      <c r="G36" s="48"/>
      <c r="H36" s="50" t="str">
        <f>IF($B36="","",IF($J36="X",B36,CONCATENATE(VLOOKUP(B36,Competitors!$A$2:$I$650,3,FALSE)," ",VLOOKUP(B36,Competitors!$A$2:$I$650,2,FALSE))))</f>
        <v>Brian Harman</v>
      </c>
      <c r="I36" s="51">
        <f t="shared" si="1"/>
        <v>1.8275462962962962E-2</v>
      </c>
      <c r="J36" t="str">
        <f t="shared" si="2"/>
        <v>X</v>
      </c>
    </row>
    <row r="37" spans="1:10" ht="14.25" x14ac:dyDescent="0.15">
      <c r="A37" s="46" t="s">
        <v>592</v>
      </c>
      <c r="B37" s="47" t="str">
        <f t="shared" si="3"/>
        <v>Jonathan Clarke</v>
      </c>
      <c r="C37" s="48"/>
      <c r="D37" s="48"/>
      <c r="E37" s="48"/>
      <c r="F37" s="48"/>
      <c r="G37" s="48" t="s">
        <v>562</v>
      </c>
      <c r="H37" s="50" t="str">
        <f>IF($B37="","",IF($J37="X",B37,CONCATENATE(VLOOKUP(B37,Competitors!$A$2:$I$650,3,FALSE)," ",VLOOKUP(B37,Competitors!$A$2:$I$650,2,FALSE))))</f>
        <v>Jonathan Clarke</v>
      </c>
      <c r="I37" s="51">
        <f t="shared" si="1"/>
        <v>0</v>
      </c>
      <c r="J37" t="str">
        <f t="shared" si="2"/>
        <v>X</v>
      </c>
    </row>
    <row r="38" spans="1:10" ht="14.25" x14ac:dyDescent="0.15">
      <c r="A38" s="46" t="s">
        <v>536</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4.25" x14ac:dyDescent="0.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4.25" x14ac:dyDescent="0.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4.25" x14ac:dyDescent="0.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4.25" x14ac:dyDescent="0.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4.25" x14ac:dyDescent="0.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4.25" x14ac:dyDescent="0.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4.25" x14ac:dyDescent="0.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4.25" x14ac:dyDescent="0.15">
      <c r="A46" s="61" t="s">
        <v>584</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4.25" x14ac:dyDescent="0.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4.25" x14ac:dyDescent="0.15">
      <c r="A48" s="46" t="s">
        <v>537</v>
      </c>
      <c r="B48" s="47" t="str">
        <f t="shared" si="3"/>
        <v>Hudson Hendry</v>
      </c>
      <c r="C48" s="48"/>
      <c r="D48" s="48">
        <v>20</v>
      </c>
      <c r="E48" s="48">
        <v>22</v>
      </c>
      <c r="F48" s="48" t="s">
        <v>553</v>
      </c>
      <c r="G48" s="48"/>
      <c r="H48" s="50" t="str">
        <f>IF($B48="","",IF($J48="X",B48,CONCATENATE(VLOOKUP(B48,Competitors!$A$2:$I$650,3,FALSE)," ",VLOOKUP(B48,Competitors!$A$2:$I$650,2,FALSE))))</f>
        <v>Hudson Hendry</v>
      </c>
      <c r="I48" s="51">
        <f t="shared" si="4"/>
        <v>1.4143518518518519E-2</v>
      </c>
      <c r="J48" t="str">
        <f t="shared" si="2"/>
        <v>X</v>
      </c>
    </row>
    <row r="49" spans="1:10" ht="14.25" x14ac:dyDescent="0.15">
      <c r="A49" s="46" t="s">
        <v>519</v>
      </c>
      <c r="B49" s="47" t="str">
        <f t="shared" si="3"/>
        <v>Paul Eden (Ratae)</v>
      </c>
      <c r="C49" s="48"/>
      <c r="D49" s="48">
        <v>29</v>
      </c>
      <c r="E49" s="48">
        <v>58</v>
      </c>
      <c r="F49" s="48" t="s">
        <v>553</v>
      </c>
      <c r="G49" s="48"/>
      <c r="H49" s="50" t="str">
        <f>IF($B49="","",IF($J49="X",B49,CONCATENATE(VLOOKUP(B49,Competitors!$A$2:$I$650,3,FALSE)," ",VLOOKUP(B49,Competitors!$A$2:$I$650,2,FALSE))))</f>
        <v>Paul Eden (Ratae)</v>
      </c>
      <c r="I49" s="51">
        <f t="shared" si="4"/>
        <v>2.0810185185185185E-2</v>
      </c>
      <c r="J49" t="str">
        <f t="shared" si="2"/>
        <v>X</v>
      </c>
    </row>
    <row r="50" spans="1:10" ht="14.25" x14ac:dyDescent="0.15">
      <c r="A50" s="46" t="s">
        <v>594</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4.25" x14ac:dyDescent="0.15">
      <c r="A51" s="46" t="s">
        <v>593</v>
      </c>
      <c r="B51" s="47">
        <f t="shared" si="3"/>
        <v>1347</v>
      </c>
      <c r="C51" s="48"/>
      <c r="D51" s="48">
        <v>26</v>
      </c>
      <c r="E51" s="48">
        <v>5</v>
      </c>
      <c r="F51" s="48" t="s">
        <v>553</v>
      </c>
      <c r="G51" s="48"/>
      <c r="H51" s="50" t="str">
        <f>IF($B51="","",IF($J51="X",B51,CONCATENATE(VLOOKUP(B51,Competitors!$A$2:$I$650,3,FALSE)," ",VLOOKUP(B51,Competitors!$A$2:$I$650,2,FALSE))))</f>
        <v>Stuart Simpson-Smith</v>
      </c>
      <c r="I51" s="51">
        <f t="shared" si="4"/>
        <v>1.8113425925925925E-2</v>
      </c>
      <c r="J51" t="str">
        <f t="shared" si="2"/>
        <v/>
      </c>
    </row>
    <row r="52" spans="1:10" ht="14.25" x14ac:dyDescent="0.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4.25" x14ac:dyDescent="0.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4.25" x14ac:dyDescent="0.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4.25" x14ac:dyDescent="0.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4.25" x14ac:dyDescent="0.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election activeCell="F27" sqref="F27"/>
    </sheetView>
  </sheetViews>
  <sheetFormatPr defaultColWidth="9.16796875" defaultRowHeight="12.75" x14ac:dyDescent="0.15"/>
  <cols>
    <col min="1" max="1" width="20.49609375" bestFit="1" customWidth="1"/>
    <col min="2" max="2" width="32.2265625" bestFit="1" customWidth="1"/>
    <col min="3" max="5" width="4.71875" customWidth="1"/>
    <col min="6" max="7" width="11.0546875" customWidth="1"/>
    <col min="8" max="8" width="32.2265625" bestFit="1"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595</v>
      </c>
      <c r="B2" s="47" t="str">
        <f t="shared" ref="B2:B33" si="0">IF(A2="","",_xlfn.XLOOKUP(A2,ClubNames,ClubNumbers,_xlfn.XLOOKUP(A2,RoundRobinRiderNames,RoundRobinRiderDecoratedNames,A2)))</f>
        <v>Graeme Hall (RFW)</v>
      </c>
      <c r="C2" s="48"/>
      <c r="D2" s="49"/>
      <c r="E2" s="49"/>
      <c r="F2" s="49"/>
      <c r="G2" s="49"/>
      <c r="H2" s="50" t="str">
        <f>IF($B2="","",IF($J2="X",B2,CONCATENATE(VLOOKUP(B2,Competitors!$A$2:$I$650,3, FALSE)," ",VLOOKUP(B2,Competitors!$A$2:$I$650,2,FALSE))))</f>
        <v>Graeme Hall (RFW)</v>
      </c>
      <c r="I2" s="51">
        <f t="shared" ref="I2:I65" si="1">IF(LEFT($F2,1)="D",UPPER($F2),(C2*3600+D2*60+E2)/86400)</f>
        <v>0</v>
      </c>
      <c r="J2" t="str">
        <f t="shared" ref="J2:J65" si="2">IF(OR(B2="",ISNUMBER(B2)),"","X")</f>
        <v>X</v>
      </c>
    </row>
    <row r="3" spans="1:10" ht="14.25" x14ac:dyDescent="0.15">
      <c r="A3" s="46" t="s">
        <v>584</v>
      </c>
      <c r="B3" s="47" t="str">
        <f t="shared" si="0"/>
        <v>Mike Deely (G Fox) (RFW)</v>
      </c>
      <c r="C3" s="48"/>
      <c r="D3" s="49"/>
      <c r="E3" s="49"/>
      <c r="F3" s="49"/>
      <c r="G3" s="49"/>
      <c r="H3" s="50" t="str">
        <f>IF($B3="","",IF($J3="X",B3,CONCATENATE(VLOOKUP(B3,Competitors!$A$2:$I$650,3,FALSE)," ",VLOOKUP(B3,Competitors!$A$2:$I$650,2,FALSE))))</f>
        <v>Mike Deely (G Fox) (RFW)</v>
      </c>
      <c r="I3" s="51">
        <f t="shared" si="1"/>
        <v>0</v>
      </c>
      <c r="J3" t="str">
        <f t="shared" si="2"/>
        <v>X</v>
      </c>
    </row>
    <row r="4" spans="1:10" ht="14.25" x14ac:dyDescent="0.15">
      <c r="A4" s="46" t="s">
        <v>444</v>
      </c>
      <c r="B4" s="47">
        <f t="shared" si="0"/>
        <v>1193</v>
      </c>
      <c r="C4" s="48"/>
      <c r="D4" s="49"/>
      <c r="E4" s="49"/>
      <c r="F4" s="49" t="s">
        <v>553</v>
      </c>
      <c r="G4" s="49"/>
      <c r="H4" s="50" t="str">
        <f>IF($B4="","",IF($J4="X",B4,CONCATENATE(VLOOKUP(B4,Competitors!$A$2:$I$650,3,FALSE)," ",VLOOKUP(B4,Competitors!$A$2:$I$650,2,FALSE))))</f>
        <v>Richard Hardwicke</v>
      </c>
      <c r="I4" s="51">
        <f t="shared" si="1"/>
        <v>0</v>
      </c>
      <c r="J4" t="str">
        <f t="shared" si="2"/>
        <v/>
      </c>
    </row>
    <row r="5" spans="1:10" ht="14.25" x14ac:dyDescent="0.15">
      <c r="A5" s="46" t="s">
        <v>596</v>
      </c>
      <c r="B5" s="47" t="str">
        <f t="shared" si="0"/>
        <v>Maria Cayford (KCC)</v>
      </c>
      <c r="C5" s="48"/>
      <c r="D5" s="49"/>
      <c r="E5" s="49"/>
      <c r="F5" s="49"/>
      <c r="G5" s="49"/>
      <c r="H5" s="50" t="str">
        <f>IF($B5="","",IF($J5="X",B5,CONCATENATE(VLOOKUP(B5,Competitors!$A$2:$I$650,3,FALSE)," ",VLOOKUP(B5,Competitors!$A$2:$I$650,2,FALSE))))</f>
        <v>Maria Cayford (KCC)</v>
      </c>
      <c r="I5" s="51">
        <f t="shared" si="1"/>
        <v>0</v>
      </c>
      <c r="J5" t="str">
        <f t="shared" si="2"/>
        <v>X</v>
      </c>
    </row>
    <row r="6" spans="1:10" ht="14.25" x14ac:dyDescent="0.15">
      <c r="A6" s="46" t="s">
        <v>522</v>
      </c>
      <c r="B6" s="47" t="str">
        <f t="shared" si="0"/>
        <v>Adam Wells (RFW)</v>
      </c>
      <c r="C6" s="48"/>
      <c r="D6" s="49"/>
      <c r="E6" s="49"/>
      <c r="F6" s="49"/>
      <c r="G6" s="49"/>
      <c r="H6" s="50" t="str">
        <f>IF($B6="","",IF($J6="X",B6,CONCATENATE(VLOOKUP(B6,Competitors!$A$2:$I$650,3,FALSE)," ",VLOOKUP(B6,Competitors!$A$2:$I$650,2,FALSE))))</f>
        <v>Adam Wells (RFW)</v>
      </c>
      <c r="I6" s="51">
        <f t="shared" si="1"/>
        <v>0</v>
      </c>
      <c r="J6" t="str">
        <f t="shared" si="2"/>
        <v>X</v>
      </c>
    </row>
    <row r="7" spans="1:10" ht="14.25" x14ac:dyDescent="0.15">
      <c r="A7" s="46" t="s">
        <v>414</v>
      </c>
      <c r="B7" s="47">
        <f t="shared" si="0"/>
        <v>989</v>
      </c>
      <c r="C7" s="48"/>
      <c r="D7" s="49"/>
      <c r="E7" s="49"/>
      <c r="F7" s="49" t="s">
        <v>553</v>
      </c>
      <c r="G7" s="49"/>
      <c r="H7" s="50" t="str">
        <f>IF($B7="","",IF($J7="X",B7,CONCATENATE(VLOOKUP(B7,Competitors!$A$2:$I$650,3,FALSE)," ",VLOOKUP(B7,Competitors!$A$2:$I$650,2,FALSE))))</f>
        <v>Jason Williams</v>
      </c>
      <c r="I7" s="51">
        <f t="shared" si="1"/>
        <v>0</v>
      </c>
      <c r="J7" t="str">
        <f t="shared" si="2"/>
        <v/>
      </c>
    </row>
    <row r="8" spans="1:10" ht="14.25" x14ac:dyDescent="0.15">
      <c r="A8" s="46" t="s">
        <v>447</v>
      </c>
      <c r="B8" s="47">
        <f t="shared" si="0"/>
        <v>1379</v>
      </c>
      <c r="C8" s="48"/>
      <c r="D8" s="49"/>
      <c r="E8" s="49"/>
      <c r="F8" s="49" t="s">
        <v>553</v>
      </c>
      <c r="G8" s="49"/>
      <c r="H8" s="50" t="str">
        <f>IF($B8="","",IF($J8="X",B8,CONCATENATE(VLOOKUP(B8,Competitors!$A$2:$I$650,3,FALSE)," ",VLOOKUP(B8,Competitors!$A$2:$I$650,2,FALSE))))</f>
        <v>Michaela Latham</v>
      </c>
      <c r="I8" s="51">
        <f t="shared" si="1"/>
        <v>0</v>
      </c>
      <c r="J8" t="str">
        <f t="shared" si="2"/>
        <v/>
      </c>
    </row>
    <row r="9" spans="1:10" ht="14.25" x14ac:dyDescent="0.15">
      <c r="A9" s="46" t="s">
        <v>527</v>
      </c>
      <c r="B9" s="47" t="str">
        <f t="shared" si="0"/>
        <v>David Hill (RFW)</v>
      </c>
      <c r="C9" s="48"/>
      <c r="D9" s="49"/>
      <c r="E9" s="49"/>
      <c r="F9" s="49" t="s">
        <v>553</v>
      </c>
      <c r="G9" s="49"/>
      <c r="H9" s="50" t="str">
        <f>IF($B9="","",IF($J9="X",B9,CONCATENATE(VLOOKUP(B9,Competitors!$A$2:$I$650,3,FALSE)," ",VLOOKUP(B9,Competitors!$A$2:$I$650,2,FALSE))))</f>
        <v>David Hill (RFW)</v>
      </c>
      <c r="I9" s="51">
        <f t="shared" si="1"/>
        <v>0</v>
      </c>
      <c r="J9" t="str">
        <f t="shared" si="2"/>
        <v>X</v>
      </c>
    </row>
    <row r="10" spans="1:10" ht="14.25" x14ac:dyDescent="0.15">
      <c r="A10" s="46" t="s">
        <v>487</v>
      </c>
      <c r="B10" s="47" t="str">
        <f t="shared" si="0"/>
        <v>Andy King (KCC)</v>
      </c>
      <c r="C10" s="48"/>
      <c r="D10" s="49"/>
      <c r="E10" s="49"/>
      <c r="F10" s="49" t="s">
        <v>553</v>
      </c>
      <c r="G10" s="49"/>
      <c r="H10" s="50" t="str">
        <f>IF($B10="","",IF($J10="X",B10,CONCATENATE(VLOOKUP(B10,Competitors!$A$2:$I$650,3, FALSE)," ",VLOOKUP(B10,Competitors!$A$2:$I$650,2,FALSE))))</f>
        <v>Andy King (KCC)</v>
      </c>
      <c r="I10" s="51">
        <f t="shared" si="1"/>
        <v>0</v>
      </c>
      <c r="J10" t="str">
        <f t="shared" si="2"/>
        <v>X</v>
      </c>
    </row>
    <row r="11" spans="1:10" ht="14.25" x14ac:dyDescent="0.15">
      <c r="A11" s="46" t="s">
        <v>535</v>
      </c>
      <c r="B11" s="47" t="str">
        <f t="shared" si="0"/>
        <v>Paul Ryan (RFW)</v>
      </c>
      <c r="C11" s="48"/>
      <c r="D11" s="49"/>
      <c r="E11" s="49"/>
      <c r="F11" s="49" t="s">
        <v>553</v>
      </c>
      <c r="G11" s="49"/>
      <c r="H11" s="50" t="str">
        <f>IF($B11="","",IF($J11="X",B11,CONCATENATE(VLOOKUP(B11,Competitors!$A$2:$I$650,3,FALSE)," ",VLOOKUP(B11,Competitors!$A$2:$I$650,2,FALSE))))</f>
        <v>Paul Ryan (RFW)</v>
      </c>
      <c r="I11" s="51">
        <f t="shared" si="1"/>
        <v>0</v>
      </c>
      <c r="J11" t="str">
        <f t="shared" si="2"/>
        <v>X</v>
      </c>
    </row>
    <row r="12" spans="1:10" ht="14.25" x14ac:dyDescent="0.15">
      <c r="A12" s="46" t="s">
        <v>536</v>
      </c>
      <c r="B12" s="47" t="str">
        <f t="shared" si="0"/>
        <v>Phil Wilkinson (RFW)</v>
      </c>
      <c r="C12" s="48"/>
      <c r="D12" s="49"/>
      <c r="E12" s="49"/>
      <c r="F12" s="49"/>
      <c r="G12" s="49"/>
      <c r="H12" s="50" t="str">
        <f>IF($B12="","",IF($J12="X",B12,CONCATENATE(VLOOKUP(B12,Competitors!$A$2:$I$650,3,FALSE)," ",VLOOKUP(B12,Competitors!$A$2:$I$650,2,FALSE))))</f>
        <v>Phil Wilkinson (RFW)</v>
      </c>
      <c r="I12" s="51">
        <f t="shared" si="1"/>
        <v>0</v>
      </c>
      <c r="J12" t="str">
        <f t="shared" si="2"/>
        <v>X</v>
      </c>
    </row>
    <row r="13" spans="1:10" ht="14.25" x14ac:dyDescent="0.15">
      <c r="A13" s="46" t="s">
        <v>448</v>
      </c>
      <c r="B13" s="47">
        <f t="shared" si="0"/>
        <v>1194</v>
      </c>
      <c r="C13" s="48"/>
      <c r="D13" s="49"/>
      <c r="E13" s="49"/>
      <c r="F13" s="49" t="s">
        <v>553</v>
      </c>
      <c r="G13" s="49"/>
      <c r="H13" s="50" t="str">
        <f>IF($B13="","",IF($J13="X",B13,CONCATENATE(VLOOKUP(B13,Competitors!$A$2:$I$650,3,FALSE)," ",VLOOKUP(B13,Competitors!$A$2:$I$650,2,FALSE))))</f>
        <v>Alex Hardwicke</v>
      </c>
      <c r="I13" s="51">
        <f t="shared" si="1"/>
        <v>0</v>
      </c>
      <c r="J13" t="str">
        <f t="shared" si="2"/>
        <v/>
      </c>
    </row>
    <row r="14" spans="1:10" ht="14.25" x14ac:dyDescent="0.15">
      <c r="A14" s="46" t="s">
        <v>533</v>
      </c>
      <c r="B14" s="47" t="str">
        <f t="shared" si="0"/>
        <v>Michael Carter (RFW)</v>
      </c>
      <c r="C14" s="48"/>
      <c r="D14" s="49"/>
      <c r="E14" s="49"/>
      <c r="F14" s="49" t="s">
        <v>553</v>
      </c>
      <c r="G14" s="49"/>
      <c r="H14" s="50" t="str">
        <f>IF($B14="","",IF($J14="X",B14,CONCATENATE(VLOOKUP(B14,Competitors!$A$2:$I$650,3,FALSE)," ",VLOOKUP(B14,Competitors!$A$2:$I$650,2,FALSE))))</f>
        <v>Michael Carter (RFW)</v>
      </c>
      <c r="I14" s="51">
        <f t="shared" si="1"/>
        <v>0</v>
      </c>
      <c r="J14" t="str">
        <f t="shared" si="2"/>
        <v>X</v>
      </c>
    </row>
    <row r="15" spans="1:10" ht="14.25" x14ac:dyDescent="0.15">
      <c r="A15" s="46" t="s">
        <v>597</v>
      </c>
      <c r="B15" s="47" t="str">
        <f t="shared" si="0"/>
        <v>Steve Coombs (RFW)</v>
      </c>
      <c r="C15" s="48"/>
      <c r="D15" s="49"/>
      <c r="E15" s="49"/>
      <c r="F15" s="49"/>
      <c r="G15" s="49"/>
      <c r="H15" s="50" t="str">
        <f>IF($B15="","",IF($J15="X",B15,CONCATENATE(VLOOKUP(B15,Competitors!$A$2:$I$650,3,FALSE)," ",VLOOKUP(B15,Competitors!$A$2:$I$650,2,FALSE))))</f>
        <v>Steve Coombs (RFW)</v>
      </c>
      <c r="I15" s="51">
        <f t="shared" si="1"/>
        <v>0</v>
      </c>
      <c r="J15" t="str">
        <f t="shared" si="2"/>
        <v>X</v>
      </c>
    </row>
    <row r="16" spans="1:10" ht="14.25" x14ac:dyDescent="0.15">
      <c r="A16" s="46" t="s">
        <v>419</v>
      </c>
      <c r="B16" s="47">
        <f t="shared" si="0"/>
        <v>1355</v>
      </c>
      <c r="C16" s="48"/>
      <c r="D16" s="49"/>
      <c r="E16" s="49"/>
      <c r="F16" s="49" t="s">
        <v>553</v>
      </c>
      <c r="G16" s="49"/>
      <c r="H16" s="50" t="str">
        <f>IF($B16="","",IF($J16="X",B16,CONCATENATE(VLOOKUP(B16,Competitors!$A$2:$I$650,3,FALSE)," ",VLOOKUP(B16,Competitors!$A$2:$I$650,2,FALSE))))</f>
        <v>Aubrey Elmer</v>
      </c>
      <c r="I16" s="51">
        <f t="shared" si="1"/>
        <v>0</v>
      </c>
      <c r="J16" t="str">
        <f t="shared" si="2"/>
        <v/>
      </c>
    </row>
    <row r="17" spans="1:10" ht="14.25" x14ac:dyDescent="0.15">
      <c r="A17" s="46" t="s">
        <v>532</v>
      </c>
      <c r="B17" s="47" t="str">
        <f t="shared" si="0"/>
        <v>Lynne Wilkinson-Scofield (RFW)</v>
      </c>
      <c r="C17" s="48"/>
      <c r="D17" s="49"/>
      <c r="E17" s="49"/>
      <c r="F17" s="49"/>
      <c r="G17" s="49"/>
      <c r="H17" s="50" t="str">
        <f>IF($B17="","",IF($J17="X",B17,CONCATENATE(VLOOKUP(B17,Competitors!$A$2:$I$650,3,FALSE)," ",VLOOKUP(B17,Competitors!$A$2:$I$650,2,FALSE))))</f>
        <v>Lynne Wilkinson-Scofield (RFW)</v>
      </c>
      <c r="I17" s="51">
        <f t="shared" si="1"/>
        <v>0</v>
      </c>
      <c r="J17" t="str">
        <f t="shared" si="2"/>
        <v>X</v>
      </c>
    </row>
    <row r="18" spans="1:10" ht="14.25" x14ac:dyDescent="0.15">
      <c r="A18" s="46" t="s">
        <v>598</v>
      </c>
      <c r="B18" s="47" t="str">
        <f t="shared" si="0"/>
        <v>Steve Wickham (RFW)</v>
      </c>
      <c r="C18" s="48"/>
      <c r="D18" s="49"/>
      <c r="E18" s="49"/>
      <c r="F18" s="49"/>
      <c r="G18" s="49"/>
      <c r="H18" s="50" t="str">
        <f>IF($B18="","",IF($J18="X",B18,CONCATENATE(VLOOKUP(B18,Competitors!$A$2:$I$650,3,FALSE)," ",VLOOKUP(B18,Competitors!$A$2:$I$650,2,FALSE))))</f>
        <v>Steve Wickham (RFW)</v>
      </c>
      <c r="I18" s="51">
        <f t="shared" si="1"/>
        <v>0</v>
      </c>
      <c r="J18" t="str">
        <f t="shared" si="2"/>
        <v>X</v>
      </c>
    </row>
    <row r="19" spans="1:10" ht="14.25" x14ac:dyDescent="0.15">
      <c r="A19" s="46" t="s">
        <v>430</v>
      </c>
      <c r="B19" s="47">
        <f t="shared" si="0"/>
        <v>1107</v>
      </c>
      <c r="C19" s="48"/>
      <c r="D19" s="49"/>
      <c r="E19" s="49"/>
      <c r="F19" s="49"/>
      <c r="G19" s="49"/>
      <c r="H19" s="50" t="str">
        <f>IF($B19="","",IF($J19="X",B19,CONCATENATE(VLOOKUP(B19,Competitors!$A$2:$I$650,3,FALSE)," ",VLOOKUP(B19,Competitors!$A$2:$I$650,2,FALSE))))</f>
        <v>Milly Pinnock</v>
      </c>
      <c r="I19" s="51">
        <f t="shared" si="1"/>
        <v>0</v>
      </c>
      <c r="J19" t="str">
        <f t="shared" si="2"/>
        <v/>
      </c>
    </row>
    <row r="20" spans="1:10" ht="14.25" x14ac:dyDescent="0.15">
      <c r="A20" s="46" t="s">
        <v>416</v>
      </c>
      <c r="B20" s="47">
        <f t="shared" si="0"/>
        <v>1161</v>
      </c>
      <c r="C20" s="48"/>
      <c r="D20" s="49"/>
      <c r="E20" s="49"/>
      <c r="F20" s="49"/>
      <c r="G20" s="49"/>
      <c r="H20" s="50" t="str">
        <f>IF($B20="","",IF($J20="X",B20,CONCATENATE(VLOOKUP(B20,Competitors!$A$2:$I$650,3,FALSE)," ",VLOOKUP(B20,Competitors!$A$2:$I$650,2,FALSE))))</f>
        <v>Maciej Suchocki</v>
      </c>
      <c r="I20" s="51">
        <f t="shared" si="1"/>
        <v>0</v>
      </c>
      <c r="J20" t="str">
        <f t="shared" si="2"/>
        <v/>
      </c>
    </row>
    <row r="21" spans="1:10" ht="14.25" x14ac:dyDescent="0.15">
      <c r="A21" s="46" t="s">
        <v>438</v>
      </c>
      <c r="B21" s="47">
        <f t="shared" si="0"/>
        <v>1195</v>
      </c>
      <c r="C21" s="48"/>
      <c r="D21" s="49"/>
      <c r="E21" s="49"/>
      <c r="F21" s="49" t="s">
        <v>553</v>
      </c>
      <c r="G21" s="49"/>
      <c r="H21" s="50" t="str">
        <f>IF($B21="","",IF($J21="X",B21,CONCATENATE(VLOOKUP(B21,Competitors!$A$2:$I$650,3,FALSE)," ",VLOOKUP(B21,Competitors!$A$2:$I$650,2,FALSE))))</f>
        <v>Charlie Hardwicke</v>
      </c>
      <c r="I21" s="51">
        <f t="shared" si="1"/>
        <v>0</v>
      </c>
      <c r="J21" t="str">
        <f t="shared" si="2"/>
        <v/>
      </c>
    </row>
    <row r="22" spans="1:10" ht="14.25" x14ac:dyDescent="0.15">
      <c r="A22" s="46" t="s">
        <v>600</v>
      </c>
      <c r="B22" s="47" t="str">
        <f t="shared" si="0"/>
        <v>Alex Barrowman</v>
      </c>
      <c r="C22" s="48"/>
      <c r="D22" s="49"/>
      <c r="E22" s="49"/>
      <c r="F22" s="49" t="s">
        <v>553</v>
      </c>
      <c r="G22" s="49"/>
      <c r="H22" s="50" t="str">
        <f>IF($B22="","",IF($J22="X",B22,CONCATENATE(VLOOKUP(B22,Competitors!$A$2:$I$650,3,FALSE)," ",VLOOKUP(B22,Competitors!$A$2:$I$650,2,FALSE))))</f>
        <v>Alex Barrowman</v>
      </c>
      <c r="I22" s="51">
        <f t="shared" si="1"/>
        <v>0</v>
      </c>
      <c r="J22" t="str">
        <f t="shared" si="2"/>
        <v>X</v>
      </c>
    </row>
    <row r="23" spans="1:10" ht="14.25" x14ac:dyDescent="0.15">
      <c r="A23" s="46" t="s">
        <v>415</v>
      </c>
      <c r="B23" s="47">
        <f t="shared" si="0"/>
        <v>699</v>
      </c>
      <c r="C23" s="48"/>
      <c r="D23" s="49"/>
      <c r="E23" s="49"/>
      <c r="F23" s="49"/>
      <c r="G23" s="49"/>
      <c r="H23" s="50" t="str">
        <f>IF($B23="","",IF($J23="X",B23,CONCATENATE(VLOOKUP(B23,Competitors!$A$2:$I$650,3,FALSE)," ",VLOOKUP(B23,Competitors!$A$2:$I$650,2,FALSE))))</f>
        <v>Jonathan Durnin</v>
      </c>
      <c r="I23" s="51">
        <f t="shared" si="1"/>
        <v>0</v>
      </c>
      <c r="J23" t="str">
        <f t="shared" si="2"/>
        <v/>
      </c>
    </row>
    <row r="24" spans="1:10" ht="14.25" x14ac:dyDescent="0.15">
      <c r="A24" s="46" t="s">
        <v>601</v>
      </c>
      <c r="B24" s="47" t="str">
        <f t="shared" si="0"/>
        <v>Laurence Noble (RFW)</v>
      </c>
      <c r="C24" s="48"/>
      <c r="D24" s="49"/>
      <c r="E24" s="49"/>
      <c r="F24" s="49"/>
      <c r="G24" s="49"/>
      <c r="H24" s="50" t="str">
        <f>IF($B24="","",IF($J24="X",B24,CONCATENATE(VLOOKUP(B24,Competitors!$A$2:$I$650,3,FALSE)," ",VLOOKUP(B24,Competitors!$A$2:$I$650,2,FALSE))))</f>
        <v>Laurence Noble (RFW)</v>
      </c>
      <c r="I24" s="51">
        <f t="shared" si="1"/>
        <v>0</v>
      </c>
      <c r="J24" t="str">
        <f t="shared" si="2"/>
        <v>X</v>
      </c>
    </row>
    <row r="25" spans="1:10" ht="14.25" x14ac:dyDescent="0.15">
      <c r="A25" s="46" t="s">
        <v>423</v>
      </c>
      <c r="B25" s="47">
        <f t="shared" si="0"/>
        <v>1407</v>
      </c>
      <c r="C25" s="48"/>
      <c r="D25" s="49"/>
      <c r="E25" s="49"/>
      <c r="F25" s="49" t="s">
        <v>553</v>
      </c>
      <c r="G25" s="49"/>
      <c r="H25" s="50" t="str">
        <f>IF($B25="","",IF($J25="X",B25,CONCATENATE(VLOOKUP(B25,Competitors!$A$2:$I$650,3,FALSE)," ",VLOOKUP(B25,Competitors!$A$2:$I$650,2,FALSE))))</f>
        <v>Colin Dobson</v>
      </c>
      <c r="I25" s="51">
        <f t="shared" si="1"/>
        <v>0</v>
      </c>
      <c r="J25" t="str">
        <f t="shared" si="2"/>
        <v/>
      </c>
    </row>
    <row r="26" spans="1:10" ht="14.25" x14ac:dyDescent="0.15">
      <c r="A26" s="46" t="s">
        <v>417</v>
      </c>
      <c r="B26" s="47">
        <f t="shared" si="0"/>
        <v>38</v>
      </c>
      <c r="C26" s="48"/>
      <c r="D26" s="49"/>
      <c r="E26" s="49"/>
      <c r="F26" s="49"/>
      <c r="G26" s="49"/>
      <c r="H26" s="50" t="str">
        <f>IF($B26="","",IF($J26="X",B26,CONCATENATE(VLOOKUP(B26,Competitors!$A$2:$I$650,3,FALSE)," ",VLOOKUP(B26,Competitors!$A$2:$I$650,2,FALSE))))</f>
        <v>Phil Rayner</v>
      </c>
      <c r="I26" s="51">
        <f t="shared" si="1"/>
        <v>0</v>
      </c>
      <c r="J26" t="str">
        <f t="shared" si="2"/>
        <v/>
      </c>
    </row>
    <row r="27" spans="1:10" ht="14.25" x14ac:dyDescent="0.15">
      <c r="A27" s="46" t="s">
        <v>440</v>
      </c>
      <c r="B27" s="47">
        <f t="shared" si="0"/>
        <v>23</v>
      </c>
      <c r="C27" s="48"/>
      <c r="D27" s="49"/>
      <c r="E27" s="49"/>
      <c r="F27" s="49"/>
      <c r="G27" s="49"/>
      <c r="H27" s="50" t="str">
        <f>IF($B27="","",IF($J27="X",B27,CONCATENATE(VLOOKUP(B27,Competitors!$A$2:$I$650,3,FALSE)," ",VLOOKUP(B27,Competitors!$A$2:$I$650,2,FALSE))))</f>
        <v>Chris Hyde</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tabSelected="1" zoomScale="85" workbookViewId="0">
      <selection activeCell="E9" sqref="E9"/>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t="s">
        <v>602</v>
      </c>
      <c r="B2" s="47" t="str">
        <f t="shared" ref="B2:B33" si="0">IF(A2="","",_xlfn.XLOOKUP(A2,ClubNames,ClubNumbers,_xlfn.XLOOKUP(A2,RoundRobinRiderNames,RoundRobinRiderDecoratedNames,A2)))</f>
        <v>Mohammed Nurgat</v>
      </c>
      <c r="C2" s="48"/>
      <c r="D2" s="49"/>
      <c r="E2" s="49"/>
      <c r="F2" s="49" t="s">
        <v>553</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4.25" x14ac:dyDescent="0.15">
      <c r="A3" s="46" t="s">
        <v>603</v>
      </c>
      <c r="B3" s="47" t="str">
        <f t="shared" si="0"/>
        <v>Evan Collett (G Fox) (KCC)</v>
      </c>
      <c r="C3" s="48"/>
      <c r="D3" s="49"/>
      <c r="E3" s="49"/>
      <c r="F3" s="49"/>
      <c r="G3" s="49"/>
      <c r="H3" s="50" t="str">
        <f>IF($B3="","",IF($J3="X",B3,CONCATENATE(VLOOKUP(B3,Competitors!$A$2:$I$650,3,FALSE)," ",VLOOKUP(B3,Competitors!$A$2:$I$650,2,FALSE))))</f>
        <v>Evan Collett (G Fox) (KCC)</v>
      </c>
      <c r="I3" s="51">
        <f t="shared" si="1"/>
        <v>0</v>
      </c>
      <c r="J3" t="str">
        <f t="shared" si="2"/>
        <v>X</v>
      </c>
    </row>
    <row r="4" spans="1:10" ht="14.25" x14ac:dyDescent="0.15">
      <c r="A4" s="46" t="s">
        <v>604</v>
      </c>
      <c r="B4" s="47">
        <f t="shared" si="0"/>
        <v>1390</v>
      </c>
      <c r="C4" s="48"/>
      <c r="D4" s="49"/>
      <c r="E4" s="49"/>
      <c r="F4" s="49" t="s">
        <v>553</v>
      </c>
      <c r="G4" s="49"/>
      <c r="H4" s="50" t="str">
        <f>IF($B4="","",IF($J4="X",B4,CONCATENATE(VLOOKUP(B4,Competitors!$A$2:$I$650,3,FALSE)," ",VLOOKUP(B4,Competitors!$A$2:$I$650,2,FALSE))))</f>
        <v>Diego Patteri</v>
      </c>
      <c r="I4" s="51">
        <f t="shared" si="1"/>
        <v>0</v>
      </c>
      <c r="J4" t="str">
        <f t="shared" si="2"/>
        <v/>
      </c>
    </row>
    <row r="5" spans="1:10" ht="14.25" x14ac:dyDescent="0.15">
      <c r="A5" s="46" t="s">
        <v>497</v>
      </c>
      <c r="B5" s="47" t="str">
        <f t="shared" si="0"/>
        <v>Chris Booth (MOCC)</v>
      </c>
      <c r="C5" s="48"/>
      <c r="D5" s="49"/>
      <c r="E5" s="49"/>
      <c r="F5" s="49" t="s">
        <v>553</v>
      </c>
      <c r="G5" s="49"/>
      <c r="H5" s="50" t="str">
        <f>IF($B5="","",IF($J5="X",B5,CONCATENATE(VLOOKUP(B5,Competitors!$A$2:$I$650,3,FALSE)," ",VLOOKUP(B5,Competitors!$A$2:$I$650,2,FALSE))))</f>
        <v>Chris Booth (MOCC)</v>
      </c>
      <c r="I5" s="51">
        <f t="shared" si="1"/>
        <v>0</v>
      </c>
      <c r="J5" t="str">
        <f t="shared" si="2"/>
        <v>X</v>
      </c>
    </row>
    <row r="6" spans="1:10" ht="14.25" x14ac:dyDescent="0.15">
      <c r="A6" s="46" t="s">
        <v>508</v>
      </c>
      <c r="B6" s="47" t="str">
        <f t="shared" si="0"/>
        <v>Chris Bonsor (Ratae)</v>
      </c>
      <c r="C6" s="48"/>
      <c r="D6" s="49"/>
      <c r="E6" s="49"/>
      <c r="F6" s="49"/>
      <c r="G6" s="49"/>
      <c r="H6" s="50" t="str">
        <f>IF($B6="","",IF($J6="X",B6,CONCATENATE(VLOOKUP(B6,Competitors!$A$2:$I$650,3,FALSE)," ",VLOOKUP(B6,Competitors!$A$2:$I$650,2,FALSE))))</f>
        <v>Chris Bonsor (Ratae)</v>
      </c>
      <c r="I6" s="51">
        <f t="shared" si="1"/>
        <v>0</v>
      </c>
      <c r="J6" t="str">
        <f t="shared" si="2"/>
        <v>X</v>
      </c>
    </row>
    <row r="7" spans="1:10" ht="14.25" x14ac:dyDescent="0.15">
      <c r="A7" s="46" t="s">
        <v>605</v>
      </c>
      <c r="B7" s="47" t="str">
        <f t="shared" si="0"/>
        <v>Jahan Malik</v>
      </c>
      <c r="C7" s="48"/>
      <c r="D7" s="49"/>
      <c r="E7" s="49"/>
      <c r="F7" s="49" t="s">
        <v>553</v>
      </c>
      <c r="G7" s="49"/>
      <c r="H7" s="50" t="str">
        <f>IF($B7="","",IF($J7="X",B7,CONCATENATE(VLOOKUP(B7,Competitors!$A$2:$I$650,3,FALSE)," ",VLOOKUP(B7,Competitors!$A$2:$I$650,2,FALSE))))</f>
        <v>Jahan Malik</v>
      </c>
      <c r="I7" s="51">
        <f t="shared" si="1"/>
        <v>0</v>
      </c>
      <c r="J7" t="str">
        <f t="shared" si="2"/>
        <v>X</v>
      </c>
    </row>
    <row r="8" spans="1:10" ht="14.25" x14ac:dyDescent="0.15">
      <c r="A8" s="46" t="s">
        <v>423</v>
      </c>
      <c r="B8" s="47">
        <f t="shared" si="0"/>
        <v>1407</v>
      </c>
      <c r="C8" s="48"/>
      <c r="D8" s="49"/>
      <c r="E8" s="49"/>
      <c r="F8" s="49" t="s">
        <v>553</v>
      </c>
      <c r="G8" s="49"/>
      <c r="H8" s="50" t="str">
        <f>IF($B8="","",IF($J8="X",B8,CONCATENATE(VLOOKUP(B8,Competitors!$A$2:$I$650,3,FALSE)," ",VLOOKUP(B8,Competitors!$A$2:$I$650,2,FALSE))))</f>
        <v>Colin Dobson</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544</v>
      </c>
      <c r="B1" s="40" t="s">
        <v>545</v>
      </c>
      <c r="C1" s="41" t="s">
        <v>546</v>
      </c>
      <c r="D1" s="42" t="s">
        <v>547</v>
      </c>
      <c r="E1" s="43" t="s">
        <v>548</v>
      </c>
      <c r="F1" s="44" t="s">
        <v>549</v>
      </c>
      <c r="G1" s="44" t="s">
        <v>550</v>
      </c>
      <c r="H1" s="39" t="s">
        <v>463</v>
      </c>
      <c r="I1" s="45" t="s">
        <v>551</v>
      </c>
      <c r="J1" t="s">
        <v>552</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560</v>
      </c>
      <c r="C103" t="e" cm="1">
        <f t="array" aca="1" ref="C103" ca="1">MID(CELL("filename",B1),FIND("]",CELL("filename",B1))+1,255)</f>
        <v>#VALUE!</v>
      </c>
    </row>
    <row r="104" spans="1:10" x14ac:dyDescent="0.15">
      <c r="B104" t="s">
        <v>561</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2026-06-19T13:12:56Z</dcterms:modified>
</cp:coreProperties>
</file>