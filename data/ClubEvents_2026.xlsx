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FA953B40-1B56-48E3-BEB9-29F36A740893}" xr6:coauthVersionLast="47" xr6:coauthVersionMax="47" xr10:uidLastSave="{00000000-0000-0000-0000-000000000000}"/>
  <bookViews>
    <workbookView xWindow="-83" yWindow="0" windowWidth="14566" windowHeight="17363" firstSheet="17" activeTab="20" xr2:uid="{DB98A43B-CBEA-4F25-93C2-03DD59E77A4E}"/>
    <workbookView xWindow="14317" yWindow="0" windowWidth="14565" windowHeight="17363" firstSheet="37" activeTab="46" xr2:uid="{6972DBD2-A2C7-4368-8D65-8EEDE5EEFB6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8" l="1"/>
  <c r="C108" i="18"/>
  <c r="C135" i="18"/>
  <c r="C136" i="18"/>
  <c r="C137" i="18"/>
  <c r="C138" i="18"/>
  <c r="B20" i="44" s="1"/>
  <c r="C139" i="18"/>
  <c r="C140" i="18"/>
  <c r="C141" i="18"/>
  <c r="C142" i="18"/>
  <c r="C143" i="18"/>
  <c r="C144" i="18"/>
  <c r="B7" i="44" s="1"/>
  <c r="C145" i="18"/>
  <c r="B31" i="44" s="1"/>
  <c r="C146" i="18"/>
  <c r="B28" i="44" s="1"/>
  <c r="C147" i="18"/>
  <c r="C148" i="18"/>
  <c r="C149" i="18"/>
  <c r="C150" i="18"/>
  <c r="C151" i="18"/>
  <c r="B48" i="44" s="1"/>
  <c r="C152" i="18"/>
  <c r="B50" i="44" s="1"/>
  <c r="C153" i="18"/>
  <c r="B51" i="44" s="1"/>
  <c r="C154" i="18"/>
  <c r="B52" i="44" s="1"/>
  <c r="C155" i="18"/>
  <c r="C156" i="18"/>
  <c r="C157" i="18"/>
  <c r="C158" i="18"/>
  <c r="C159" i="18"/>
  <c r="C160" i="18"/>
  <c r="C74" i="18"/>
  <c r="A14" i="16"/>
  <c r="A15" i="16"/>
  <c r="O14" i="16"/>
  <c r="C37" i="18"/>
  <c r="C38" i="18"/>
  <c r="C47" i="18"/>
  <c r="C61" i="18"/>
  <c r="C10" i="18"/>
  <c r="C87" i="18"/>
  <c r="C119" i="18"/>
  <c r="C118" i="18"/>
  <c r="C26" i="18"/>
  <c r="C128" i="18"/>
  <c r="C129" i="18"/>
  <c r="C122" i="18"/>
  <c r="C123" i="18"/>
  <c r="C83" i="18"/>
  <c r="C64" i="18"/>
  <c r="C127" i="18"/>
  <c r="B9" i="40" s="1"/>
  <c r="C28" i="18"/>
  <c r="C36" i="18"/>
  <c r="B30" i="40" s="1"/>
  <c r="C53" i="18"/>
  <c r="B8" i="41" s="1"/>
  <c r="C63" i="18"/>
  <c r="B9" i="41" s="1"/>
  <c r="C45" i="18"/>
  <c r="B12" i="41" s="1"/>
  <c r="C4" i="18"/>
  <c r="B26" i="41" s="1"/>
  <c r="C97" i="18"/>
  <c r="B7" i="42" s="1"/>
  <c r="C114" i="18"/>
  <c r="B28" i="42" s="1"/>
  <c r="C32" i="18"/>
  <c r="B30" i="42" s="1"/>
  <c r="C106"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6" i="18"/>
  <c r="C68" i="18"/>
  <c r="C85" i="18"/>
  <c r="C50" i="18"/>
  <c r="C121" i="18"/>
  <c r="C8" i="18"/>
  <c r="C7" i="18"/>
  <c r="C125" i="18"/>
  <c r="C126" i="18"/>
  <c r="C57" i="18"/>
  <c r="C55" i="18"/>
  <c r="C15" i="18"/>
  <c r="C16" i="18"/>
  <c r="C41" i="18"/>
  <c r="C54" i="18"/>
  <c r="C11" i="18"/>
  <c r="C56" i="18"/>
  <c r="C42"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I51" i="44"/>
  <c r="I50" i="44"/>
  <c r="I49" i="44"/>
  <c r="B49" i="44"/>
  <c r="I48" i="44"/>
  <c r="I47" i="44"/>
  <c r="B47" i="44"/>
  <c r="I43" i="44"/>
  <c r="B43" i="44"/>
  <c r="I41" i="44"/>
  <c r="B41" i="44"/>
  <c r="I39" i="44"/>
  <c r="B39" i="44"/>
  <c r="I23" i="44"/>
  <c r="B23" i="44"/>
  <c r="I4" i="44"/>
  <c r="B4" i="44"/>
  <c r="I11" i="44"/>
  <c r="B11" i="44"/>
  <c r="I6" i="44"/>
  <c r="B6" i="44"/>
  <c r="I28" i="44"/>
  <c r="I31" i="44"/>
  <c r="I30" i="44"/>
  <c r="B30" i="44"/>
  <c r="I18" i="44"/>
  <c r="B18" i="44"/>
  <c r="I7" i="44"/>
  <c r="I8" i="44"/>
  <c r="B8" i="44"/>
  <c r="I38" i="44"/>
  <c r="B38" i="44"/>
  <c r="I26" i="44"/>
  <c r="B26" i="44"/>
  <c r="I36" i="44"/>
  <c r="B36" i="44"/>
  <c r="I44" i="44"/>
  <c r="B44" i="44"/>
  <c r="I29" i="44"/>
  <c r="B29" i="44"/>
  <c r="I3" i="44"/>
  <c r="B3" i="44"/>
  <c r="I12" i="44"/>
  <c r="B12" i="44"/>
  <c r="I22" i="44"/>
  <c r="B22" i="44"/>
  <c r="I25" i="44"/>
  <c r="B25" i="44"/>
  <c r="I40" i="44"/>
  <c r="B40" i="44"/>
  <c r="I32" i="44"/>
  <c r="B32" i="44"/>
  <c r="I19" i="44"/>
  <c r="B19" i="44"/>
  <c r="I13" i="44"/>
  <c r="B13" i="44"/>
  <c r="I42" i="44"/>
  <c r="B42" i="44"/>
  <c r="I2" i="44"/>
  <c r="B2" i="44"/>
  <c r="I21" i="44"/>
  <c r="B21" i="44"/>
  <c r="I20" i="44"/>
  <c r="I9" i="44"/>
  <c r="B9" i="44"/>
  <c r="I27" i="44"/>
  <c r="B27" i="44"/>
  <c r="I37" i="44"/>
  <c r="B37" i="44"/>
  <c r="I46" i="44"/>
  <c r="B46" i="44"/>
  <c r="I16" i="44"/>
  <c r="B16" i="44"/>
  <c r="I15" i="44"/>
  <c r="B15" i="44"/>
  <c r="I5" i="44"/>
  <c r="B5" i="44"/>
  <c r="I45" i="44"/>
  <c r="B45" i="44"/>
  <c r="I35" i="44"/>
  <c r="B35" i="44"/>
  <c r="I34" i="44"/>
  <c r="B34" i="44"/>
  <c r="I14" i="44"/>
  <c r="I24" i="44"/>
  <c r="B24" i="44"/>
  <c r="I10" i="44"/>
  <c r="B10" i="44"/>
  <c r="I17" i="44"/>
  <c r="B17" i="44"/>
  <c r="I33" i="44"/>
  <c r="B33"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30"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4" i="18"/>
  <c r="I48" i="29"/>
  <c r="C101" i="18"/>
  <c r="I47" i="29"/>
  <c r="I46" i="29"/>
  <c r="C107" i="18"/>
  <c r="I45" i="29"/>
  <c r="I44" i="29"/>
  <c r="I43" i="29"/>
  <c r="I42" i="29"/>
  <c r="I41" i="29"/>
  <c r="I40" i="29"/>
  <c r="I39" i="29"/>
  <c r="I38" i="29"/>
  <c r="I37" i="29"/>
  <c r="I36" i="29"/>
  <c r="I35" i="29"/>
  <c r="I34" i="29"/>
  <c r="I33" i="29"/>
  <c r="I32" i="29"/>
  <c r="I31" i="29"/>
  <c r="I30" i="29"/>
  <c r="I29" i="29"/>
  <c r="I28" i="29"/>
  <c r="I27" i="29"/>
  <c r="I26" i="29"/>
  <c r="I25" i="29"/>
  <c r="I24" i="29"/>
  <c r="C80" i="18"/>
  <c r="I23" i="29"/>
  <c r="I22" i="29"/>
  <c r="C67" i="18"/>
  <c r="I21" i="29"/>
  <c r="I20" i="29"/>
  <c r="I19" i="29"/>
  <c r="C73" i="18"/>
  <c r="I18" i="29"/>
  <c r="I17" i="29"/>
  <c r="I16" i="29"/>
  <c r="I15" i="29"/>
  <c r="I14" i="29"/>
  <c r="I13" i="29"/>
  <c r="I12" i="29"/>
  <c r="I11" i="29"/>
  <c r="I10" i="29"/>
  <c r="C69" i="18"/>
  <c r="I9" i="29"/>
  <c r="I8" i="29"/>
  <c r="I7" i="29"/>
  <c r="I6" i="29"/>
  <c r="I5" i="29"/>
  <c r="I4" i="29"/>
  <c r="I3" i="29"/>
  <c r="C7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9" i="18"/>
  <c r="C49" i="18"/>
  <c r="B4" i="35" s="1"/>
  <c r="C40" i="18"/>
  <c r="C112" i="18"/>
  <c r="B32" i="34" s="1"/>
  <c r="C132" i="18"/>
  <c r="C131" i="18"/>
  <c r="C134" i="18"/>
  <c r="C133" i="18"/>
  <c r="C31" i="18"/>
  <c r="C35" i="18"/>
  <c r="C102" i="18"/>
  <c r="B14" i="44" s="1"/>
  <c r="C116" i="18"/>
  <c r="C115" i="18"/>
  <c r="C34" i="18"/>
  <c r="C99" i="18"/>
  <c r="C124" i="18"/>
  <c r="C120" i="18"/>
  <c r="C117" i="18"/>
  <c r="C113" i="18"/>
  <c r="C111" i="18"/>
  <c r="C110" i="18"/>
  <c r="C109" i="18"/>
  <c r="C105" i="18"/>
  <c r="C104" i="18"/>
  <c r="C103" i="18"/>
  <c r="C100" i="18"/>
  <c r="C98" i="18"/>
  <c r="C96" i="18"/>
  <c r="C95" i="18"/>
  <c r="C94" i="18"/>
  <c r="C93" i="18"/>
  <c r="C92" i="18"/>
  <c r="C91" i="18"/>
  <c r="C90" i="18"/>
  <c r="C88" i="18"/>
  <c r="C86" i="18"/>
  <c r="C82" i="18"/>
  <c r="C81" i="18"/>
  <c r="B18" i="46" s="1"/>
  <c r="J18" i="46" s="1"/>
  <c r="H18" i="46" s="1"/>
  <c r="C79" i="18"/>
  <c r="C78" i="18"/>
  <c r="C75" i="18"/>
  <c r="C72" i="18"/>
  <c r="C71" i="18"/>
  <c r="C70" i="18"/>
  <c r="C66" i="18"/>
  <c r="C65" i="18"/>
  <c r="C130" i="18"/>
  <c r="C62" i="18"/>
  <c r="C60" i="18"/>
  <c r="C59" i="18"/>
  <c r="C58" i="18"/>
  <c r="C52" i="18"/>
  <c r="C51" i="18"/>
  <c r="C48" i="18"/>
  <c r="C46" i="18"/>
  <c r="C44" i="18"/>
  <c r="C43" i="18"/>
  <c r="C39" i="18"/>
  <c r="C33"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K58" i="38" s="1"/>
  <c r="I58" i="38" s="1"/>
  <c r="B34" i="46"/>
  <c r="B23" i="37"/>
  <c r="B30" i="46"/>
  <c r="B29" i="46"/>
  <c r="B41" i="46"/>
  <c r="B47" i="32"/>
  <c r="B31" i="33"/>
  <c r="B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B21" i="36"/>
  <c r="B2" i="36"/>
  <c r="B26" i="35"/>
  <c r="B9" i="36"/>
  <c r="B31" i="35"/>
  <c r="B7" i="35"/>
  <c r="B6" i="35"/>
  <c r="B5" i="35"/>
  <c r="B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s="1"/>
  <c r="I34" i="36" s="1"/>
  <c r="B36" i="36"/>
  <c r="B37" i="36"/>
  <c r="B38" i="36"/>
  <c r="K38" i="36" s="1"/>
  <c r="I38" i="36" s="1"/>
  <c r="B41" i="36"/>
  <c r="B47" i="36"/>
  <c r="B52" i="36"/>
  <c r="B2" i="37"/>
  <c r="B3" i="37"/>
  <c r="B4" i="37"/>
  <c r="B5" i="37"/>
  <c r="B6" i="37"/>
  <c r="B7" i="37"/>
  <c r="B8" i="37"/>
  <c r="B9" i="37"/>
  <c r="B10" i="37"/>
  <c r="J10" i="37" s="1"/>
  <c r="H10" i="37" s="1"/>
  <c r="B11" i="37"/>
  <c r="B12" i="37"/>
  <c r="B13" i="37"/>
  <c r="B14" i="37"/>
  <c r="B15" i="37"/>
  <c r="B16" i="37"/>
  <c r="B17" i="37"/>
  <c r="J17" i="37" s="1"/>
  <c r="H17" i="37" s="1"/>
  <c r="B18" i="37"/>
  <c r="B19" i="37"/>
  <c r="B20" i="37"/>
  <c r="B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0" i="34"/>
  <c r="B24" i="33"/>
  <c r="B6" i="32"/>
  <c r="J6" i="32"/>
  <c r="H6" i="32"/>
  <c r="B19" i="33"/>
  <c r="B9" i="34"/>
  <c r="B32" i="32"/>
  <c r="B38" i="35"/>
  <c r="B14" i="36"/>
  <c r="B15" i="35"/>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l="1"/>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9" i="44"/>
  <c r="H19" i="44" s="1"/>
  <c r="K26" i="36"/>
  <c r="I26" i="36"/>
  <c r="J10" i="33"/>
  <c r="H10" i="33"/>
  <c r="J19" i="33"/>
  <c r="H19" i="33"/>
  <c r="B26" i="37"/>
  <c r="J26" i="37" s="1"/>
  <c r="H26" i="37" s="1"/>
  <c r="B2" i="35"/>
  <c r="K2" i="35" s="1"/>
  <c r="I2" i="35" s="1"/>
  <c r="J5" i="37"/>
  <c r="H5" i="37" s="1"/>
  <c r="J12" i="37"/>
  <c r="H12" i="37"/>
  <c r="J21" i="37"/>
  <c r="H21" i="37" s="1"/>
  <c r="K10" i="36"/>
  <c r="I10" i="36" s="1"/>
  <c r="K12" i="35"/>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J53" i="44"/>
  <c r="H53" i="44" s="1"/>
  <c r="J52" i="44"/>
  <c r="H52" i="44" s="1"/>
  <c r="J51" i="44"/>
  <c r="H51" i="44" s="1"/>
  <c r="J50" i="44"/>
  <c r="H50" i="44" s="1"/>
  <c r="J49" i="44"/>
  <c r="H49" i="44" s="1"/>
  <c r="J48" i="44"/>
  <c r="H48" i="44" s="1"/>
  <c r="J47" i="44"/>
  <c r="H47" i="44" s="1"/>
  <c r="J43" i="44"/>
  <c r="H43" i="44" s="1"/>
  <c r="J41" i="44"/>
  <c r="H41" i="44" s="1"/>
  <c r="J39" i="44"/>
  <c r="H39" i="44" s="1"/>
  <c r="J23" i="44"/>
  <c r="H23" i="44" s="1"/>
  <c r="J4" i="44"/>
  <c r="H4" i="44" s="1"/>
  <c r="J11" i="44"/>
  <c r="H11" i="44" s="1"/>
  <c r="J6" i="44"/>
  <c r="H6" i="44" s="1"/>
  <c r="J28" i="44"/>
  <c r="H28" i="44" s="1"/>
  <c r="J31" i="44"/>
  <c r="H31" i="44" s="1"/>
  <c r="J30" i="44"/>
  <c r="H30" i="44" s="1"/>
  <c r="J18" i="44"/>
  <c r="H18" i="44" s="1"/>
  <c r="J7" i="44"/>
  <c r="H7" i="44" s="1"/>
  <c r="J8" i="44"/>
  <c r="H8" i="44" s="1"/>
  <c r="J38" i="44"/>
  <c r="H38" i="44" s="1"/>
  <c r="J26" i="44"/>
  <c r="H26" i="44" s="1"/>
  <c r="J36" i="44"/>
  <c r="H36" i="44" s="1"/>
  <c r="J44" i="44"/>
  <c r="H44" i="44" s="1"/>
  <c r="J29" i="44"/>
  <c r="H29" i="44" s="1"/>
  <c r="J3" i="44"/>
  <c r="H3" i="44" s="1"/>
  <c r="J12" i="44"/>
  <c r="H12" i="44" s="1"/>
  <c r="J22" i="44"/>
  <c r="H22" i="44" s="1"/>
  <c r="J25" i="44"/>
  <c r="H25" i="44" s="1"/>
  <c r="J40" i="44"/>
  <c r="H40" i="44" s="1"/>
  <c r="J32" i="44"/>
  <c r="H32" i="44" s="1"/>
  <c r="J13" i="44"/>
  <c r="H13" i="44" s="1"/>
  <c r="J42" i="44"/>
  <c r="H42" i="44" s="1"/>
  <c r="J2" i="44"/>
  <c r="H2" i="44" s="1"/>
  <c r="J21" i="44"/>
  <c r="H21" i="44" s="1"/>
  <c r="J20" i="44"/>
  <c r="H20" i="44" s="1"/>
  <c r="J9" i="44"/>
  <c r="H9" i="44" s="1"/>
  <c r="J27" i="44"/>
  <c r="H27" i="44" s="1"/>
  <c r="J37" i="44"/>
  <c r="H37" i="44" s="1"/>
  <c r="J46" i="44"/>
  <c r="H46" i="44" s="1"/>
  <c r="J16" i="44"/>
  <c r="H16" i="44" s="1"/>
  <c r="J15" i="44"/>
  <c r="H15" i="44" s="1"/>
  <c r="J5" i="44"/>
  <c r="H5" i="44" s="1"/>
  <c r="J45" i="44"/>
  <c r="H45" i="44" s="1"/>
  <c r="J35" i="44"/>
  <c r="H35" i="44" s="1"/>
  <c r="J34" i="44"/>
  <c r="H34" i="44" s="1"/>
  <c r="J14" i="44"/>
  <c r="H14" i="44" s="1"/>
  <c r="J24" i="44"/>
  <c r="H24" i="44" s="1"/>
  <c r="J10" i="44"/>
  <c r="H10" i="44" s="1"/>
  <c r="J17" i="44"/>
  <c r="H17" i="44" s="1"/>
  <c r="J33" i="44"/>
  <c r="H33" i="44" s="1"/>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s="1"/>
  <c r="J18" i="43"/>
  <c r="H18" i="43" s="1"/>
  <c r="J17" i="43"/>
  <c r="H17" i="43" s="1"/>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s="1"/>
  <c r="J14" i="43"/>
  <c r="H14" i="43" s="1"/>
  <c r="J13" i="43"/>
  <c r="H13" i="43" s="1"/>
  <c r="J12" i="43"/>
  <c r="H12" i="43" s="1"/>
  <c r="J11" i="43"/>
  <c r="H11" i="43" s="1"/>
  <c r="J10" i="43"/>
  <c r="H10" i="43" s="1"/>
  <c r="J9" i="43"/>
  <c r="H9" i="43" s="1"/>
  <c r="J8" i="43"/>
  <c r="H8" i="43" s="1"/>
  <c r="J7" i="43"/>
  <c r="H7" i="43" s="1"/>
  <c r="J6" i="43"/>
  <c r="H6" i="43" s="1"/>
  <c r="J5" i="43"/>
  <c r="H5" i="43" s="1"/>
  <c r="J4" i="43"/>
  <c r="H4" i="43" s="1"/>
  <c r="J3" i="43"/>
  <c r="H3" i="43" s="1"/>
  <c r="J2" i="43"/>
  <c r="H2" i="43" s="1"/>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s="1"/>
  <c r="J46" i="42"/>
  <c r="H46" i="42" s="1"/>
  <c r="J45" i="42"/>
  <c r="H45" i="42" s="1"/>
  <c r="J44" i="42"/>
  <c r="H44" i="42" s="1"/>
  <c r="J43" i="42"/>
  <c r="H43" i="42" s="1"/>
  <c r="J42" i="42"/>
  <c r="H42" i="42" s="1"/>
  <c r="J41" i="42"/>
  <c r="H41" i="42" s="1"/>
  <c r="J40" i="42"/>
  <c r="H40" i="42" s="1"/>
  <c r="J39" i="42"/>
  <c r="H39" i="42" s="1"/>
  <c r="J38" i="42"/>
  <c r="H38" i="42" s="1"/>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<sst xmlns="http://schemas.openxmlformats.org/spreadsheetml/2006/main" count="18395" uniqueCount="828">
  <si>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</si>
  <si>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</si>
  <si>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</si>
  <si>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</si>
  <si>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</si>
  <si>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</si>
  <si>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</si>
  <si>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</si>
  <si>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</si>
  <si>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</si>
  <si>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</si>
  <si>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</si>
  <si>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</si>
  <si>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</si>
  <si>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</si>
  <si>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</si>
  <si>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</si>
  <si>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</si>
  <si>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</si>
  <si>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</si>
  <si>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</si>
  <si>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</si>
  <si>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</si>
  <si>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</si>
  <si>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</si>
  <si>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</si>
  <si>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</si>
  <si>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</si>
  <si>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</si>
  <si>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</si>
  <si>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</si>
  <si>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</si>
  <si>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</si>
  <si>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</si>
  <si>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</si>
  <si>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</si>
  <si>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</si>
  <si>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</si>
  <si>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</si>
  <si>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</si>
  <si>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</si>
  <si>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</si>
  <si>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</si>
  <si>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</si>
  <si>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</si>
  <si>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</si>
  <si>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</si>
  <si>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</si>
  <si>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</si>
  <si>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</si>
  <si>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</si>
  <si>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</si>
  <si>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</si>
  <si>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</si>
  <si>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</si>
  <si>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</si>
  <si>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</si>
  <si>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</si>
  <si>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</si>
  <si>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</si>
  <si>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</si>
  <si>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</si>
  <si>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</si>
  <si>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</si>
  <si>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</si>
  <si>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</si>
  <si>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</si>
  <si>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</si>
  <si>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</si>
  <si>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</si>
  <si>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</si>
  <si>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</si>
  <si>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</si>
  <si>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</si>
  <si>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</si>
  <si>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</si>
  <si>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</si>
  <si>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</si>
  <si>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</si>
  <si>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</si>
  <si>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</si>
  <si>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</si>
  <si>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</si>
  <si>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</si>
  <si>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</si>
  <si>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</si>
  <si>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</si>
  <si>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</si>
  <si>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</si>
  <si>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</si>
  <si>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</si>
  <si>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</si>
  <si>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</si>
  <si>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</si>
  <si>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</si>
  <si>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</si>
  <si>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</si>
  <si>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</si>
  <si>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</si>
  <si>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</si>
  <si>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</si>
  <si>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</si>
  <si>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</si>
  <si>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</si>
  <si>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</si>
  <si>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</si>
  <si>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</si>
  <si>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</si>
  <si>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</si>
  <si>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</si>
  <si>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</si>
  <si>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</si>
  <si>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</si>
  <si>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</si>
  <si>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</si>
  <si>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</si>
  <si>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</si>
  <si>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</si>
  <si>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</si>
  <si>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</si>
  <si>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</si>
  <si>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</si>
  <si>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</si>
  <si>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</si>
  <si>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</si>
  <si>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</si>
  <si>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</si>
  <si>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</si>
  <si>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</si>
  <si>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</si>
  <si>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</si>
  <si>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</si>
  <si>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</si>
  <si>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</si>
  <si>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</si>
  <si>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</si>
  <si>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</si>
  <si>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</si>
  <si>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</si>
  <si>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</si>
  <si>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</si>
  <si>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</si>
  <si>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</si>
  <si>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</si>
  <si>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</si>
  <si>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</si>
  <si>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</si>
  <si>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</si>
  <si>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</si>
  <si>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</si>
  <si>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</si>
  <si>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</si>
  <si>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</si>
  <si>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</si>
  <si>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</si>
  <si>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</si>
  <si>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</si>
  <si>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</si>
  <si>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</si>
  <si>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</si>
  <si>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</si>
  <si>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</si>
  <si>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</si>
  <si>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</si>
  <si>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</si>
  <si>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</si>
  <si>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</si>
  <si>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</si>
  <si>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</si>
  <si>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</si>
  <si>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</si>
  <si>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</si>
  <si>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</si>
  <si>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</si>
  <si>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</si>
  <si>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</si>
  <si>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</si>
  <si>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</si>
  <si>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</si>
  <si>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</si>
  <si>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</si>
  <si>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</si>
  <si>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</si>
  <si>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</si>
  <si>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</si>
  <si>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</si>
  <si>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</si>
  <si>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</si>
  <si>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</si>
  <si>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</si>
  <si>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</si>
  <si>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</si>
  <si>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</si>
  <si>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</si>
  <si>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</si>
  <si>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</si>
  <si>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</si>
  <si>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</si>
  <si>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</si>
  <si>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</si>
  <si>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</si>
  <si>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</si>
  <si>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</si>
  <si>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</si>
  <si>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</si>
  <si>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</si>
  <si>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</si>
  <si>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</si>
  <si>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</si>
  <si>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</si>
  <si>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</si>
  <si>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</si>
  <si>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</si>
  <si>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</si>
  <si>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</si>
  <si>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</si>
  <si>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</si>
  <si>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</si>
  <si>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</si>
  <si>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</si>
  <si>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</si>
  <si>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</si>
  <si>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</si>
  <si>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</si>
  <si>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</si>
  <si>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</si>
  <si>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</si>
  <si>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</si>
  <si>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</si>
  <si>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</si>
  <si>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</si>
  <si>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</si>
  <si>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</si>
  <si>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</si>
  <si>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</si>
  <si>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</si>
  <si>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</si>
  <si>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</si>
  <si>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</si>
  <si>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</si>
  <si>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</si>
  <si>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</si>
  <si>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</si>
  <si>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</si>
  <si>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</si>
  <si>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</si>
  <si>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</si>
  <si>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</si>
  <si>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</si>
  <si>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</si>
  <si>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</si>
  <si>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</si>
  <si>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</si>
  <si>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</si>
  <si>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</si>
  <si>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</si>
  <si>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</si>
  <si>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</si>
  <si>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</si>
  <si>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</si>
  <si>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</si>
  <si>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</si>
  <si>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</si>
  <si>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</si>
  <si>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</si>
  <si>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</si>
  <si>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</si>
  <si>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</si>
  <si>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</si>
  <si>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</si>
  <si>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</si>
  <si>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</si>
  <si>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</si>
  <si>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</si>
  <si>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</si>
  <si>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</si>
  <si>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</si>
  <si>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</si>
  <si>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</si>
  <si>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</si>
  <si>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</si>
  <si>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</si>
  <si>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</si>
  <si>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</si>
  <si>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</si>
  <si>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</si>
  <si>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</si>
  <si>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</si>
  <si>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</si>
  <si>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</si>
  <si>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</si>
  <si>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</si>
  <si>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</si>
  <si>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</si>
  <si>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</si>
  <si>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</si>
  <si>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</si>
  <si>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</si>
  <si>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</si>
  <si>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</si>
  <si>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</si>
  <si>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</si>
  <si>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</si>
  <si>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</si>
  <si>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</si>
  <si>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</si>
  <si>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</si>
  <si>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</si>
  <si>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</si>
  <si>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</si>
  <si>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</si>
  <si>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</si>
  <si>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</si>
  <si>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</si>
  <si>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</si>
  <si>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</si>
  <si>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</si>
  <si>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</si>
  <si>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</si>
  <si>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</si>
  <si>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</si>
  <si>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</si>
  <si>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</si>
  <si>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</si>
  <si>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</si>
  <si>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</si>
  <si>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</si>
  <si>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</si>
  <si>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</si>
  <si>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</si>
  <si>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</si>
  <si>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</si>
  <si>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</si>
  <si>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</si>
  <si>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</si>
  <si>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</si>
  <si>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</si>
  <si>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</si>
  <si>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</si>
  <si>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</si>
  <si>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</si>
  <si>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</si>
  <si>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</si>
  <si>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</si>
  <si>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</si>
  <si>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</si>
  <si>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</si>
  <si>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</si>
  <si>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</si>
  <si>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</si>
  <si>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</si>
  <si>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</si>
  <si>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</si>
  <si>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</si>
  <si>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</si>
  <si>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</si>
  <si>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</si>
  <si>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</si>
  <si>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</si>
  <si>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</si>
  <si>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</si>
  <si>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</si>
  <si>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</si>
  <si>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</si>
  <si>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</si>
  <si>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</si>
  <si>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</si>
  <si>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</si>
  <si>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</si>
  <si>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</si>
  <si>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</si>
  <si>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</si>
  <si>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</si>
  <si>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</si>
  <si>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</si>
  <si>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</si>
  <si>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</si>
  <si>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</si>
  <si>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</si>
  <si>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</si>
  <si>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</si>
  <si>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</si>
  <si>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</si>
  <si>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</si>
  <si>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</si>
  <si>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</si>
  <si>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</si>
  <si>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</si>
  <si>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</si>
  <si>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</si>
  <si>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</si>
  <si>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</si>
  <si>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</si>
  <si>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</si>
  <si>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</si>
  <si>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</si>
  <si>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</si>
  <si>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</si>
  <si>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</si>
  <si>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</si>
  <si>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</si>
  <si>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</si>
  <si>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</si>
  <si>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</si>
  <si>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</si>
  <si>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</si>
  <si>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</si>
  <si>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</si>
  <si>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</si>
  <si>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</si>
  <si>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</si>
  <si>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</si>
  <si>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</si>
  <si>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</si>
  <si>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</si>
  <si>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</si>
  <si>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</si>
  <si>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</si>
  <si>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</si>
  <si>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</si>
  <si>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</si>
  <si>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</si>
  <si>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</si>
  <si>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</si>
  <si>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</si>
  <si>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</si>
  <si>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</si>
  <si>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</si>
  <si>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</si>
  <si>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</si>
  <si>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</si>
  <si>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</si>
  <si>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</si>
  <si>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</si>
  <si>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</si>
  <si>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</si>
  <si>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</si>
  <si>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</si>
  <si>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</si>
  <si>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</si>
  <si>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</si>
  <si>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</si>
  <si>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</si>
  <si>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</si>
  <si>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</si>
  <si>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</si>
  <si>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</si>
  <si>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</si>
  <si>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</si>
  <si>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</si>
  <si>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</si>
  <si>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</si>
  <si>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</si>
  <si>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</si>
  <si>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</si>
  <si>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</si>
  <si>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</si>
  <si>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</si>
  <si>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</si>
  <si>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</si>
  <si>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</si>
  <si>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</si>
  <si>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</si>
  <si>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</si>
  <si>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</si>
  <si>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</si>
  <si>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</si>
  <si>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</si>
  <si>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</si>
  <si>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</si>
  <si>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</si>
  <si>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</si>
  <si>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</si>
  <si>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</si>
  <si>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</si>
  <si>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</si>
  <si>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</si>
  <si>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</si>
  <si>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</si>
  <si>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</si>
  <si>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</si>
  <si>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</si>
  <si>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</si>
  <si>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</si>
  <si>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</si>
  <si>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</si>
  <si>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</si>
  <si>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</si>
  <si>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</si>
  <si>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</si>
  <si>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</si>
  <si>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</si>
  <si>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</si>
  <si>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</si>
  <si>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</si>
  <si>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</si>
  <si>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</si>
  <si>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</si>
  <si>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</si>
  <si>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</si>
  <si>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</si>
  <si>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</si>
  <si>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</si>
  <si>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</si>
  <si>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</si>
  <si>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</si>
  <si>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</si>
  <si>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</si>
  <si>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</si>
  <si>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</si>
  <si>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</si>
  <si>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</si>
  <si>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</si>
  <si>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</si>
  <si>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</si>
  <si>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</si>
  <si>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</si>
  <si>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</si>
  <si>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</si>
  <si>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</si>
  <si>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</si>
  <si>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</si>
  <si>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</si>
  <si>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</si>
  <si>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</si>
  <si>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</si>
  <si>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</si>
  <si>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</si>
  <si>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</si>
  <si>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</si>
  <si>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</si>
  <si>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</si>
  <si>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</si>
  <si>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</si>
  <si>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</si>
  <si>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</si>
  <si>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</si>
  <si>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</si>
  <si>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</si>
  <si>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</si>
  <si>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</si>
  <si>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</si>
  <si>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</si>
  <si>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</si>
  <si>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</si>
  <si>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</si>
  <si>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</si>
  <si>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</si>
  <si>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</si>
  <si>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</si>
  <si>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</si>
  <si>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</si>
  <si>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</si>
  <si>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</si>
  <si>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</si>
  <si>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</si>
  <si>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</si>
  <si>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</si>
  <si>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</si>
  <si>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</si>
  <si>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</si>
  <si>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</si>
  <si>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</si>
  <si>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</si>
  <si>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</si>
  <si>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</si>
  <si>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</si>
  <si>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</si>
  <si>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</si>
  <si>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</si>
  <si>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</si>
  <si>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</si>
  <si>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</si>
  <si>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</si>
  <si>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</si>
  <si>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</si>
  <si>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</si>
  <si>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</si>
  <si>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</si>
  <si>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</si>
  <si>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</si>
  <si>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</si>
  <si>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</si>
  <si>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</si>
  <si>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</si>
  <si>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</si>
  <si>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</si>
  <si>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</si>
  <si>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</si>
  <si>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</si>
  <si>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</si>
  <si>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</si>
  <si>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</si>
  <si>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</si>
  <si>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</si>
  <si>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</si>
  <si>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</si>
  <si>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</si>
  <si>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</si>
  <si>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</si>
  <si>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</si>
  <si>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</si>
  <si>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</si>
  <si>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</si>
  <si>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</si>
  <si>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</si>
  <si>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</si>
  <si>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</si>
  <si>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</si>
  <si>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</si>
  <si>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</si>
  <si>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</si>
  <si>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</si>
  <si>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</si>
  <si>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</si>
  <si>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</si>
  <si>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</si>
  <si>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</si>
  <si>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</si>
  <si>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</si>
  <si>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</si>
  <si>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</si>
  <si>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</si>
  <si>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</si>
  <si>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</si>
  <si>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</si>
  <si>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</si>
  <si>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</si>
  <si>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</si>
  <si>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</si>
  <si>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</si>
  <si>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</si>
  <si>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</si>
  <si>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</si>
  <si>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</si>
  <si>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</si>
  <si>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</si>
  <si>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</si>
  <si>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</si>
  <si>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</si>
  <si>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</si>
  <si>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</si>
  <si>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</si>
  <si>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</si>
  <si>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</si>
  <si>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</si>
  <si>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</si>
  <si>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</si>
  <si>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</si>
  <si>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</si>
  <si>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</si>
  <si>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</si>
  <si>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</si>
  <si>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</si>
  <si>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</si>
  <si>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</si>
  <si>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</si>
  <si>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</si>
  <si>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</si>
  <si>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</si>
  <si>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</si>
  <si>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</si>
  <si>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</si>
  <si>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</si>
  <si>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</si>
  <si>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</si>
  <si>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</si>
  <si>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</si>
  <si>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</si>
  <si>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</si>
  <si>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</si>
  <si>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</si>
  <si>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</si>
  <si>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</si>
  <si>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</si>
  <si>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</si>
  <si>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</si>
  <si>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</si>
  <si>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</si>
  <si>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</si>
  <si>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</si>
  <si>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</si>
  <si>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</si>
  <si>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</si>
  <si>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</si>
  <si>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</si>
  <si>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</si>
  <si>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</si>
  <si>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</si>
  <si>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</si>
  <si>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</si>
  <si>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</si>
  <si>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</si>
  <si>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</si>
  <si>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</si>
  <si>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</si>
  <si>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</si>
  <si>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</si>
  <si>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</si>
  <si>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</si>
  <si>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</si>
  <si>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</si>
  <si>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</si>
  <si>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</si>
  <si>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</si>
  <si>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</si>
  <si>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</si>
  <si>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</si>
  <si>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</si>
  <si>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</si>
  <si>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</si>
  <si>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</si>
  <si>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</si>
  <si>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</si>
  <si>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</si>
  <si>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</si>
  <si>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</si>
  <si>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</si>
  <si>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</si>
  <si>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</si>
  <si>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</si>
  <si>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</si>
  <si>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</si>
  <si>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</si>
  <si>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</si>
  <si>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</si>
  <si>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</si>
  <si>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</si>
  <si>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</si>
  <si>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</si>
  <si>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</si>
  <si>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</si>
  <si>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</si>
  <si>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</si>
  <si>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</si>
  <si>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</si>
  <si>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</si>
  <si>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</si>
  <si>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</si>
  <si>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</si>
  <si>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</si>
  <si>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</si>
  <si>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</si>
  <si>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</si>
  <si>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</si>
  <si>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</si>
  <si>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</si>
  <si>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</si>
  <si>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</si>
  <si>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</si>
  <si>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</si>
  <si>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</si>
  <si>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</si>
  <si>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</si>
  <si>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</si>
  <si>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</si>
  <si>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</si>
  <si>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</si>
  <si>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</si>
  <si>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</si>
  <si>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</si>
  <si>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</si>
  <si>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</si>
  <si>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</si>
  <si>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</si>
  <si>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</si>
  <si>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</si>
  <si>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</si>
  <si>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</si>
  <si>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</si>
  <si>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</si>
  <si>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</si>
  <si>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</si>
  <si>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</si>
  <si>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</si>
  <si>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</si>
  <si>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</si>
  <si>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</si>
  <si>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</si>
  <si>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</si>
  <si>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</si>
  <si>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</si>
  <si>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</si>
  <si>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</si>
  <si>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</si>
  <si>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</si>
  <si>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</si>
  <si>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</si>
  <si>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</si>
  <si>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</si>
  <si>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</si>
  <si>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</si>
  <si>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</si>
  <si>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</si>
  <si>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</si>
  <si>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</si>
  <si>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</si>
  <si>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</si>
  <si>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</si>
  <si>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</si>
  <si>
    <t>Nevill Holt - from Drayton</t>
  </si>
  <si>
    <t>Damian Ciesielski</t>
  </si>
  <si>
    <t>Victoria Shipley</t>
  </si>
  <si>
    <t>Nigel Tomlinson</t>
  </si>
  <si>
    <t>James Belton</t>
  </si>
  <si>
    <t>Ruth Dempsey</t>
  </si>
  <si>
    <t>Michael Cowland</t>
  </si>
  <si>
    <t>Peter McDonald</t>
  </si>
  <si>
    <t>Noah Marr</t>
  </si>
  <si>
    <t>Dave Cunningham</t>
  </si>
  <si>
    <t>Josh Cayford</t>
  </si>
  <si>
    <t>Jasper Scarratt (Pedal Power Loughborough)</t>
  </si>
  <si>
    <t>Ondrej Humplik</t>
  </si>
  <si>
    <t>Andrea Woolcott</t>
  </si>
  <si>
    <t>Bert Monteleone</t>
  </si>
  <si>
    <t>Bruce Main</t>
  </si>
  <si>
    <t>Lukas Humplik (Beeston CC)</t>
  </si>
  <si>
    <t>Shay Dempsey</t>
  </si>
  <si>
    <t>Tajvinder Badh</t>
  </si>
  <si>
    <t>Jack Shewring</t>
  </si>
  <si>
    <t>Darren Gillings</t>
  </si>
  <si>
    <t>Andrew Brown</t>
  </si>
  <si>
    <t>Lydia Baxter (FTP)</t>
  </si>
  <si>
    <t>Sean Adamson</t>
  </si>
  <si>
    <t>Karen Foster</t>
  </si>
  <si>
    <t>Jessica Thomas</t>
  </si>
  <si>
    <t>Graham Waterfield</t>
  </si>
  <si>
    <t>Ryan O'Dwyer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</si>
</sst>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596</v>
      </c>
      <c r="C25" s="70" t="s">
        <v>595</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768</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700</v>
      </c>
      <c r="C38" s="70" t="s">
        <v>702</v>
      </c>
      <c r="D38" s="70" t="s">
        <v>23</v>
      </c>
      <c r="E38" s="70" t="b">
        <v>0</v>
      </c>
      <c r="F38" s="70" t="s">
        <v>35</v>
      </c>
      <c r="G38" s="70"/>
      <c r="H38" s="71">
        <v>46236</v>
      </c>
      <c r="J38" s="1"/>
    </row>
    <row r="39" spans="1:10" ht="14.25">
      <c r="A39" s="70">
        <v>1189</v>
      </c>
      <c r="B39" s="70" t="s">
        <v>700</v>
      </c>
      <c r="C39" s="70" t="s">
        <v>701</v>
      </c>
      <c r="D39" s="70" t="s">
        <v>23</v>
      </c>
      <c r="E39" s="70" t="b">
        <v>0</v>
      </c>
      <c r="F39" s="70" t="s">
        <v>35</v>
      </c>
      <c r="G39" s="70"/>
      <c r="H39" s="71">
        <v>46236</v>
      </c>
      <c r="J39" s="1"/>
    </row>
    <row r="40" spans="1:10" ht="14.25">
      <c r="A40" s="70">
        <v>735</v>
      </c>
      <c r="B40" s="70" t="s">
        <v>700</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767</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615</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699</v>
      </c>
      <c r="C110" s="70" t="s">
        <v>698</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766</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765</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764</v>
      </c>
      <c r="C172" s="70" t="s">
        <v>34</v>
      </c>
      <c r="D172" s="70" t="s">
        <v>23</v>
      </c>
      <c r="E172" s="70" t="b">
        <v>0</v>
      </c>
      <c r="F172" s="70" t="s">
        <v>27</v>
      </c>
      <c r="G172" s="70">
        <v>8</v>
      </c>
      <c r="H172" s="71">
        <v>46236</v>
      </c>
      <c r="J172" s="1"/>
    </row>
    <row r="173" spans="1:10" ht="14.25">
      <c r="A173" s="70">
        <v>1433</v>
      </c>
      <c r="B173" s="70" t="s">
        <v>764</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697</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596</v>
      </c>
      <c r="C25" s="63" t="s">
        <v>595</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596</v>
      </c>
      <c r="C25" s="67" t="s">
        <v>595</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700</v>
      </c>
      <c r="C37" s="67" t="s">
        <v>702</v>
      </c>
      <c r="D37" s="67" t="s">
        <v>23</v>
      </c>
      <c r="E37" s="67" t="b">
        <v>0</v>
      </c>
      <c r="F37" s="67" t="s">
        <v>35</v>
      </c>
      <c r="H37" s="68">
        <v>46216</v>
      </c>
    </row>
    <row r="38" spans="1:8">
      <c r="A38" s="67">
        <v>1189</v>
      </c>
      <c r="B38" s="67" t="s">
        <v>700</v>
      </c>
      <c r="C38" s="67" t="s">
        <v>701</v>
      </c>
      <c r="D38" s="67" t="s">
        <v>23</v>
      </c>
      <c r="E38" s="67" t="b">
        <v>0</v>
      </c>
      <c r="F38" s="67" t="s">
        <v>35</v>
      </c>
      <c r="H38" s="68">
        <v>46216</v>
      </c>
    </row>
    <row r="39" spans="1:8">
      <c r="A39" s="67">
        <v>735</v>
      </c>
      <c r="B39" s="67" t="s">
        <v>700</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615</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699</v>
      </c>
      <c r="C108" s="67" t="s">
        <v>698</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697</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 workbookViewId="1"/>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596</v>
      </c>
      <c r="C25" s="70" t="s">
        <v>595</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768</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700</v>
      </c>
      <c r="C38" s="70" t="s">
        <v>702</v>
      </c>
      <c r="D38" s="70" t="s">
        <v>23</v>
      </c>
      <c r="E38" s="70" t="b">
        <v>0</v>
      </c>
      <c r="F38" s="70" t="s">
        <v>35</v>
      </c>
      <c r="H38" s="71">
        <v>46236</v>
      </c>
    </row>
    <row r="39" spans="1:8">
      <c r="A39" s="70">
        <v>1189</v>
      </c>
      <c r="B39" s="70" t="s">
        <v>700</v>
      </c>
      <c r="C39" s="70" t="s">
        <v>701</v>
      </c>
      <c r="D39" s="70" t="s">
        <v>23</v>
      </c>
      <c r="E39" s="70" t="b">
        <v>0</v>
      </c>
      <c r="F39" s="70" t="s">
        <v>35</v>
      </c>
      <c r="H39" s="71">
        <v>46236</v>
      </c>
    </row>
    <row r="40" spans="1:8">
      <c r="A40" s="70">
        <v>735</v>
      </c>
      <c r="B40" s="70" t="s">
        <v>700</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767</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615</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699</v>
      </c>
      <c r="C110" s="70" t="s">
        <v>698</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766</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765</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764</v>
      </c>
      <c r="C172" s="70" t="s">
        <v>34</v>
      </c>
      <c r="D172" s="70" t="s">
        <v>23</v>
      </c>
      <c r="E172" s="70" t="b">
        <v>0</v>
      </c>
      <c r="F172" s="70" t="s">
        <v>27</v>
      </c>
      <c r="G172" s="70">
        <v>8</v>
      </c>
      <c r="H172" s="71">
        <v>46236</v>
      </c>
    </row>
    <row r="173" spans="1:8">
      <c r="A173" s="70">
        <v>1433</v>
      </c>
      <c r="B173" s="70" t="s">
        <v>764</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697</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G30" sqref="G30"/>
    </sheetView>
    <sheetView workbookViewId="1"/>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729</v>
      </c>
      <c r="M1" s="25" t="s">
        <v>366</v>
      </c>
      <c r="N1" s="25" t="s">
        <v>367</v>
      </c>
      <c r="O1" s="21" t="s">
        <v>368</v>
      </c>
      <c r="P1" s="26" t="s">
        <v>369</v>
      </c>
      <c r="Q1" s="21" t="s">
        <v>594</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593</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593</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593</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593</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593</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593</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593</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593</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593</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593</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593</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593</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593</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593</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593</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593</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593</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593</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593</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593</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593</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593</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593</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593</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593</v>
      </c>
      <c r="M26" s="30" t="str">
        <f t="shared" si="3"/>
        <v>Y</v>
      </c>
      <c r="N26" s="30"/>
      <c r="O26" t="str">
        <f t="shared" si="4"/>
        <v>Event_25</v>
      </c>
      <c r="P26" s="30" t="s">
        <v>372</v>
      </c>
      <c r="Q26" s="30"/>
    </row>
    <row r="27" spans="1:17">
      <c r="A27" s="27">
        <f t="shared" si="5"/>
        <v>26</v>
      </c>
      <c r="B27" s="28">
        <v>46292</v>
      </c>
      <c r="C27" s="20">
        <v>0.375</v>
      </c>
      <c r="D27" s="18" t="s">
        <v>404</v>
      </c>
      <c r="F27">
        <v>1.24</v>
      </c>
      <c r="G27" s="18" t="s">
        <v>800</v>
      </c>
      <c r="H27" t="str">
        <f t="shared" si="0"/>
        <v>Y</v>
      </c>
      <c r="I27" s="30" t="s">
        <v>372</v>
      </c>
      <c r="J27" s="30" t="str">
        <f t="shared" si="1"/>
        <v>Y</v>
      </c>
      <c r="K27" s="30" t="str">
        <f t="shared" si="2"/>
        <v/>
      </c>
      <c r="L27" s="30" t="s">
        <v>593</v>
      </c>
      <c r="M27" s="30" t="str">
        <f t="shared" si="3"/>
        <v/>
      </c>
      <c r="N27" s="30" t="str">
        <f t="shared" si="3"/>
        <v/>
      </c>
      <c r="O27" t="str">
        <f t="shared" si="4"/>
        <v>Event_26</v>
      </c>
      <c r="P27" s="30"/>
      <c r="Q27" s="30"/>
    </row>
    <row r="28" spans="1:17">
      <c r="A28" s="27">
        <f t="shared" si="5"/>
        <v>27</v>
      </c>
      <c r="B28" s="28">
        <v>46382</v>
      </c>
      <c r="C28" s="20">
        <v>0.41666666666666669</v>
      </c>
      <c r="D28" s="18" t="s">
        <v>405</v>
      </c>
      <c r="F28">
        <v>10</v>
      </c>
      <c r="G28" s="18" t="s">
        <v>375</v>
      </c>
      <c r="H28" t="str">
        <f t="shared" si="0"/>
        <v/>
      </c>
      <c r="I28" s="30"/>
      <c r="J28" s="30" t="str">
        <f>IF($B28="","",IF($F28=10,"","Y"))</f>
        <v/>
      </c>
      <c r="K28" s="30" t="str">
        <f t="shared" si="2"/>
        <v>Y</v>
      </c>
      <c r="L28" s="30" t="s">
        <v>593</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 workbookViewId="1"/>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406</v>
      </c>
      <c r="C1" s="34" t="s">
        <v>407</v>
      </c>
    </row>
    <row r="2" spans="1:3">
      <c r="A2">
        <f t="shared" ref="A2:A33" si="0">IF(ISBLANK(B2),"",_xlfn.XLOOKUP(B2,ClubNames,ClubNumbers))</f>
        <v>1094</v>
      </c>
      <c r="B2" t="s">
        <v>408</v>
      </c>
      <c r="C2" s="32" t="s">
        <v>409</v>
      </c>
    </row>
    <row r="3" spans="1:3">
      <c r="A3">
        <f t="shared" si="0"/>
        <v>747</v>
      </c>
      <c r="B3" t="s">
        <v>410</v>
      </c>
      <c r="C3" s="32" t="s">
        <v>409</v>
      </c>
    </row>
    <row r="4" spans="1:3">
      <c r="A4">
        <f t="shared" si="0"/>
        <v>407</v>
      </c>
      <c r="B4" t="s">
        <v>411</v>
      </c>
      <c r="C4" s="32" t="s">
        <v>409</v>
      </c>
    </row>
    <row r="5" spans="1:3">
      <c r="A5">
        <f t="shared" si="0"/>
        <v>1144</v>
      </c>
      <c r="B5" t="s">
        <v>412</v>
      </c>
      <c r="C5" s="32" t="s">
        <v>409</v>
      </c>
    </row>
    <row r="6" spans="1:3">
      <c r="A6">
        <f t="shared" si="0"/>
        <v>989</v>
      </c>
      <c r="B6" t="s">
        <v>413</v>
      </c>
      <c r="C6" s="32" t="s">
        <v>409</v>
      </c>
    </row>
    <row r="7" spans="1:3">
      <c r="A7">
        <f t="shared" si="0"/>
        <v>699</v>
      </c>
      <c r="B7" t="s">
        <v>414</v>
      </c>
      <c r="C7" s="32" t="s">
        <v>409</v>
      </c>
    </row>
    <row r="8" spans="1:3">
      <c r="A8">
        <f t="shared" si="0"/>
        <v>1161</v>
      </c>
      <c r="B8" t="s">
        <v>415</v>
      </c>
      <c r="C8" s="32" t="s">
        <v>409</v>
      </c>
    </row>
    <row r="9" spans="1:3">
      <c r="A9">
        <f t="shared" si="0"/>
        <v>38</v>
      </c>
      <c r="B9" t="s">
        <v>416</v>
      </c>
      <c r="C9" s="32" t="s">
        <v>409</v>
      </c>
    </row>
    <row r="10" spans="1:3">
      <c r="A10">
        <f t="shared" si="0"/>
        <v>1152</v>
      </c>
      <c r="B10" t="s">
        <v>417</v>
      </c>
      <c r="C10" s="32" t="s">
        <v>409</v>
      </c>
    </row>
    <row r="11" spans="1:3">
      <c r="A11">
        <f t="shared" si="0"/>
        <v>1355</v>
      </c>
      <c r="B11" s="35" t="s">
        <v>418</v>
      </c>
      <c r="C11" s="32">
        <v>1</v>
      </c>
    </row>
    <row r="12" spans="1:3">
      <c r="A12">
        <f t="shared" si="0"/>
        <v>756</v>
      </c>
      <c r="B12" s="35" t="s">
        <v>419</v>
      </c>
      <c r="C12" s="32">
        <v>1</v>
      </c>
    </row>
    <row r="13" spans="1:3">
      <c r="A13">
        <f t="shared" si="0"/>
        <v>1192</v>
      </c>
      <c r="B13" s="35" t="s">
        <v>420</v>
      </c>
      <c r="C13" s="32">
        <v>1</v>
      </c>
    </row>
    <row r="14" spans="1:3">
      <c r="A14">
        <f t="shared" si="0"/>
        <v>415</v>
      </c>
      <c r="B14" s="35" t="s">
        <v>421</v>
      </c>
      <c r="C14" s="32">
        <v>1</v>
      </c>
    </row>
    <row r="15" spans="1:3">
      <c r="A15">
        <f t="shared" si="0"/>
        <v>1407</v>
      </c>
      <c r="B15" s="35" t="s">
        <v>422</v>
      </c>
      <c r="C15" s="32">
        <v>1</v>
      </c>
    </row>
    <row r="16" spans="1:3">
      <c r="A16">
        <f t="shared" si="0"/>
        <v>35</v>
      </c>
      <c r="B16" s="35" t="s">
        <v>423</v>
      </c>
      <c r="C16" s="32">
        <v>1</v>
      </c>
    </row>
    <row r="17" spans="1:3">
      <c r="A17">
        <f t="shared" si="0"/>
        <v>1024</v>
      </c>
      <c r="B17" s="35" t="s">
        <v>424</v>
      </c>
      <c r="C17" s="32">
        <v>1</v>
      </c>
    </row>
    <row r="18" spans="1:3">
      <c r="A18">
        <f t="shared" si="0"/>
        <v>1418</v>
      </c>
      <c r="B18" s="35" t="s">
        <v>425</v>
      </c>
      <c r="C18" s="32">
        <v>1</v>
      </c>
    </row>
    <row r="19" spans="1:3">
      <c r="A19">
        <f t="shared" si="0"/>
        <v>1055</v>
      </c>
      <c r="B19" s="35" t="s">
        <v>426</v>
      </c>
      <c r="C19" s="32">
        <v>1</v>
      </c>
    </row>
    <row r="20" spans="1:3">
      <c r="A20">
        <f t="shared" si="0"/>
        <v>915</v>
      </c>
      <c r="B20" s="35" t="s">
        <v>427</v>
      </c>
      <c r="C20" s="32">
        <v>1</v>
      </c>
    </row>
    <row r="21" spans="1:3">
      <c r="A21">
        <f t="shared" si="0"/>
        <v>1237</v>
      </c>
      <c r="B21" s="35" t="s">
        <v>428</v>
      </c>
      <c r="C21" s="32">
        <v>2</v>
      </c>
    </row>
    <row r="22" spans="1:3">
      <c r="A22">
        <f t="shared" si="0"/>
        <v>1107</v>
      </c>
      <c r="B22" s="35" t="s">
        <v>429</v>
      </c>
      <c r="C22" s="32">
        <v>2</v>
      </c>
    </row>
    <row r="23" spans="1:3">
      <c r="A23">
        <f t="shared" si="0"/>
        <v>616</v>
      </c>
      <c r="B23" s="35" t="s">
        <v>430</v>
      </c>
      <c r="C23" s="32">
        <v>2</v>
      </c>
    </row>
    <row r="24" spans="1:3">
      <c r="A24">
        <f t="shared" si="0"/>
        <v>1403</v>
      </c>
      <c r="B24" s="35" t="s">
        <v>431</v>
      </c>
      <c r="C24" s="32">
        <v>2</v>
      </c>
    </row>
    <row r="25" spans="1:3">
      <c r="A25">
        <f t="shared" si="0"/>
        <v>1112</v>
      </c>
      <c r="B25" s="35" t="s">
        <v>432</v>
      </c>
      <c r="C25" s="32">
        <v>2</v>
      </c>
    </row>
    <row r="26" spans="1:3">
      <c r="A26">
        <f t="shared" si="0"/>
        <v>1109</v>
      </c>
      <c r="B26" s="35" t="s">
        <v>433</v>
      </c>
      <c r="C26" s="32">
        <v>2</v>
      </c>
    </row>
    <row r="27" spans="1:3">
      <c r="A27">
        <f t="shared" si="0"/>
        <v>1419</v>
      </c>
      <c r="B27" s="35" t="s">
        <v>434</v>
      </c>
      <c r="C27" s="32">
        <v>2</v>
      </c>
    </row>
    <row r="28" spans="1:3">
      <c r="A28">
        <f t="shared" si="0"/>
        <v>846</v>
      </c>
      <c r="B28" s="35" t="s">
        <v>435</v>
      </c>
      <c r="C28" s="32">
        <v>2</v>
      </c>
    </row>
    <row r="29" spans="1:3">
      <c r="A29">
        <f t="shared" si="0"/>
        <v>203</v>
      </c>
      <c r="B29" s="35" t="s">
        <v>436</v>
      </c>
      <c r="C29" s="32">
        <v>2</v>
      </c>
    </row>
    <row r="30" spans="1:3">
      <c r="A30">
        <f t="shared" si="0"/>
        <v>1195</v>
      </c>
      <c r="B30" t="s">
        <v>437</v>
      </c>
      <c r="C30" s="32">
        <v>3</v>
      </c>
    </row>
    <row r="31" spans="1:3">
      <c r="A31">
        <f t="shared" si="0"/>
        <v>704</v>
      </c>
      <c r="B31" t="s">
        <v>438</v>
      </c>
      <c r="C31" s="32">
        <v>3</v>
      </c>
    </row>
    <row r="32" spans="1:3">
      <c r="A32">
        <f t="shared" si="0"/>
        <v>23</v>
      </c>
      <c r="B32" t="s">
        <v>439</v>
      </c>
      <c r="C32" s="32">
        <v>3</v>
      </c>
    </row>
    <row r="33" spans="1:3">
      <c r="A33">
        <f t="shared" si="0"/>
        <v>245</v>
      </c>
      <c r="B33" t="s">
        <v>440</v>
      </c>
      <c r="C33" s="32">
        <v>3</v>
      </c>
    </row>
    <row r="34" spans="1:3">
      <c r="A34">
        <f t="shared" ref="A34:A97" si="1">IF(ISBLANK(B34),"",_xlfn.XLOOKUP(B34,ClubNames,ClubNumbers))</f>
        <v>1254</v>
      </c>
      <c r="B34" t="s">
        <v>441</v>
      </c>
      <c r="C34" s="32">
        <v>3</v>
      </c>
    </row>
    <row r="35" spans="1:3">
      <c r="A35">
        <f t="shared" si="1"/>
        <v>564</v>
      </c>
      <c r="B35" t="s">
        <v>442</v>
      </c>
      <c r="C35" s="32">
        <v>3</v>
      </c>
    </row>
    <row r="36" spans="1:3">
      <c r="A36">
        <f t="shared" si="1"/>
        <v>1193</v>
      </c>
      <c r="B36" t="s">
        <v>443</v>
      </c>
      <c r="C36" s="32">
        <v>3</v>
      </c>
    </row>
    <row r="37" spans="1:3">
      <c r="A37">
        <f t="shared" si="1"/>
        <v>1386</v>
      </c>
      <c r="B37" t="s">
        <v>444</v>
      </c>
      <c r="C37" s="32">
        <v>3</v>
      </c>
    </row>
    <row r="38" spans="1:3">
      <c r="A38">
        <f t="shared" si="1"/>
        <v>1242</v>
      </c>
      <c r="B38" t="s">
        <v>445</v>
      </c>
      <c r="C38" s="32">
        <v>3</v>
      </c>
    </row>
    <row r="39" spans="1:3">
      <c r="A39">
        <f t="shared" si="1"/>
        <v>1379</v>
      </c>
      <c r="B39" t="s">
        <v>446</v>
      </c>
      <c r="C39" s="32">
        <v>3</v>
      </c>
    </row>
    <row r="40" spans="1:3">
      <c r="A40">
        <f t="shared" si="1"/>
        <v>1194</v>
      </c>
      <c r="B40" t="s">
        <v>447</v>
      </c>
      <c r="C40" s="32">
        <v>4</v>
      </c>
    </row>
    <row r="41" spans="1:3">
      <c r="A41">
        <f t="shared" si="1"/>
        <v>1298</v>
      </c>
      <c r="B41" t="s">
        <v>448</v>
      </c>
      <c r="C41" s="32">
        <v>4</v>
      </c>
    </row>
    <row r="42" spans="1:3">
      <c r="A42">
        <f t="shared" si="1"/>
        <v>1332</v>
      </c>
      <c r="B42" t="s">
        <v>449</v>
      </c>
      <c r="C42" s="32">
        <v>4</v>
      </c>
    </row>
    <row r="43" spans="1:3">
      <c r="A43">
        <f t="shared" si="1"/>
        <v>1377</v>
      </c>
      <c r="B43" t="s">
        <v>450</v>
      </c>
      <c r="C43" s="32">
        <v>4</v>
      </c>
    </row>
    <row r="44" spans="1:3">
      <c r="A44">
        <f t="shared" si="1"/>
        <v>1244</v>
      </c>
      <c r="B44" t="s">
        <v>451</v>
      </c>
      <c r="C44" s="32">
        <v>4</v>
      </c>
    </row>
    <row r="45" spans="1:3">
      <c r="A45">
        <f t="shared" si="1"/>
        <v>1404</v>
      </c>
      <c r="B45" t="s">
        <v>452</v>
      </c>
      <c r="C45" s="32">
        <v>4</v>
      </c>
    </row>
    <row r="46" spans="1:3">
      <c r="A46">
        <f t="shared" si="1"/>
        <v>990</v>
      </c>
      <c r="B46" t="s">
        <v>616</v>
      </c>
      <c r="C46" s="32">
        <v>4</v>
      </c>
    </row>
    <row r="47" spans="1:3">
      <c r="A47">
        <f t="shared" si="1"/>
        <v>558</v>
      </c>
      <c r="B47" t="s">
        <v>453</v>
      </c>
      <c r="C47" s="32">
        <v>4</v>
      </c>
    </row>
    <row r="48" spans="1:3">
      <c r="A48">
        <f t="shared" si="1"/>
        <v>45</v>
      </c>
      <c r="B48" t="s">
        <v>454</v>
      </c>
      <c r="C48" s="32">
        <v>4</v>
      </c>
    </row>
    <row r="49" spans="1:3">
      <c r="A49">
        <f t="shared" si="1"/>
        <v>295</v>
      </c>
      <c r="B49" t="s">
        <v>455</v>
      </c>
      <c r="C49" s="32">
        <v>4</v>
      </c>
    </row>
    <row r="50" spans="1:3">
      <c r="A50">
        <f t="shared" si="1"/>
        <v>967</v>
      </c>
      <c r="B50" t="s">
        <v>456</v>
      </c>
      <c r="C50" s="32" t="s">
        <v>409</v>
      </c>
    </row>
    <row r="51" spans="1:3">
      <c r="A51">
        <f t="shared" si="1"/>
        <v>120</v>
      </c>
      <c r="B51" t="s">
        <v>457</v>
      </c>
      <c r="C51" s="32">
        <v>2</v>
      </c>
    </row>
    <row r="52" spans="1:3">
      <c r="A52">
        <f t="shared" si="1"/>
        <v>715</v>
      </c>
      <c r="B52" t="s">
        <v>458</v>
      </c>
      <c r="C52" s="32">
        <v>3</v>
      </c>
    </row>
    <row r="53" spans="1:3">
      <c r="A53">
        <f t="shared" si="1"/>
        <v>742</v>
      </c>
      <c r="B53" t="s">
        <v>459</v>
      </c>
      <c r="C53" s="32">
        <v>4</v>
      </c>
    </row>
    <row r="54" spans="1:3">
      <c r="A54">
        <f t="shared" si="1"/>
        <v>7</v>
      </c>
      <c r="B54" t="s">
        <v>460</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abSelected="1" topLeftCell="A132" workbookViewId="0">
      <selection activeCell="A149" sqref="A149"/>
    </sheetView>
    <sheetView workbookViewId="1"/>
  </sheetViews>
  <sheetFormatPr defaultRowHeight="12.75"/>
  <cols>
    <col min="1" max="1" width="36.46484375" bestFit="1" customWidth="1"/>
    <col min="2" max="2" width="19.1328125" customWidth="1"/>
    <col min="3" max="3" width="41.46484375" bestFit="1" customWidth="1"/>
  </cols>
  <sheetData>
    <row r="1" spans="1:8" s="33" customFormat="1" ht="13.15">
      <c r="A1" s="33" t="s">
        <v>461</v>
      </c>
      <c r="B1" s="33" t="s">
        <v>462</v>
      </c>
      <c r="C1" s="33" t="s">
        <v>463</v>
      </c>
      <c r="D1" s="33" t="s">
        <v>17</v>
      </c>
    </row>
    <row r="2" spans="1:8" ht="14.25">
      <c r="A2" t="s">
        <v>464</v>
      </c>
      <c r="B2" t="s">
        <v>465</v>
      </c>
      <c r="C2" s="36" t="str">
        <f>IF(ISBLANK(B2), IF(ISBLANK(A2),"",A2), _xlfn.CONCAT(A2," (",B2,")"))</f>
        <v>Carl Dyson (Aerologic)</v>
      </c>
      <c r="H2" t="s">
        <v>466</v>
      </c>
    </row>
    <row r="3" spans="1:8" ht="14.25">
      <c r="A3" t="s">
        <v>467</v>
      </c>
      <c r="B3" t="s">
        <v>468</v>
      </c>
      <c r="C3" s="36" t="str">
        <f>IF(ISBLANK(B3), IF(ISBLANK(A3),"",A3), _xlfn.CONCAT(A3," (",B3,")"))</f>
        <v>Tommy Nolan (Ashby ICC)</v>
      </c>
      <c r="H3" t="s">
        <v>469</v>
      </c>
    </row>
    <row r="4" spans="1:8" ht="14.25">
      <c r="A4" t="s">
        <v>786</v>
      </c>
      <c r="B4" t="s">
        <v>788</v>
      </c>
      <c r="C4" s="36" t="str">
        <f t="shared" ref="C4:C35" si="0">IF(ISBLANK(B4),IF(ISBLANK(A4),"",A4),_xlfn.CONCAT(A4," (",B4,")"))</f>
        <v>Daniel Town (Beeston CC)</v>
      </c>
      <c r="H4" t="s">
        <v>472</v>
      </c>
    </row>
    <row r="5" spans="1:8" ht="14.25">
      <c r="A5" t="s">
        <v>634</v>
      </c>
      <c r="B5" t="s">
        <v>635</v>
      </c>
      <c r="C5" s="36" t="str">
        <f t="shared" si="0"/>
        <v>Marc Fairclough (Beeston RC)</v>
      </c>
    </row>
    <row r="6" spans="1:8" ht="14.25">
      <c r="A6" t="s">
        <v>470</v>
      </c>
      <c r="B6" t="s">
        <v>471</v>
      </c>
      <c r="C6" s="36" t="str">
        <f t="shared" si="0"/>
        <v>David Marshall (Bluelight CC)</v>
      </c>
    </row>
    <row r="7" spans="1:8" ht="14.25">
      <c r="A7" t="s">
        <v>689</v>
      </c>
      <c r="B7" t="s">
        <v>684</v>
      </c>
      <c r="C7" s="36" t="str">
        <f t="shared" si="0"/>
        <v>Ali Nurgat (BOB CC)</v>
      </c>
    </row>
    <row r="8" spans="1:8" ht="14.25">
      <c r="A8" t="s">
        <v>591</v>
      </c>
      <c r="B8" t="s">
        <v>684</v>
      </c>
      <c r="C8" s="36" t="str">
        <f t="shared" si="0"/>
        <v>Mohammed Nurgat (BOB CC)</v>
      </c>
    </row>
    <row r="9" spans="1:8" ht="14.25">
      <c r="A9" t="s">
        <v>633</v>
      </c>
      <c r="B9" t="s">
        <v>684</v>
      </c>
      <c r="C9" s="36" t="str">
        <f t="shared" si="0"/>
        <v>Shareeq S. Shaikh (BOB CC)</v>
      </c>
    </row>
    <row r="10" spans="1:8" ht="14.25">
      <c r="A10" t="s">
        <v>738</v>
      </c>
      <c r="B10" t="s">
        <v>474</v>
      </c>
      <c r="C10" s="36" t="str">
        <f t="shared" si="0"/>
        <v>Andrea Winkless (Coalville Wheelers)</v>
      </c>
      <c r="D10" t="s">
        <v>372</v>
      </c>
    </row>
    <row r="11" spans="1:8" ht="14.25">
      <c r="A11" t="s">
        <v>743</v>
      </c>
      <c r="B11" t="s">
        <v>474</v>
      </c>
      <c r="C11" s="36" t="str">
        <f t="shared" si="0"/>
        <v>David Alexander (Coalville Wheelers)</v>
      </c>
    </row>
    <row r="12" spans="1:8" ht="14.25">
      <c r="A12" t="s">
        <v>638</v>
      </c>
      <c r="B12" t="s">
        <v>474</v>
      </c>
      <c r="C12" s="36" t="str">
        <f t="shared" si="0"/>
        <v>James Dexter (Coalville Wheelers)</v>
      </c>
    </row>
    <row r="13" spans="1:8" ht="14.25">
      <c r="A13" t="s">
        <v>473</v>
      </c>
      <c r="B13" t="s">
        <v>474</v>
      </c>
      <c r="C13" s="36" t="str">
        <f t="shared" si="0"/>
        <v>John Capel (Coalville Wheelers)</v>
      </c>
    </row>
    <row r="14" spans="1:8" ht="14.25">
      <c r="A14" t="s">
        <v>475</v>
      </c>
      <c r="B14" t="s">
        <v>474</v>
      </c>
      <c r="C14" s="36" t="str">
        <f t="shared" si="0"/>
        <v>Pamela Moore (Coalville Wheelers)</v>
      </c>
      <c r="D14" t="s">
        <v>372</v>
      </c>
    </row>
    <row r="15" spans="1:8" ht="14.25">
      <c r="A15" t="s">
        <v>713</v>
      </c>
      <c r="B15" t="s">
        <v>477</v>
      </c>
      <c r="C15" s="36" t="str">
        <f t="shared" si="0"/>
        <v>Alex Williamson (Cov Tri)</v>
      </c>
    </row>
    <row r="16" spans="1:8" ht="14.25">
      <c r="A16" t="s">
        <v>714</v>
      </c>
      <c r="B16" t="s">
        <v>477</v>
      </c>
      <c r="C16" s="36" t="str">
        <f t="shared" si="0"/>
        <v>David Melhuish (Cov Tri)</v>
      </c>
    </row>
    <row r="17" spans="1:4" ht="14.25">
      <c r="A17" t="s">
        <v>476</v>
      </c>
      <c r="B17" t="s">
        <v>477</v>
      </c>
      <c r="C17" s="36" t="str">
        <f t="shared" si="0"/>
        <v>Jayne Mumford (W) (Cov Tri)</v>
      </c>
      <c r="D17" t="s">
        <v>372</v>
      </c>
    </row>
    <row r="18" spans="1:4" ht="14.25">
      <c r="A18" t="s">
        <v>478</v>
      </c>
      <c r="B18" t="s">
        <v>477</v>
      </c>
      <c r="C18" s="36" t="str">
        <f t="shared" si="0"/>
        <v>Simon Clarke (Cov Tri)</v>
      </c>
    </row>
    <row r="19" spans="1:4" ht="14.25">
      <c r="A19" t="s">
        <v>479</v>
      </c>
      <c r="B19" t="s">
        <v>480</v>
      </c>
      <c r="C19" s="36" t="str">
        <f t="shared" si="0"/>
        <v>Lydia Baxter (FTP Fusion)</v>
      </c>
      <c r="D19" t="s">
        <v>372</v>
      </c>
    </row>
    <row r="20" spans="1:4" ht="14.25">
      <c r="A20" t="s">
        <v>639</v>
      </c>
      <c r="B20" t="s">
        <v>637</v>
      </c>
      <c r="C20" s="36" t="str">
        <f t="shared" si="0"/>
        <v>Muhammad Sheikh (Gapped RT)</v>
      </c>
    </row>
    <row r="21" spans="1:4" ht="14.25">
      <c r="A21" t="s">
        <v>636</v>
      </c>
      <c r="B21" t="s">
        <v>637</v>
      </c>
      <c r="C21" s="36" t="str">
        <f t="shared" si="0"/>
        <v>Umair Nurgat (Gapped RT)</v>
      </c>
    </row>
    <row r="22" spans="1:4" ht="14.25">
      <c r="A22" t="s">
        <v>481</v>
      </c>
      <c r="B22" t="s">
        <v>397</v>
      </c>
      <c r="C22" s="36" t="str">
        <f t="shared" si="0"/>
        <v>Andy Thomas (HCRC)</v>
      </c>
    </row>
    <row r="23" spans="1:4" ht="14.25">
      <c r="A23" t="s">
        <v>482</v>
      </c>
      <c r="B23" t="s">
        <v>397</v>
      </c>
      <c r="C23" s="36" t="str">
        <f t="shared" si="0"/>
        <v>Colin Parkinson (SWRC) (HCRC)</v>
      </c>
    </row>
    <row r="24" spans="1:4" ht="14.25">
      <c r="A24" t="s">
        <v>694</v>
      </c>
      <c r="B24" t="s">
        <v>397</v>
      </c>
      <c r="C24" s="36" t="str">
        <f t="shared" si="0"/>
        <v>Joe Murray (M.I. Racing) (HCRC)</v>
      </c>
    </row>
    <row r="25" spans="1:4" ht="14.25">
      <c r="A25" t="s">
        <v>695</v>
      </c>
      <c r="B25" t="s">
        <v>397</v>
      </c>
      <c r="C25" s="36" t="str">
        <f t="shared" si="0"/>
        <v>Mick Wills (M.I. Racing) (HCRC)</v>
      </c>
    </row>
    <row r="26" spans="1:4" ht="14.25">
      <c r="A26" t="s">
        <v>745</v>
      </c>
      <c r="B26" t="s">
        <v>397</v>
      </c>
      <c r="C26" s="36" t="str">
        <f t="shared" si="0"/>
        <v>Steve Evans (HCRC)</v>
      </c>
    </row>
    <row r="27" spans="1:4" ht="14.25">
      <c r="A27" t="s">
        <v>483</v>
      </c>
      <c r="B27" t="s">
        <v>391</v>
      </c>
      <c r="C27" s="36" t="str">
        <f t="shared" si="0"/>
        <v>Andy King (KCC)</v>
      </c>
    </row>
    <row r="28" spans="1:4" ht="14.25">
      <c r="A28" t="s">
        <v>776</v>
      </c>
      <c r="B28" t="s">
        <v>391</v>
      </c>
      <c r="C28" s="36" t="str">
        <f t="shared" si="0"/>
        <v>Antony Brown (KCC)</v>
      </c>
    </row>
    <row r="29" spans="1:4" ht="14.25">
      <c r="A29" t="s">
        <v>801</v>
      </c>
      <c r="B29" t="s">
        <v>391</v>
      </c>
      <c r="C29" s="36" t="str">
        <f t="shared" si="0"/>
        <v>Damian Ciesielski (KCC)</v>
      </c>
    </row>
    <row r="30" spans="1:4" ht="14.25">
      <c r="A30" s="62" t="s">
        <v>789</v>
      </c>
      <c r="B30" t="s">
        <v>391</v>
      </c>
      <c r="C30" s="36" t="str">
        <f t="shared" si="0"/>
        <v>Evan Collett (George Fox CS) (KCC)</v>
      </c>
    </row>
    <row r="31" spans="1:4" ht="14.25">
      <c r="A31" t="s">
        <v>618</v>
      </c>
      <c r="B31" t="s">
        <v>391</v>
      </c>
      <c r="C31" s="36" t="str">
        <f t="shared" si="0"/>
        <v>Ian Bird (KCC)</v>
      </c>
    </row>
    <row r="32" spans="1:4" ht="14.25">
      <c r="A32" t="s">
        <v>797</v>
      </c>
      <c r="B32" t="s">
        <v>391</v>
      </c>
      <c r="C32" s="36" t="str">
        <f t="shared" si="0"/>
        <v>Jake Bird (Beeston CC) (KCC)</v>
      </c>
    </row>
    <row r="33" spans="1:4" ht="14.25">
      <c r="A33" t="s">
        <v>484</v>
      </c>
      <c r="B33" t="s">
        <v>391</v>
      </c>
      <c r="C33" s="36" t="str">
        <f t="shared" si="0"/>
        <v>Josh Brown (KCC)</v>
      </c>
    </row>
    <row r="34" spans="1:4" ht="14.25">
      <c r="A34" t="s">
        <v>585</v>
      </c>
      <c r="B34" t="s">
        <v>391</v>
      </c>
      <c r="C34" s="36" t="str">
        <f t="shared" si="0"/>
        <v>Maria Cayford (KCC)</v>
      </c>
      <c r="D34" t="s">
        <v>372</v>
      </c>
    </row>
    <row r="35" spans="1:4" ht="14.25">
      <c r="A35" t="s">
        <v>617</v>
      </c>
      <c r="B35" t="s">
        <v>391</v>
      </c>
      <c r="C35" s="36" t="str">
        <f t="shared" si="0"/>
        <v>Michael Wheeler (KCC)</v>
      </c>
    </row>
    <row r="36" spans="1:4" ht="14.25">
      <c r="A36" t="s">
        <v>777</v>
      </c>
      <c r="B36" t="s">
        <v>391</v>
      </c>
      <c r="C36" s="36" t="str">
        <f t="shared" ref="C36:C67" si="1">IF(ISBLANK(B36),IF(ISBLANK(A36),"",A36),_xlfn.CONCAT(A36," (",B36,")"))</f>
        <v>Nick Gallimore (KCC)</v>
      </c>
    </row>
    <row r="37" spans="1:4" ht="14.25">
      <c r="A37" t="s">
        <v>731</v>
      </c>
      <c r="B37" t="s">
        <v>400</v>
      </c>
      <c r="C37" s="36" t="str">
        <f t="shared" si="1"/>
        <v>Dave Tomlinson (LFCC)</v>
      </c>
    </row>
    <row r="38" spans="1:4" ht="14.25">
      <c r="A38" t="s">
        <v>730</v>
      </c>
      <c r="B38" t="s">
        <v>400</v>
      </c>
      <c r="C38" s="36" t="str">
        <f t="shared" si="1"/>
        <v>Eric Fullerton (LFCC)</v>
      </c>
    </row>
    <row r="39" spans="1:4" ht="14.25">
      <c r="A39" t="s">
        <v>787</v>
      </c>
      <c r="B39" t="s">
        <v>400</v>
      </c>
      <c r="C39" s="36" t="str">
        <f t="shared" si="1"/>
        <v>Harriet Hughes (Beeston CC) (LFCC)</v>
      </c>
      <c r="D39" t="s">
        <v>372</v>
      </c>
    </row>
    <row r="40" spans="1:4" ht="14.25">
      <c r="A40" t="s">
        <v>629</v>
      </c>
      <c r="B40" t="s">
        <v>400</v>
      </c>
      <c r="C40" s="36" t="str">
        <f t="shared" si="1"/>
        <v>Jeff Jones (LFCC)</v>
      </c>
    </row>
    <row r="41" spans="1:4" ht="14.25">
      <c r="A41" t="s">
        <v>715</v>
      </c>
      <c r="B41" t="s">
        <v>400</v>
      </c>
      <c r="C41" s="36" t="str">
        <f t="shared" si="1"/>
        <v>Josh Jones (LFCC)</v>
      </c>
    </row>
    <row r="42" spans="1:4" ht="14.25">
      <c r="A42" t="s">
        <v>630</v>
      </c>
      <c r="B42" t="s">
        <v>400</v>
      </c>
      <c r="C42" s="36" t="str">
        <f t="shared" si="1"/>
        <v>Joshua Jones (LFCC)</v>
      </c>
    </row>
    <row r="43" spans="1:4" ht="14.25">
      <c r="A43" t="s">
        <v>485</v>
      </c>
      <c r="B43" t="s">
        <v>400</v>
      </c>
      <c r="C43" s="36" t="str">
        <f t="shared" si="1"/>
        <v>Mat Mabe (LFCC)</v>
      </c>
    </row>
    <row r="44" spans="1:4" ht="14.25">
      <c r="A44" t="s">
        <v>486</v>
      </c>
      <c r="B44" t="s">
        <v>400</v>
      </c>
      <c r="C44" s="36" t="str">
        <f t="shared" si="1"/>
        <v>Matt Finch (LFCC)</v>
      </c>
    </row>
    <row r="45" spans="1:4" ht="14.25">
      <c r="A45" t="s">
        <v>785</v>
      </c>
      <c r="B45" t="s">
        <v>400</v>
      </c>
      <c r="C45" s="36" t="str">
        <f t="shared" si="1"/>
        <v>Matt Law (LFCC)</v>
      </c>
    </row>
    <row r="46" spans="1:4" ht="14.25">
      <c r="A46" t="s">
        <v>487</v>
      </c>
      <c r="B46" t="s">
        <v>400</v>
      </c>
      <c r="C46" s="36" t="str">
        <f t="shared" si="1"/>
        <v>Morris Mabe (LFCC)</v>
      </c>
    </row>
    <row r="47" spans="1:4" ht="14.25">
      <c r="A47" t="s">
        <v>733</v>
      </c>
      <c r="B47" t="s">
        <v>400</v>
      </c>
      <c r="C47" s="36" t="str">
        <f t="shared" si="1"/>
        <v>Pietro Saman (LFCC)</v>
      </c>
    </row>
    <row r="48" spans="1:4" ht="14.25">
      <c r="A48" t="s">
        <v>488</v>
      </c>
      <c r="B48" t="s">
        <v>400</v>
      </c>
      <c r="C48" s="36" t="str">
        <f t="shared" si="1"/>
        <v>Sam Nettel (LFCC)</v>
      </c>
    </row>
    <row r="49" spans="1:4" ht="14.25">
      <c r="A49" t="s">
        <v>631</v>
      </c>
      <c r="B49" t="s">
        <v>400</v>
      </c>
      <c r="C49" s="36" t="str">
        <f t="shared" si="1"/>
        <v>Simon Jones (LFCC)</v>
      </c>
    </row>
    <row r="50" spans="1:4" ht="14.25">
      <c r="A50" t="s">
        <v>685</v>
      </c>
      <c r="B50" t="s">
        <v>400</v>
      </c>
      <c r="C50" s="36" t="str">
        <f t="shared" si="1"/>
        <v>Steve Walsh (LFCC)</v>
      </c>
    </row>
    <row r="51" spans="1:4" ht="14.25">
      <c r="A51" t="s">
        <v>489</v>
      </c>
      <c r="B51" t="s">
        <v>400</v>
      </c>
      <c r="C51" s="36" t="str">
        <f t="shared" si="1"/>
        <v>Talles Medevives (LFCC)</v>
      </c>
    </row>
    <row r="52" spans="1:4" ht="14.25">
      <c r="A52" t="s">
        <v>490</v>
      </c>
      <c r="B52" t="s">
        <v>491</v>
      </c>
      <c r="C52" s="36" t="str">
        <f t="shared" si="1"/>
        <v>Dean Tacey (LRC)</v>
      </c>
    </row>
    <row r="53" spans="1:4" ht="14.25">
      <c r="A53" t="s">
        <v>783</v>
      </c>
      <c r="B53" t="s">
        <v>491</v>
      </c>
      <c r="C53" s="36" t="str">
        <f t="shared" si="1"/>
        <v>Matthew McNamee (LRC)</v>
      </c>
    </row>
    <row r="54" spans="1:4" ht="14.25">
      <c r="A54" t="s">
        <v>716</v>
      </c>
      <c r="B54" t="s">
        <v>696</v>
      </c>
      <c r="C54" s="36" t="str">
        <f t="shared" si="1"/>
        <v>David Mead (M.I. Racing)</v>
      </c>
    </row>
    <row r="55" spans="1:4" ht="14.25">
      <c r="A55" t="s">
        <v>712</v>
      </c>
      <c r="B55" t="s">
        <v>696</v>
      </c>
      <c r="C55" s="36" t="str">
        <f t="shared" si="1"/>
        <v>Mark Wise (M.I. Racing)</v>
      </c>
    </row>
    <row r="56" spans="1:4" ht="14.25">
      <c r="A56" t="s">
        <v>725</v>
      </c>
      <c r="B56" t="s">
        <v>696</v>
      </c>
      <c r="C56" s="36" t="str">
        <f t="shared" si="1"/>
        <v>Simon Law (M.I. Racing)</v>
      </c>
    </row>
    <row r="57" spans="1:4" ht="14.25">
      <c r="A57" t="s">
        <v>693</v>
      </c>
      <c r="B57" t="s">
        <v>696</v>
      </c>
      <c r="C57" s="36" t="str">
        <f t="shared" si="1"/>
        <v>Zoe Shepherd (M.I. Racing)</v>
      </c>
    </row>
    <row r="58" spans="1:4" ht="14.25">
      <c r="A58" t="s">
        <v>492</v>
      </c>
      <c r="B58" t="s">
        <v>493</v>
      </c>
      <c r="C58" s="36" t="str">
        <f t="shared" si="1"/>
        <v>Chris Booth (MOCC)</v>
      </c>
    </row>
    <row r="59" spans="1:4" ht="14.25">
      <c r="A59" t="s">
        <v>494</v>
      </c>
      <c r="B59" t="s">
        <v>493</v>
      </c>
      <c r="C59" s="36" t="str">
        <f t="shared" si="1"/>
        <v>David Cooper (MOCC)</v>
      </c>
    </row>
    <row r="60" spans="1:4" ht="14.25">
      <c r="A60" t="s">
        <v>495</v>
      </c>
      <c r="B60" t="s">
        <v>493</v>
      </c>
      <c r="C60" s="36" t="str">
        <f t="shared" si="1"/>
        <v>Jamie Haines (MOCC)</v>
      </c>
    </row>
    <row r="61" spans="1:4" ht="14.25">
      <c r="A61" t="s">
        <v>735</v>
      </c>
      <c r="B61" t="s">
        <v>493</v>
      </c>
      <c r="C61" s="36" t="str">
        <f t="shared" si="1"/>
        <v>Juraj Rys (MOCC)</v>
      </c>
    </row>
    <row r="62" spans="1:4" ht="14.25">
      <c r="A62" t="s">
        <v>690</v>
      </c>
      <c r="B62" t="s">
        <v>493</v>
      </c>
      <c r="C62" s="36" t="str">
        <f t="shared" si="1"/>
        <v>Laura Ayres (MOCC)</v>
      </c>
      <c r="D62" t="s">
        <v>372</v>
      </c>
    </row>
    <row r="63" spans="1:4" ht="14.25">
      <c r="A63" t="s">
        <v>784</v>
      </c>
      <c r="B63" t="s">
        <v>493</v>
      </c>
      <c r="C63" s="36" t="str">
        <f t="shared" si="1"/>
        <v>Max Wren (MOCC)</v>
      </c>
    </row>
    <row r="64" spans="1:4" ht="14.25">
      <c r="A64" t="s">
        <v>771</v>
      </c>
      <c r="B64" t="s">
        <v>772</v>
      </c>
      <c r="C64" s="36" t="str">
        <f t="shared" si="1"/>
        <v>Joseph Hyde (Numplumz)</v>
      </c>
    </row>
    <row r="65" spans="1:4" ht="14.25">
      <c r="A65" t="s">
        <v>497</v>
      </c>
      <c r="B65" t="s">
        <v>498</v>
      </c>
      <c r="C65" s="36" t="str">
        <f t="shared" si="1"/>
        <v>Lewis Cooper (RAF Tri)</v>
      </c>
    </row>
    <row r="66" spans="1:4" ht="14.25">
      <c r="A66" t="s">
        <v>499</v>
      </c>
      <c r="B66" t="s">
        <v>394</v>
      </c>
      <c r="C66" s="36" t="str">
        <f t="shared" si="1"/>
        <v>Alex Whitmore (Ratae)</v>
      </c>
    </row>
    <row r="67" spans="1:4" ht="14.25">
      <c r="A67" t="s">
        <v>500</v>
      </c>
      <c r="B67" t="s">
        <v>394</v>
      </c>
      <c r="C67" s="36" t="str">
        <f t="shared" si="1"/>
        <v>Brian Lincoln (Ratae)</v>
      </c>
    </row>
    <row r="68" spans="1:4" ht="14.25">
      <c r="A68" t="s">
        <v>653</v>
      </c>
      <c r="B68" t="s">
        <v>394</v>
      </c>
      <c r="C68" s="36" t="str">
        <f t="shared" ref="C68:C99" si="2">IF(ISBLANK(B68),IF(ISBLANK(A68),"",A68),_xlfn.CONCAT(A68," (",B68,")"))</f>
        <v>Brigitte Gaillard (Ratae)</v>
      </c>
      <c r="D68" t="s">
        <v>372</v>
      </c>
    </row>
    <row r="69" spans="1:4" ht="14.25">
      <c r="A69" t="s">
        <v>501</v>
      </c>
      <c r="B69" t="s">
        <v>394</v>
      </c>
      <c r="C69" s="36" t="str">
        <f t="shared" si="2"/>
        <v>Chris Bonsor (Ratae)</v>
      </c>
    </row>
    <row r="70" spans="1:4" ht="14.25">
      <c r="A70" t="s">
        <v>502</v>
      </c>
      <c r="B70" t="s">
        <v>394</v>
      </c>
      <c r="C70" s="36" t="str">
        <f t="shared" si="2"/>
        <v>Chris Spray (Ratae)</v>
      </c>
    </row>
    <row r="71" spans="1:4" ht="14.25">
      <c r="A71" t="s">
        <v>503</v>
      </c>
      <c r="B71" t="s">
        <v>394</v>
      </c>
      <c r="C71" s="36" t="str">
        <f t="shared" si="2"/>
        <v>Debbie Cooper (Ratae)</v>
      </c>
      <c r="D71" t="s">
        <v>372</v>
      </c>
    </row>
    <row r="72" spans="1:4" ht="14.25">
      <c r="A72" t="s">
        <v>504</v>
      </c>
      <c r="B72" t="s">
        <v>394</v>
      </c>
      <c r="C72" s="36" t="str">
        <f t="shared" si="2"/>
        <v>Ed Watson (Ratae)</v>
      </c>
    </row>
    <row r="73" spans="1:4" ht="14.25">
      <c r="A73" t="s">
        <v>780</v>
      </c>
      <c r="B73" s="62" t="s">
        <v>394</v>
      </c>
      <c r="C73" s="36" t="str">
        <f t="shared" si="2"/>
        <v>Geoff Stanbridge (Fenland Clarion) (Ratae)</v>
      </c>
    </row>
    <row r="74" spans="1:4" ht="14.25">
      <c r="A74" t="s">
        <v>736</v>
      </c>
      <c r="B74" t="s">
        <v>394</v>
      </c>
      <c r="C74" s="36" t="str">
        <f t="shared" si="2"/>
        <v>Jim Smith (Ratae)</v>
      </c>
    </row>
    <row r="75" spans="1:4" ht="14.25">
      <c r="A75" t="s">
        <v>505</v>
      </c>
      <c r="B75" t="s">
        <v>394</v>
      </c>
      <c r="C75" s="36" t="str">
        <f t="shared" si="2"/>
        <v>Jonathon Clarke (Ratae)</v>
      </c>
      <c r="D75" s="36"/>
    </row>
    <row r="76" spans="1:4" ht="14.25">
      <c r="A76" t="s">
        <v>640</v>
      </c>
      <c r="B76" t="s">
        <v>394</v>
      </c>
      <c r="C76" s="36" t="str">
        <f t="shared" si="2"/>
        <v>Karl Williams (Ratae)</v>
      </c>
    </row>
    <row r="77" spans="1:4" ht="14.25">
      <c r="A77" t="s">
        <v>506</v>
      </c>
      <c r="B77" t="s">
        <v>394</v>
      </c>
      <c r="C77" s="36" t="str">
        <f t="shared" si="2"/>
        <v>Lesley Allden (Ratae)</v>
      </c>
      <c r="D77" t="s">
        <v>372</v>
      </c>
    </row>
    <row r="78" spans="1:4" ht="14.25">
      <c r="A78" t="s">
        <v>507</v>
      </c>
      <c r="B78" t="s">
        <v>394</v>
      </c>
      <c r="C78" s="36" t="str">
        <f t="shared" si="2"/>
        <v>Lucy Sturgess (Ratae)</v>
      </c>
      <c r="D78" t="s">
        <v>372</v>
      </c>
    </row>
    <row r="79" spans="1:4" ht="14.25">
      <c r="A79" t="s">
        <v>508</v>
      </c>
      <c r="B79" t="s">
        <v>394</v>
      </c>
      <c r="C79" s="36" t="str">
        <f t="shared" si="2"/>
        <v>Mark Marmoy (Ratae)</v>
      </c>
    </row>
    <row r="80" spans="1:4" ht="14.25">
      <c r="A80" t="s">
        <v>509</v>
      </c>
      <c r="B80" t="s">
        <v>394</v>
      </c>
      <c r="C80" s="36" t="str">
        <f t="shared" si="2"/>
        <v>Mark Newton (Ratae)</v>
      </c>
    </row>
    <row r="81" spans="1:4" ht="14.25">
      <c r="A81" t="s">
        <v>510</v>
      </c>
      <c r="B81" t="s">
        <v>394</v>
      </c>
      <c r="C81" s="36" t="str">
        <f t="shared" si="2"/>
        <v>Marshall Briggs (Ratae)</v>
      </c>
    </row>
    <row r="82" spans="1:4" ht="14.25">
      <c r="A82" t="s">
        <v>511</v>
      </c>
      <c r="B82" t="s">
        <v>394</v>
      </c>
      <c r="C82" s="36" t="str">
        <f t="shared" si="2"/>
        <v>Natalie Harris (Ratae)</v>
      </c>
      <c r="D82" t="s">
        <v>372</v>
      </c>
    </row>
    <row r="83" spans="1:4" ht="14.25">
      <c r="A83" t="s">
        <v>769</v>
      </c>
      <c r="B83" t="s">
        <v>394</v>
      </c>
      <c r="C83" s="36" t="str">
        <f t="shared" si="2"/>
        <v>Nikki Allen (Ratae)</v>
      </c>
      <c r="D83" t="s">
        <v>372</v>
      </c>
    </row>
    <row r="84" spans="1:4" ht="14.25">
      <c r="A84" t="s">
        <v>512</v>
      </c>
      <c r="B84" t="s">
        <v>394</v>
      </c>
      <c r="C84" s="36" t="str">
        <f t="shared" si="2"/>
        <v>Paul Eden (Ratae)</v>
      </c>
    </row>
    <row r="85" spans="1:4" ht="14.25">
      <c r="A85" t="s">
        <v>654</v>
      </c>
      <c r="B85" t="s">
        <v>394</v>
      </c>
      <c r="C85" s="36" t="str">
        <f t="shared" si="2"/>
        <v>Peter Kott (Ratae)</v>
      </c>
    </row>
    <row r="86" spans="1:4" ht="14.25">
      <c r="A86" t="s">
        <v>513</v>
      </c>
      <c r="B86" t="s">
        <v>394</v>
      </c>
      <c r="C86" s="36" t="str">
        <f t="shared" si="2"/>
        <v>Sadie Murphy (Ratae)</v>
      </c>
      <c r="D86" t="s">
        <v>372</v>
      </c>
    </row>
    <row r="87" spans="1:4" ht="14.25">
      <c r="A87" s="62" t="s">
        <v>770</v>
      </c>
      <c r="B87" t="s">
        <v>394</v>
      </c>
      <c r="C87" s="36" t="str">
        <f t="shared" si="2"/>
        <v>Sally Richards (Ratae)</v>
      </c>
      <c r="D87" t="s">
        <v>372</v>
      </c>
    </row>
    <row r="88" spans="1:4" ht="14.25">
      <c r="A88" t="s">
        <v>514</v>
      </c>
      <c r="B88" t="s">
        <v>394</v>
      </c>
      <c r="C88" s="36" t="str">
        <f t="shared" si="2"/>
        <v>Steve Pearce (Ratae)</v>
      </c>
    </row>
    <row r="89" spans="1:4" ht="14.25">
      <c r="A89" t="s">
        <v>632</v>
      </c>
      <c r="B89" t="s">
        <v>394</v>
      </c>
      <c r="C89" s="36" t="str">
        <f t="shared" si="2"/>
        <v>Sue Bonsor (Ratae)</v>
      </c>
      <c r="D89" t="s">
        <v>372</v>
      </c>
    </row>
    <row r="90" spans="1:4" ht="14.25">
      <c r="A90" t="s">
        <v>515</v>
      </c>
      <c r="B90" t="s">
        <v>385</v>
      </c>
      <c r="C90" s="36" t="str">
        <f t="shared" si="2"/>
        <v>Adam Wells (RFW)</v>
      </c>
    </row>
    <row r="91" spans="1:4" ht="14.25">
      <c r="A91" t="s">
        <v>589</v>
      </c>
      <c r="B91" t="s">
        <v>385</v>
      </c>
      <c r="C91" s="36" t="str">
        <f t="shared" si="2"/>
        <v>Alex Barrowman (RFW)</v>
      </c>
    </row>
    <row r="92" spans="1:4" ht="14.25">
      <c r="A92" t="s">
        <v>516</v>
      </c>
      <c r="B92" t="s">
        <v>385</v>
      </c>
      <c r="C92" s="36" t="str">
        <f t="shared" si="2"/>
        <v>Anne Gilhespy (RFW)</v>
      </c>
      <c r="D92" t="s">
        <v>372</v>
      </c>
    </row>
    <row r="93" spans="1:4" ht="14.25">
      <c r="A93" t="s">
        <v>517</v>
      </c>
      <c r="B93" t="s">
        <v>385</v>
      </c>
      <c r="C93" s="36" t="str">
        <f t="shared" si="2"/>
        <v>Chris Fowler (RFW)</v>
      </c>
    </row>
    <row r="94" spans="1:4" ht="14.25">
      <c r="A94" t="s">
        <v>518</v>
      </c>
      <c r="B94" t="s">
        <v>385</v>
      </c>
      <c r="C94" s="36" t="str">
        <f t="shared" si="2"/>
        <v>Dan Hempkin (RFW)</v>
      </c>
    </row>
    <row r="95" spans="1:4" ht="14.25">
      <c r="A95" t="s">
        <v>519</v>
      </c>
      <c r="B95" t="s">
        <v>385</v>
      </c>
      <c r="C95" s="36" t="str">
        <f t="shared" si="2"/>
        <v>David Hill (RFW)</v>
      </c>
    </row>
    <row r="96" spans="1:4" ht="14.25">
      <c r="A96" t="s">
        <v>625</v>
      </c>
      <c r="B96" t="s">
        <v>385</v>
      </c>
      <c r="C96" s="36" t="str">
        <f t="shared" si="2"/>
        <v>Ethan Mitchell-Clarke (Team Bottrill Nopinz) (RFW)</v>
      </c>
    </row>
    <row r="97" spans="1:4" ht="14.25">
      <c r="A97" t="s">
        <v>793</v>
      </c>
      <c r="B97" t="s">
        <v>385</v>
      </c>
      <c r="C97" s="36" t="str">
        <f t="shared" si="2"/>
        <v>Giles Brook (RFW)</v>
      </c>
    </row>
    <row r="98" spans="1:4" ht="14.25">
      <c r="A98" t="s">
        <v>520</v>
      </c>
      <c r="B98" t="s">
        <v>385</v>
      </c>
      <c r="C98" s="36" t="str">
        <f t="shared" si="2"/>
        <v>Giles Cooper (RFW)</v>
      </c>
    </row>
    <row r="99" spans="1:4" ht="14.25">
      <c r="A99" t="s">
        <v>584</v>
      </c>
      <c r="B99" t="s">
        <v>385</v>
      </c>
      <c r="C99" s="36" t="str">
        <f t="shared" si="2"/>
        <v>Graeme Hall (RFW)</v>
      </c>
    </row>
    <row r="100" spans="1:4" ht="14.25">
      <c r="A100" t="s">
        <v>521</v>
      </c>
      <c r="B100" t="s">
        <v>385</v>
      </c>
      <c r="C100" s="36" t="str">
        <f t="shared" ref="C100:C131" si="3">IF(ISBLANK(B100),IF(ISBLANK(A100),"",A100),_xlfn.CONCAT(A100," (",B100,")"))</f>
        <v>Gregg Payne (RFW)</v>
      </c>
    </row>
    <row r="101" spans="1:4" ht="14.25">
      <c r="A101" t="s">
        <v>588</v>
      </c>
      <c r="B101" t="s">
        <v>385</v>
      </c>
      <c r="C101" s="36" t="str">
        <f t="shared" si="3"/>
        <v>Hudson Hendry (Ride Revolution) (RFW)</v>
      </c>
    </row>
    <row r="102" spans="1:4" ht="14.25">
      <c r="A102" t="s">
        <v>590</v>
      </c>
      <c r="B102" t="s">
        <v>385</v>
      </c>
      <c r="C102" s="36" t="str">
        <f t="shared" si="3"/>
        <v>Laurence Noble (RFW)</v>
      </c>
    </row>
    <row r="103" spans="1:4" ht="14.25">
      <c r="A103" t="s">
        <v>522</v>
      </c>
      <c r="B103" t="s">
        <v>385</v>
      </c>
      <c r="C103" s="36" t="str">
        <f t="shared" si="3"/>
        <v>Lynne Scofield (RFW)</v>
      </c>
      <c r="D103" t="s">
        <v>372</v>
      </c>
    </row>
    <row r="104" spans="1:4" ht="14.25">
      <c r="A104" t="s">
        <v>523</v>
      </c>
      <c r="B104" t="s">
        <v>385</v>
      </c>
      <c r="C104" s="36" t="str">
        <f t="shared" si="3"/>
        <v>Lynne Wilkinson-Scofield (RFW)</v>
      </c>
      <c r="D104" t="s">
        <v>372</v>
      </c>
    </row>
    <row r="105" spans="1:4" ht="14.25">
      <c r="A105" t="s">
        <v>524</v>
      </c>
      <c r="B105" t="s">
        <v>385</v>
      </c>
      <c r="C105" s="36" t="str">
        <f t="shared" si="3"/>
        <v>Michael Carter (RFW)</v>
      </c>
    </row>
    <row r="106" spans="1:4" ht="14.25">
      <c r="A106" t="s">
        <v>795</v>
      </c>
      <c r="B106" t="s">
        <v>385</v>
      </c>
      <c r="C106" s="36" t="str">
        <f t="shared" si="3"/>
        <v>Michael Weaver (RFW)</v>
      </c>
    </row>
    <row r="107" spans="1:4" ht="14.25">
      <c r="A107" s="62" t="s">
        <v>790</v>
      </c>
      <c r="B107" t="s">
        <v>385</v>
      </c>
      <c r="C107" s="36" t="str">
        <f t="shared" si="3"/>
        <v>Mike Deely (George Fox CS) (RFW)</v>
      </c>
    </row>
    <row r="108" spans="1:4" ht="14.25">
      <c r="A108" t="s">
        <v>803</v>
      </c>
      <c r="B108" t="s">
        <v>385</v>
      </c>
      <c r="C108" s="36" t="str">
        <f t="shared" si="3"/>
        <v>Nigel Tomlinson (RFW)</v>
      </c>
    </row>
    <row r="109" spans="1:4" ht="14.25">
      <c r="A109" t="s">
        <v>512</v>
      </c>
      <c r="B109" t="s">
        <v>385</v>
      </c>
      <c r="C109" s="36" t="str">
        <f t="shared" si="3"/>
        <v>Paul Eden (RFW)</v>
      </c>
    </row>
    <row r="110" spans="1:4" ht="14.25">
      <c r="A110" t="s">
        <v>525</v>
      </c>
      <c r="B110" t="s">
        <v>385</v>
      </c>
      <c r="C110" s="36" t="str">
        <f t="shared" si="3"/>
        <v>Paul Russell (RFW)</v>
      </c>
    </row>
    <row r="111" spans="1:4" ht="14.25">
      <c r="A111" t="s">
        <v>526</v>
      </c>
      <c r="B111" t="s">
        <v>385</v>
      </c>
      <c r="C111" s="36" t="str">
        <f t="shared" si="3"/>
        <v>Paul Ryan (RFW)</v>
      </c>
    </row>
    <row r="112" spans="1:4" ht="14.25">
      <c r="A112" t="s">
        <v>626</v>
      </c>
      <c r="B112" t="s">
        <v>385</v>
      </c>
      <c r="C112" s="36" t="str">
        <f t="shared" si="3"/>
        <v>Pete Bradshaw (RFW)</v>
      </c>
    </row>
    <row r="113" spans="1:3" ht="14.25">
      <c r="A113" t="s">
        <v>527</v>
      </c>
      <c r="B113" t="s">
        <v>385</v>
      </c>
      <c r="C113" s="36" t="str">
        <f t="shared" si="3"/>
        <v>Phil Wilkinson (RFW)</v>
      </c>
    </row>
    <row r="114" spans="1:3" ht="14.25">
      <c r="A114" t="s">
        <v>794</v>
      </c>
      <c r="B114" t="s">
        <v>385</v>
      </c>
      <c r="C114" s="36" t="str">
        <f t="shared" si="3"/>
        <v>Simon Addy (RFW)</v>
      </c>
    </row>
    <row r="115" spans="1:3" ht="14.25">
      <c r="A115" t="s">
        <v>586</v>
      </c>
      <c r="B115" t="s">
        <v>385</v>
      </c>
      <c r="C115" s="36" t="str">
        <f t="shared" si="3"/>
        <v>Steve Coombs (RFW)</v>
      </c>
    </row>
    <row r="116" spans="1:3" ht="14.25">
      <c r="A116" t="s">
        <v>587</v>
      </c>
      <c r="B116" t="s">
        <v>385</v>
      </c>
      <c r="C116" s="36" t="str">
        <f t="shared" si="3"/>
        <v>Steve Wickham (RFW)</v>
      </c>
    </row>
    <row r="117" spans="1:3" ht="14.25">
      <c r="A117" t="s">
        <v>529</v>
      </c>
      <c r="B117" t="s">
        <v>530</v>
      </c>
      <c r="C117" s="36" t="str">
        <f t="shared" si="3"/>
        <v>Adrian James (Rugby RCC)</v>
      </c>
    </row>
    <row r="118" spans="1:3" ht="14.25">
      <c r="A118" t="s">
        <v>742</v>
      </c>
      <c r="B118" t="s">
        <v>530</v>
      </c>
      <c r="C118" s="36" t="str">
        <f t="shared" si="3"/>
        <v>Angus Gordon (Rugby RCC)</v>
      </c>
    </row>
    <row r="119" spans="1:3" ht="14.25">
      <c r="A119" t="s">
        <v>739</v>
      </c>
      <c r="B119" t="s">
        <v>740</v>
      </c>
      <c r="C119" s="36" t="str">
        <f t="shared" si="3"/>
        <v>Tom Swain (Rugby Tri)</v>
      </c>
    </row>
    <row r="120" spans="1:3" ht="14.25">
      <c r="A120" t="s">
        <v>531</v>
      </c>
      <c r="B120" t="s">
        <v>532</v>
      </c>
      <c r="C120" s="36" t="str">
        <f t="shared" si="3"/>
        <v>Carl Shaw (Speedhub)</v>
      </c>
    </row>
    <row r="121" spans="1:3" ht="14.25">
      <c r="A121" t="s">
        <v>686</v>
      </c>
      <c r="B121" t="s">
        <v>532</v>
      </c>
      <c r="C121" s="36" t="str">
        <f t="shared" si="3"/>
        <v>Tom Swan (Speedhub)</v>
      </c>
    </row>
    <row r="122" spans="1:3" ht="14.25">
      <c r="A122" t="s">
        <v>752</v>
      </c>
      <c r="B122" t="s">
        <v>753</v>
      </c>
      <c r="C122" s="36" t="str">
        <f t="shared" si="3"/>
        <v>Andy Logie (SSVC)</v>
      </c>
    </row>
    <row r="123" spans="1:3" ht="14.25">
      <c r="A123" t="s">
        <v>756</v>
      </c>
      <c r="B123" t="s">
        <v>753</v>
      </c>
      <c r="C123" s="36" t="str">
        <f t="shared" si="3"/>
        <v>Simon Thomas (SSVC)</v>
      </c>
    </row>
    <row r="124" spans="1:3" ht="14.25">
      <c r="A124" t="s">
        <v>533</v>
      </c>
      <c r="B124" t="s">
        <v>534</v>
      </c>
      <c r="C124" s="36" t="str">
        <f t="shared" si="3"/>
        <v>Oliver Searle (St Ives CC)</v>
      </c>
    </row>
    <row r="125" spans="1:3" ht="14.25">
      <c r="A125" t="s">
        <v>687</v>
      </c>
      <c r="B125" t="s">
        <v>688</v>
      </c>
      <c r="C125" s="36" t="str">
        <f t="shared" si="3"/>
        <v>Tom Scott-Collins (Velo Elite)</v>
      </c>
    </row>
    <row r="126" spans="1:3" ht="14.25">
      <c r="A126" t="s">
        <v>691</v>
      </c>
      <c r="B126" t="s">
        <v>692</v>
      </c>
      <c r="C126" s="36" t="str">
        <f t="shared" si="3"/>
        <v>Paul Akroyd (VTTA E.Mids)</v>
      </c>
    </row>
    <row r="127" spans="1:3" ht="14.25">
      <c r="A127" t="s">
        <v>773</v>
      </c>
      <c r="B127" t="s">
        <v>774</v>
      </c>
      <c r="C127" s="36" t="str">
        <f t="shared" si="3"/>
        <v>Peter Cowler (Wellingborough AC)</v>
      </c>
    </row>
    <row r="128" spans="1:3" ht="14.25">
      <c r="A128" t="s">
        <v>747</v>
      </c>
      <c r="B128" t="s">
        <v>748</v>
      </c>
      <c r="C128" s="36" t="str">
        <f t="shared" si="3"/>
        <v>Julian Church (Worcester St. Johns CC)</v>
      </c>
    </row>
    <row r="129" spans="1:4" ht="14.25">
      <c r="A129" t="s">
        <v>749</v>
      </c>
      <c r="B129" t="s">
        <v>748</v>
      </c>
      <c r="C129" s="36" t="str">
        <f t="shared" si="3"/>
        <v>Oliver Church (Worcester St. Johns CC)</v>
      </c>
    </row>
    <row r="130" spans="1:4" ht="14.25">
      <c r="A130" t="s">
        <v>623</v>
      </c>
      <c r="B130" t="s">
        <v>388</v>
      </c>
      <c r="C130" s="36" t="str">
        <f t="shared" si="3"/>
        <v>Ed Tarelli (Race Hub) (WVCC)</v>
      </c>
      <c r="D130" s="36"/>
    </row>
    <row r="131" spans="1:4" ht="14.25">
      <c r="A131" t="s">
        <v>622</v>
      </c>
      <c r="B131" t="s">
        <v>388</v>
      </c>
      <c r="C131" s="36" t="str">
        <f t="shared" si="3"/>
        <v>Jamie Kershaw (Beeston CC) (WVCC)</v>
      </c>
    </row>
    <row r="132" spans="1:4" ht="14.25">
      <c r="A132" t="s">
        <v>624</v>
      </c>
      <c r="B132" t="s">
        <v>388</v>
      </c>
      <c r="C132" s="36" t="str">
        <f t="shared" ref="C132:C160" si="4">IF(ISBLANK(B132),IF(ISBLANK(A132),"",A132),_xlfn.CONCAT(A132," (",B132,")"))</f>
        <v>Jennifer Clegg (Team Bottrill Nopinz) (WVCC)</v>
      </c>
      <c r="D132" t="s">
        <v>372</v>
      </c>
    </row>
    <row r="133" spans="1:4" ht="14.25">
      <c r="A133" t="s">
        <v>791</v>
      </c>
      <c r="B133" t="s">
        <v>388</v>
      </c>
      <c r="C133" s="36" t="str">
        <f t="shared" si="4"/>
        <v>Leah Cuthbertson (George Fox CS) (WVCC)</v>
      </c>
      <c r="D133" t="s">
        <v>372</v>
      </c>
    </row>
    <row r="134" spans="1:4" ht="14.25">
      <c r="A134" t="s">
        <v>621</v>
      </c>
      <c r="B134" t="s">
        <v>388</v>
      </c>
      <c r="C134" s="36" t="str">
        <f t="shared" si="4"/>
        <v>Ruby Isaac (CAMS Majaco) (WVCC)</v>
      </c>
      <c r="D134" t="s">
        <v>372</v>
      </c>
    </row>
    <row r="135" spans="1:4" ht="14.25">
      <c r="A135" t="s">
        <v>804</v>
      </c>
      <c r="B135" t="s">
        <v>391</v>
      </c>
      <c r="C135" s="36" t="str">
        <f t="shared" si="4"/>
        <v>James Belton (KCC)</v>
      </c>
    </row>
    <row r="136" spans="1:4" ht="14.25">
      <c r="A136" t="s">
        <v>805</v>
      </c>
      <c r="B136" t="s">
        <v>385</v>
      </c>
      <c r="C136" s="36" t="str">
        <f t="shared" si="4"/>
        <v>Ruth Dempsey (RFW)</v>
      </c>
      <c r="D136" t="s">
        <v>372</v>
      </c>
    </row>
    <row r="137" spans="1:4" ht="14.25">
      <c r="A137" t="s">
        <v>806</v>
      </c>
      <c r="B137" t="s">
        <v>391</v>
      </c>
      <c r="C137" s="36" t="str">
        <f t="shared" si="4"/>
        <v>Michael Cowland (KCC)</v>
      </c>
    </row>
    <row r="138" spans="1:4" ht="14.25">
      <c r="A138" t="s">
        <v>807</v>
      </c>
      <c r="B138" t="s">
        <v>385</v>
      </c>
      <c r="C138" s="36" t="str">
        <f t="shared" si="4"/>
        <v>Peter McDonald (RFW)</v>
      </c>
    </row>
    <row r="139" spans="1:4" ht="14.25">
      <c r="A139" t="s">
        <v>809</v>
      </c>
      <c r="B139" t="s">
        <v>391</v>
      </c>
      <c r="C139" s="36" t="str">
        <f t="shared" si="4"/>
        <v>Dave Cunningham (KCC)</v>
      </c>
    </row>
    <row r="140" spans="1:4" ht="14.25">
      <c r="A140" t="s">
        <v>812</v>
      </c>
      <c r="B140" t="s">
        <v>391</v>
      </c>
      <c r="C140" s="36" t="str">
        <f t="shared" si="4"/>
        <v>Ondrej Humplik (KCC)</v>
      </c>
    </row>
    <row r="141" spans="1:4" ht="14.25">
      <c r="A141" t="s">
        <v>813</v>
      </c>
      <c r="B141" t="s">
        <v>391</v>
      </c>
      <c r="C141" s="36" t="str">
        <f t="shared" si="4"/>
        <v>Andrea Woolcott (KCC)</v>
      </c>
      <c r="D141" t="s">
        <v>372</v>
      </c>
    </row>
    <row r="142" spans="1:4" ht="14.25">
      <c r="A142" t="s">
        <v>816</v>
      </c>
      <c r="B142" t="s">
        <v>391</v>
      </c>
      <c r="C142" s="36" t="str">
        <f t="shared" si="4"/>
        <v>Lukas Humplik (Beeston CC) (KCC)</v>
      </c>
    </row>
    <row r="143" spans="1:4" ht="14.25">
      <c r="A143" t="s">
        <v>817</v>
      </c>
      <c r="B143" t="s">
        <v>385</v>
      </c>
      <c r="C143" s="36" t="str">
        <f t="shared" si="4"/>
        <v>Shay Dempsey (RFW)</v>
      </c>
    </row>
    <row r="144" spans="1:4" ht="14.25">
      <c r="A144" t="s">
        <v>818</v>
      </c>
      <c r="B144" t="s">
        <v>391</v>
      </c>
      <c r="C144" s="36" t="str">
        <f t="shared" si="4"/>
        <v>Tajvinder Badh (KCC)</v>
      </c>
    </row>
    <row r="145" spans="1:4" ht="14.25">
      <c r="A145" t="s">
        <v>820</v>
      </c>
      <c r="B145" t="s">
        <v>391</v>
      </c>
      <c r="C145" s="36" t="str">
        <f t="shared" si="4"/>
        <v>Darren Gillings (KCC)</v>
      </c>
    </row>
    <row r="146" spans="1:4" ht="14.25">
      <c r="A146" t="s">
        <v>821</v>
      </c>
      <c r="B146" t="s">
        <v>391</v>
      </c>
      <c r="C146" s="36" t="str">
        <f t="shared" si="4"/>
        <v>Andrew Brown (KCC)</v>
      </c>
    </row>
    <row r="147" spans="1:4" ht="14.25">
      <c r="A147" t="s">
        <v>822</v>
      </c>
      <c r="B147" t="s">
        <v>388</v>
      </c>
      <c r="C147" s="36" t="str">
        <f t="shared" si="4"/>
        <v>Lydia Baxter (FTP) (WVCC)</v>
      </c>
      <c r="D147" t="s">
        <v>372</v>
      </c>
    </row>
    <row r="148" spans="1:4" ht="14.25">
      <c r="A148" t="s">
        <v>810</v>
      </c>
      <c r="B148" t="s">
        <v>391</v>
      </c>
      <c r="C148" s="36" t="str">
        <f t="shared" si="4"/>
        <v>Josh Cayford (KCC)</v>
      </c>
    </row>
    <row r="149" spans="1:4" ht="14.25">
      <c r="A149" t="s">
        <v>827</v>
      </c>
      <c r="B149" t="s">
        <v>391</v>
      </c>
      <c r="C149" s="36" t="str">
        <f t="shared" si="4"/>
        <v>Ryan O'Dwyer (KCC)</v>
      </c>
    </row>
    <row r="150" spans="1:4" ht="14.25">
      <c r="A150" t="s">
        <v>802</v>
      </c>
      <c r="B150" t="s">
        <v>391</v>
      </c>
      <c r="C150" s="36" t="str">
        <f t="shared" si="4"/>
        <v>Victoria Shipley (KCC)</v>
      </c>
      <c r="D150" t="s">
        <v>372</v>
      </c>
    </row>
    <row r="151" spans="1:4" ht="14.25">
      <c r="A151" t="s">
        <v>823</v>
      </c>
      <c r="B151" t="s">
        <v>385</v>
      </c>
      <c r="C151" s="36" t="str">
        <f t="shared" si="4"/>
        <v>Sean Adamson (RFW)</v>
      </c>
    </row>
    <row r="152" spans="1:4" ht="14.25">
      <c r="A152" t="s">
        <v>824</v>
      </c>
      <c r="B152" t="s">
        <v>385</v>
      </c>
      <c r="C152" s="36" t="str">
        <f t="shared" si="4"/>
        <v>Karen Foster (RFW)</v>
      </c>
      <c r="D152" t="s">
        <v>372</v>
      </c>
    </row>
    <row r="153" spans="1:4" ht="14.25">
      <c r="A153" t="s">
        <v>825</v>
      </c>
      <c r="B153" t="s">
        <v>385</v>
      </c>
      <c r="C153" s="36" t="str">
        <f t="shared" si="4"/>
        <v>Jessica Thomas (RFW)</v>
      </c>
      <c r="D153" t="s">
        <v>372</v>
      </c>
    </row>
    <row r="154" spans="1:4" ht="14.25">
      <c r="A154" t="s">
        <v>826</v>
      </c>
      <c r="B154" t="s">
        <v>385</v>
      </c>
      <c r="C154" s="36" t="str">
        <f t="shared" si="4"/>
        <v>Graham Waterfield (RFW)</v>
      </c>
    </row>
    <row r="155" spans="1:4" ht="14.25">
      <c r="C155" s="36" t="str">
        <f t="shared" si="4"/>
        <v/>
      </c>
    </row>
    <row r="156" spans="1:4" ht="14.25">
      <c r="C156" s="36" t="str">
        <f t="shared" si="4"/>
        <v/>
      </c>
    </row>
    <row r="157" spans="1:4" ht="14.25">
      <c r="C157" s="36" t="str">
        <f t="shared" si="4"/>
        <v/>
      </c>
    </row>
    <row r="158" spans="1:4" ht="14.25">
      <c r="C158" s="36" t="str">
        <f t="shared" si="4"/>
        <v/>
      </c>
    </row>
    <row r="159" spans="1:4" ht="14.25">
      <c r="C159" s="36" t="str">
        <f t="shared" si="4"/>
        <v/>
      </c>
    </row>
    <row r="160" spans="1:4"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9">
        <v>43</v>
      </c>
      <c r="E2" s="49">
        <v>1</v>
      </c>
      <c r="F2" s="49" t="s">
        <v>544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447</v>
      </c>
      <c r="B3" s="47">
        <v>1194</v>
      </c>
      <c r="C3" s="48"/>
      <c r="D3" s="49">
        <v>33</v>
      </c>
      <c r="E3" s="49">
        <v>41</v>
      </c>
      <c r="F3" s="49" t="s">
        <v>544</v>
      </c>
      <c r="G3" s="49"/>
      <c r="H3" s="50" t="str">
        <f>IF($B3="","",IF($J3="X",B3,CONCATENATE(VLOOKUP(B3,Competitors!$A$2:$I$650,3,FALSE)," ",VLOOKUP(B3,Competitors!$A$2:$I$650,2,FALSE))))</f>
        <v>Alex Hardwicke</v>
      </c>
      <c r="I3" s="51">
        <f t="shared" si="0"/>
        <v>2.3391203703703702E-2</v>
      </c>
      <c r="J3" t="str">
        <f t="shared" si="1"/>
        <v/>
      </c>
    </row>
    <row r="4" spans="1:10" ht="15">
      <c r="A4" s="46" t="s">
        <v>448</v>
      </c>
      <c r="B4" s="47">
        <v>1298</v>
      </c>
      <c r="C4" s="48"/>
      <c r="D4" s="49">
        <v>35</v>
      </c>
      <c r="E4" s="49">
        <v>37</v>
      </c>
      <c r="F4" s="49" t="s">
        <v>544</v>
      </c>
      <c r="G4" s="49"/>
      <c r="H4" s="50" t="str">
        <f>IF($B4="","",IF($J4="X",B4,CONCATENATE(VLOOKUP(B4,Competitors!$A$2:$I$650,3,FALSE)," ",VLOOKUP(B4,Competitors!$A$2:$I$650,2,FALSE))))</f>
        <v>Jane Moore</v>
      </c>
      <c r="I4" s="51">
        <f t="shared" si="0"/>
        <v>2.4733796296296295E-2</v>
      </c>
      <c r="J4" t="str">
        <f t="shared" si="1"/>
        <v/>
      </c>
    </row>
    <row r="5" spans="1:10" ht="15">
      <c r="A5" s="46" t="s">
        <v>423</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418</v>
      </c>
      <c r="B6" s="47">
        <v>1355</v>
      </c>
      <c r="C6" s="48"/>
      <c r="D6" s="49">
        <v>26</v>
      </c>
      <c r="E6" s="49">
        <v>29</v>
      </c>
      <c r="F6" s="49" t="s">
        <v>544</v>
      </c>
      <c r="G6" s="49"/>
      <c r="H6" s="50" t="str">
        <f>IF($B6="","",IF($J6="X",B6,CONCATENATE(VLOOKUP(B6,Competitors!$A$2:$I$650,3,FALSE)," ",VLOOKUP(B6,Competitors!$A$2:$I$650,2,FALSE))))</f>
        <v>Aubrey Elmer</v>
      </c>
      <c r="I6" s="51">
        <f t="shared" si="0"/>
        <v>1.8391203703703705E-2</v>
      </c>
      <c r="J6" t="str">
        <f t="shared" si="1"/>
        <v/>
      </c>
    </row>
    <row r="7" spans="1:10" ht="15">
      <c r="A7" s="46" t="s">
        <v>422</v>
      </c>
      <c r="B7" s="47">
        <v>1407</v>
      </c>
      <c r="C7" s="48"/>
      <c r="D7" s="49">
        <v>28</v>
      </c>
      <c r="E7" s="49">
        <v>22</v>
      </c>
      <c r="F7" s="49" t="s">
        <v>544</v>
      </c>
      <c r="G7" s="49"/>
      <c r="H7" s="50" t="str">
        <f>IF($B7="","",IF($J7="X",B7,CONCATENATE(VLOOKUP(B7,Competitors!$A$2:$I$650,3,FALSE)," ",VLOOKUP(B7,Competitors!$A$2:$I$650,2,FALSE))))</f>
        <v>Colin Dobson</v>
      </c>
      <c r="I7" s="51">
        <f t="shared" si="0"/>
        <v>1.9699074074074074E-2</v>
      </c>
      <c r="J7" t="str">
        <f t="shared" si="1"/>
        <v/>
      </c>
    </row>
    <row r="8" spans="1:10" ht="15">
      <c r="A8" s="46" t="s">
        <v>425</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429</v>
      </c>
      <c r="B9" s="47">
        <v>1107</v>
      </c>
      <c r="C9" s="48"/>
      <c r="D9" s="49">
        <v>29</v>
      </c>
      <c r="E9" s="49">
        <v>43</v>
      </c>
      <c r="F9" s="49" t="s">
        <v>544</v>
      </c>
      <c r="G9" s="49"/>
      <c r="H9" s="50" t="str">
        <f>IF($B9="","",IF($J9="X",B9,CONCATENATE(VLOOKUP(B9,Competitors!$A$2:$I$650,3,FALSE)," ",VLOOKUP(B9,Competitors!$A$2:$I$650,2,FALSE))))</f>
        <v>Milly Pinnock</v>
      </c>
      <c r="I9" s="51">
        <f t="shared" si="0"/>
        <v>2.0636574074074075E-2</v>
      </c>
      <c r="J9" t="str">
        <f t="shared" si="1"/>
        <v/>
      </c>
    </row>
    <row r="10" spans="1:10" ht="15">
      <c r="A10" s="46" t="s">
        <v>431</v>
      </c>
      <c r="B10" s="47">
        <v>1403</v>
      </c>
      <c r="C10" s="48"/>
      <c r="D10" s="49">
        <v>31</v>
      </c>
      <c r="E10" s="49">
        <v>7</v>
      </c>
      <c r="F10" s="49" t="s">
        <v>544</v>
      </c>
      <c r="G10" s="49"/>
      <c r="H10" s="50" t="str">
        <f>IF($B10="","",IF($J10="X",B10,CONCATENATE(VLOOKUP(B10,Competitors!$A$2:$I$650,3, FALSE)," ",VLOOKUP(B10,Competitors!$A$2:$I$650,2,FALSE))))</f>
        <v>Toby Lenehan</v>
      </c>
      <c r="I10" s="51">
        <f t="shared" si="0"/>
        <v>2.1608796296296296E-2</v>
      </c>
      <c r="J10" t="str">
        <f t="shared" si="1"/>
        <v/>
      </c>
    </row>
    <row r="11" spans="1:10" ht="15">
      <c r="A11" s="46" t="s">
        <v>545</v>
      </c>
      <c r="B11" s="47">
        <v>1385</v>
      </c>
      <c r="C11" s="48"/>
      <c r="D11" s="49"/>
      <c r="E11" s="49"/>
      <c r="F11" s="49" t="s">
        <v>544</v>
      </c>
      <c r="G11" s="49" t="s">
        <v>546</v>
      </c>
      <c r="H11" s="50" t="str">
        <f>IF($B11="","",IF($J11="X",B11,CONCATENATE(VLOOKUP(B11,Competitors!$A$2:$I$650,3,FALSE)," ",VLOOKUP(B11,Competitors!$A$2:$I$650,2,FALSE))))</f>
        <v>Miles Marr</v>
      </c>
      <c r="I11" s="51">
        <f t="shared" si="0"/>
        <v>0</v>
      </c>
      <c r="J11" t="str">
        <f t="shared" si="1"/>
        <v/>
      </c>
    </row>
    <row r="12" spans="1:10" ht="15">
      <c r="A12" s="46" t="s">
        <v>430</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438</v>
      </c>
      <c r="B13" s="47">
        <v>704</v>
      </c>
      <c r="C13" s="48"/>
      <c r="D13" s="49">
        <v>31</v>
      </c>
      <c r="E13" s="49">
        <v>30</v>
      </c>
      <c r="F13" s="49" t="s">
        <v>544</v>
      </c>
      <c r="G13" s="49"/>
      <c r="H13" s="50" t="str">
        <f>IF($B13="","",IF($J13="X",B13,CONCATENATE(VLOOKUP(B13,Competitors!$A$2:$I$650,3,FALSE)," ",VLOOKUP(B13,Competitors!$A$2:$I$650,2,FALSE))))</f>
        <v>Chris Dainty</v>
      </c>
      <c r="I13" s="51">
        <f t="shared" si="0"/>
        <v>2.1874999999999999E-2</v>
      </c>
      <c r="J13" t="str">
        <f t="shared" si="1"/>
        <v/>
      </c>
    </row>
    <row r="14" spans="1:10" ht="15">
      <c r="A14" s="46" t="s">
        <v>547</v>
      </c>
      <c r="B14" s="47">
        <v>1162</v>
      </c>
      <c r="C14" s="48"/>
      <c r="D14" s="49"/>
      <c r="E14" s="49"/>
      <c r="F14" s="49" t="s">
        <v>544</v>
      </c>
      <c r="G14" s="49" t="s">
        <v>546</v>
      </c>
      <c r="H14" s="50" t="str">
        <f>IF($B14="","",IF($J14="X",B14,CONCATENATE(VLOOKUP(B14,Competitors!$A$2:$I$650,3,FALSE)," ",VLOOKUP(B14,Competitors!$A$2:$I$650,2,FALSE))))</f>
        <v>Richard Krause</v>
      </c>
      <c r="I14" s="51">
        <f t="shared" si="0"/>
        <v>0</v>
      </c>
      <c r="J14" t="str">
        <f t="shared" si="1"/>
        <v/>
      </c>
    </row>
    <row r="15" spans="1:10" ht="15">
      <c r="A15" s="46" t="s">
        <v>548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455</v>
      </c>
      <c r="B16" s="47">
        <v>295</v>
      </c>
      <c r="C16" s="48"/>
      <c r="D16" s="49">
        <v>32</v>
      </c>
      <c r="E16" s="49">
        <v>12</v>
      </c>
      <c r="F16" s="49" t="s">
        <v>544</v>
      </c>
      <c r="G16" s="49"/>
      <c r="H16" s="50" t="str">
        <f>IF($B16="","",IF($J16="X",B16,CONCATENATE(VLOOKUP(B16,Competitors!$A$2:$I$650,3,FALSE)," ",VLOOKUP(B16,Competitors!$A$2:$I$650,2,FALSE))))</f>
        <v>Stuart Dawkins</v>
      </c>
      <c r="I16" s="51">
        <f t="shared" si="0"/>
        <v>2.2361111111111109E-2</v>
      </c>
      <c r="J16" t="str">
        <f t="shared" si="1"/>
        <v/>
      </c>
    </row>
    <row r="17" spans="1:10" ht="15">
      <c r="A17" s="46" t="s">
        <v>415</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416</v>
      </c>
      <c r="B18" s="47">
        <v>38</v>
      </c>
      <c r="C18" s="48"/>
      <c r="D18" s="49">
        <v>28</v>
      </c>
      <c r="E18" s="49">
        <v>41</v>
      </c>
      <c r="F18" s="49" t="s">
        <v>544</v>
      </c>
      <c r="G18" s="49"/>
      <c r="H18" s="50" t="str">
        <f>IF($B18="","",IF($J18="X",B18,CONCATENATE(VLOOKUP(B18,Competitors!$A$2:$I$650,3,FALSE)," ",VLOOKUP(B18,Competitors!$A$2:$I$650,2,FALSE))))</f>
        <v>Phil Rayner</v>
      </c>
      <c r="I18" s="51">
        <f t="shared" si="0"/>
        <v>1.9918981481481482E-2</v>
      </c>
      <c r="J18" t="str">
        <f t="shared" si="1"/>
        <v/>
      </c>
    </row>
    <row r="19" spans="1:10" ht="15">
      <c r="A19" s="46" t="s">
        <v>549</v>
      </c>
      <c r="B19" s="47" t="s">
        <v>549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440</v>
      </c>
      <c r="B20" s="47">
        <v>245</v>
      </c>
      <c r="C20" s="48"/>
      <c r="D20" s="49">
        <v>32</v>
      </c>
      <c r="E20" s="49">
        <v>2</v>
      </c>
      <c r="F20" s="49" t="s">
        <v>544</v>
      </c>
      <c r="G20" s="49"/>
      <c r="H20" s="50" t="str">
        <f>IF($B20="","",IF($J20="X",B20,CONCATENATE(VLOOKUP(B20,Competitors!$A$2:$I$650,3,FALSE)," ",VLOOKUP(B20,Competitors!$A$2:$I$650,2,FALSE))))</f>
        <v>David Reay</v>
      </c>
      <c r="I20" s="51">
        <f t="shared" si="0"/>
        <v>2.224537037037037E-2</v>
      </c>
      <c r="J20" t="str">
        <f t="shared" si="1"/>
        <v/>
      </c>
    </row>
    <row r="21" spans="1:10" ht="15">
      <c r="A21" s="46" t="s">
        <v>550</v>
      </c>
      <c r="B21" s="47" t="s">
        <v>550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Event_01</v>
      </c>
    </row>
    <row r="104" spans="1:10">
      <c r="B104" t="s">
        <v>552</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v>1</v>
      </c>
      <c r="D2" s="48">
        <v>35</v>
      </c>
      <c r="E2" s="48">
        <v>37</v>
      </c>
      <c r="F2" s="48" t="s">
        <v>544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452</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448</v>
      </c>
      <c r="B4" s="47">
        <v>1298</v>
      </c>
      <c r="C4" s="48">
        <v>1</v>
      </c>
      <c r="D4" s="48">
        <v>19</v>
      </c>
      <c r="E4" s="48">
        <v>14</v>
      </c>
      <c r="F4" s="48" t="s">
        <v>544</v>
      </c>
      <c r="G4" s="48"/>
      <c r="H4" s="50" t="str">
        <f>IF($B4="","",IF($J4="X",B4,CONCATENATE(VLOOKUP(B4,Competitors!$A$2:$I$650,3,FALSE)," ",VLOOKUP(B4,Competitors!$A$2:$I$650,2,FALSE))))</f>
        <v>Jane Moore</v>
      </c>
      <c r="I4" s="51">
        <f t="shared" si="0"/>
        <v>5.5023148148148147E-2</v>
      </c>
      <c r="J4" t="str">
        <f t="shared" si="1"/>
        <v/>
      </c>
    </row>
    <row r="5" spans="1:10" ht="15">
      <c r="A5" s="46" t="s">
        <v>426</v>
      </c>
      <c r="B5" s="47">
        <v>1055</v>
      </c>
      <c r="C5" s="48">
        <v>0</v>
      </c>
      <c r="D5" s="48">
        <v>58</v>
      </c>
      <c r="E5" s="48">
        <v>38</v>
      </c>
      <c r="F5" s="48" t="s">
        <v>544</v>
      </c>
      <c r="G5" s="48"/>
      <c r="H5" s="50" t="str">
        <f>IF($B5="","",IF($J5="X",B5,CONCATENATE(VLOOKUP(B5,Competitors!$A$2:$I$650,3,FALSE)," ",VLOOKUP(B5,Competitors!$A$2:$I$650,2,FALSE))))</f>
        <v>Austin Smith</v>
      </c>
      <c r="I5" s="51">
        <f t="shared" si="0"/>
        <v>4.071759259259259E-2</v>
      </c>
      <c r="J5" t="str">
        <f t="shared" si="1"/>
        <v/>
      </c>
    </row>
    <row r="6" spans="1:10" ht="15">
      <c r="A6" s="46" t="s">
        <v>417</v>
      </c>
      <c r="B6" s="47">
        <v>1152</v>
      </c>
      <c r="C6" s="48">
        <v>0</v>
      </c>
      <c r="D6" s="48">
        <v>57</v>
      </c>
      <c r="E6" s="48">
        <v>56</v>
      </c>
      <c r="F6" s="48" t="s">
        <v>544</v>
      </c>
      <c r="G6" s="48"/>
      <c r="H6" s="50" t="str">
        <f>IF($B6="","",IF($J6="X",B6,CONCATENATE(VLOOKUP(B6,Competitors!$A$2:$I$650,3,FALSE)," ",VLOOKUP(B6,Competitors!$A$2:$I$650,2,FALSE))))</f>
        <v>Ruby Isaac</v>
      </c>
      <c r="I6" s="51">
        <f t="shared" si="0"/>
        <v>4.0231481481481479E-2</v>
      </c>
      <c r="J6" t="str">
        <f t="shared" si="1"/>
        <v/>
      </c>
    </row>
    <row r="7" spans="1:10" ht="15">
      <c r="A7" s="46" t="s">
        <v>422</v>
      </c>
      <c r="B7" s="47">
        <v>1407</v>
      </c>
      <c r="C7" s="48">
        <v>0</v>
      </c>
      <c r="D7" s="48">
        <v>59</v>
      </c>
      <c r="E7" s="48">
        <v>31</v>
      </c>
      <c r="F7" s="48" t="s">
        <v>544</v>
      </c>
      <c r="G7" s="48"/>
      <c r="H7" s="50" t="str">
        <f>IF($B7="","",IF($J7="X",B7,CONCATENATE(VLOOKUP(B7,Competitors!$A$2:$I$650,3,FALSE)," ",VLOOKUP(B7,Competitors!$A$2:$I$650,2,FALSE))))</f>
        <v>Colin Dobson</v>
      </c>
      <c r="I7" s="51">
        <f t="shared" si="0"/>
        <v>4.1331018518518517E-2</v>
      </c>
      <c r="J7" t="str">
        <f t="shared" si="1"/>
        <v/>
      </c>
    </row>
    <row r="8" spans="1:10" ht="15">
      <c r="A8" s="46" t="s">
        <v>425</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432</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431</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423</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430</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438</v>
      </c>
      <c r="B13" s="47">
        <v>704</v>
      </c>
      <c r="C13" s="48">
        <v>1</v>
      </c>
      <c r="D13" s="48">
        <v>6</v>
      </c>
      <c r="E13" s="48">
        <v>37</v>
      </c>
      <c r="F13" s="48" t="s">
        <v>544</v>
      </c>
      <c r="G13" s="48"/>
      <c r="H13" s="50" t="str">
        <f>IF($B13="","",IF($J13="X",B13,CONCATENATE(VLOOKUP(B13,Competitors!$A$2:$I$650,3,FALSE)," ",VLOOKUP(B13,Competitors!$A$2:$I$650,2,FALSE))))</f>
        <v>Chris Dainty</v>
      </c>
      <c r="I13" s="51">
        <f t="shared" si="0"/>
        <v>4.6261574074074073E-2</v>
      </c>
      <c r="J13" t="str">
        <f t="shared" si="1"/>
        <v/>
      </c>
    </row>
    <row r="14" spans="1:10" ht="15">
      <c r="A14" s="46" t="s">
        <v>443</v>
      </c>
      <c r="B14" s="47">
        <v>1193</v>
      </c>
      <c r="C14" s="48">
        <v>1</v>
      </c>
      <c r="D14" s="48">
        <v>9</v>
      </c>
      <c r="E14" s="48">
        <v>37</v>
      </c>
      <c r="F14" s="48" t="s">
        <v>544</v>
      </c>
      <c r="G14" s="48"/>
      <c r="H14" s="50" t="str">
        <f>IF($B14="","",IF($J14="X",B14,CONCATENATE(VLOOKUP(B14,Competitors!$A$2:$I$650,3,FALSE)," ",VLOOKUP(B14,Competitors!$A$2:$I$650,2,FALSE))))</f>
        <v>Richard Hardwicke</v>
      </c>
      <c r="I14" s="51">
        <f t="shared" si="0"/>
        <v>4.8344907407407406E-2</v>
      </c>
      <c r="J14" t="str">
        <f t="shared" si="1"/>
        <v/>
      </c>
    </row>
    <row r="15" spans="1:10" ht="15">
      <c r="A15" s="46" t="s">
        <v>440</v>
      </c>
      <c r="B15" s="47">
        <v>245</v>
      </c>
      <c r="C15" s="48"/>
      <c r="D15" s="48"/>
      <c r="E15" s="48"/>
      <c r="F15" s="48"/>
      <c r="G15" s="48" t="s">
        <v>553</v>
      </c>
      <c r="H15" s="50" t="str">
        <f>IF($B15="","",IF($J15="X",B15,CONCATENATE(VLOOKUP(B15,Competitors!$A$2:$I$650,3,FALSE)," ",VLOOKUP(B15,Competitors!$A$2:$I$650,2,FALSE))))</f>
        <v>David Reay</v>
      </c>
      <c r="I15" s="51">
        <f t="shared" si="0"/>
        <v>0</v>
      </c>
      <c r="J15" t="str">
        <f t="shared" si="1"/>
        <v/>
      </c>
    </row>
    <row r="16" spans="1:10" ht="15">
      <c r="A16" s="46" t="s">
        <v>455</v>
      </c>
      <c r="B16" s="47">
        <v>295</v>
      </c>
      <c r="C16" s="48">
        <v>1</v>
      </c>
      <c r="D16" s="48">
        <v>8</v>
      </c>
      <c r="E16" s="48">
        <v>10</v>
      </c>
      <c r="F16" s="48" t="s">
        <v>544</v>
      </c>
      <c r="G16" s="48"/>
      <c r="H16" s="50" t="str">
        <f>IF($B16="","",IF($J16="X",B16,CONCATENATE(VLOOKUP(B16,Competitors!$A$2:$I$650,3,FALSE)," ",VLOOKUP(B16,Competitors!$A$2:$I$650,2,FALSE))))</f>
        <v>Stuart Dawkins</v>
      </c>
      <c r="I16" s="51">
        <f t="shared" si="0"/>
        <v>4.7337962962962964E-2</v>
      </c>
      <c r="J16" t="str">
        <f t="shared" si="1"/>
        <v/>
      </c>
    </row>
    <row r="17" spans="1:10" ht="15">
      <c r="A17" s="46" t="s">
        <v>413</v>
      </c>
      <c r="B17" s="47">
        <v>989</v>
      </c>
      <c r="C17" s="48">
        <v>0</v>
      </c>
      <c r="D17" s="48">
        <v>56</v>
      </c>
      <c r="E17" s="48">
        <v>1</v>
      </c>
      <c r="F17" s="48" t="s">
        <v>544</v>
      </c>
      <c r="G17" s="48"/>
      <c r="H17" s="50" t="str">
        <f>IF($B17="","",IF($J17="X",B17,CONCATENATE(VLOOKUP(B17,Competitors!$A$2:$I$650,3,FALSE)," ",VLOOKUP(B17,Competitors!$A$2:$I$650,2,FALSE))))</f>
        <v>Jason Williams</v>
      </c>
      <c r="I17" s="51">
        <f t="shared" si="0"/>
        <v>3.8900462962962963E-2</v>
      </c>
      <c r="J17" t="str">
        <f t="shared" si="1"/>
        <v/>
      </c>
    </row>
    <row r="18" spans="1:10" ht="15">
      <c r="A18" s="46" t="s">
        <v>416</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434</v>
      </c>
      <c r="B19" s="47">
        <v>1419</v>
      </c>
      <c r="C19" s="48">
        <v>1</v>
      </c>
      <c r="D19" s="48">
        <v>5</v>
      </c>
      <c r="E19" s="48">
        <v>12</v>
      </c>
      <c r="F19" s="48" t="s">
        <v>544</v>
      </c>
      <c r="G19" s="48"/>
      <c r="H19" s="50" t="str">
        <f>IF($B19="","",IF($J19="X",B19,CONCATENATE(VLOOKUP(B19,Competitors!$A$2:$I$650,3,FALSE)," ",VLOOKUP(B19,Competitors!$A$2:$I$650,2,FALSE))))</f>
        <v>Ethan Marsh</v>
      </c>
      <c r="I19" s="51">
        <f t="shared" si="0"/>
        <v>4.5277777777777778E-2</v>
      </c>
      <c r="J19" t="str">
        <f t="shared" si="1"/>
        <v/>
      </c>
    </row>
    <row r="20" spans="1:10" ht="15">
      <c r="A20" s="46" t="s">
        <v>442</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528</v>
      </c>
      <c r="B21" s="47" t="s">
        <v>528</v>
      </c>
      <c r="C21" s="48">
        <v>0</v>
      </c>
      <c r="D21" s="48">
        <v>48</v>
      </c>
      <c r="E21" s="48">
        <v>48</v>
      </c>
      <c r="F21" s="48" t="s">
        <v>544</v>
      </c>
      <c r="G21" s="48"/>
      <c r="H21" s="50" t="str">
        <f>IF($B21="","",IF($J21="X",B21,CONCATENATE(VLOOKUP(B21,Competitors!$A$2:$I$650,3,FALSE)," ",VLOOKUP(B21,Competitors!$A$2:$I$650,2,FALSE))))</f>
        <v>Hudson Hendry</v>
      </c>
      <c r="I21" s="51">
        <f t="shared" si="0"/>
        <v>3.3888888888888892E-2</v>
      </c>
      <c r="J21" t="str">
        <f t="shared" si="1"/>
        <v>X</v>
      </c>
    </row>
    <row r="22" spans="1:10" ht="15">
      <c r="A22" s="46" t="s">
        <v>414</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550</v>
      </c>
      <c r="B23" s="47" t="s">
        <v>550</v>
      </c>
      <c r="C23" s="48">
        <v>0</v>
      </c>
      <c r="D23" s="48">
        <v>55</v>
      </c>
      <c r="E23" s="48">
        <v>18</v>
      </c>
      <c r="F23" s="48" t="s">
        <v>544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Event_02</v>
      </c>
    </row>
    <row r="104" spans="1:10">
      <c r="B104" t="s">
        <v>552</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 workbookViewId="1"/>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8">
        <v>39</v>
      </c>
      <c r="E2" s="48">
        <v>2</v>
      </c>
      <c r="F2" s="48" t="s">
        <v>544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454</v>
      </c>
      <c r="B3" s="47">
        <v>45</v>
      </c>
      <c r="C3" s="48"/>
      <c r="D3" s="48">
        <v>35</v>
      </c>
      <c r="E3" s="48">
        <v>4</v>
      </c>
      <c r="F3" s="48" t="s">
        <v>544</v>
      </c>
      <c r="G3" s="48"/>
      <c r="H3" s="50" t="str">
        <f>IF($B3="","",IF($J3="X",B3,CONCATENATE(VLOOKUP(B3,Competitors!$A$2:$I$650,3,FALSE)," ",VLOOKUP(B3,Competitors!$A$2:$I$650,2,FALSE))))</f>
        <v>Ray Taylor</v>
      </c>
      <c r="I3" s="51">
        <f t="shared" si="0"/>
        <v>2.435185185185185E-2</v>
      </c>
      <c r="J3" t="str">
        <f t="shared" si="1"/>
        <v/>
      </c>
    </row>
    <row r="4" spans="1:10" ht="15">
      <c r="A4" s="46" t="s">
        <v>501</v>
      </c>
      <c r="B4" s="47" t="s">
        <v>554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522</v>
      </c>
      <c r="B5" s="47" t="s">
        <v>555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417</v>
      </c>
      <c r="B6" s="47">
        <v>1152</v>
      </c>
      <c r="C6" s="48"/>
      <c r="D6" s="48"/>
      <c r="E6" s="48"/>
      <c r="F6" s="48"/>
      <c r="G6" s="48" t="s">
        <v>553</v>
      </c>
      <c r="H6" s="50" t="str">
        <f>IF($B6="","",IF($J6="X",B6,CONCATENATE(VLOOKUP(B6,Competitors!$A$2:$I$650,3,FALSE)," ",VLOOKUP(B6,Competitors!$A$2:$I$650,2,FALSE))))</f>
        <v>Ruby Isaac</v>
      </c>
      <c r="I6" s="51">
        <f t="shared" si="0"/>
        <v>0</v>
      </c>
      <c r="J6" t="str">
        <f t="shared" si="1"/>
        <v/>
      </c>
    </row>
    <row r="7" spans="1:10" ht="15">
      <c r="A7" s="46" t="s">
        <v>429</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556</v>
      </c>
      <c r="B8" s="47" t="s">
        <v>556</v>
      </c>
      <c r="C8" s="48"/>
      <c r="D8" s="48">
        <v>23</v>
      </c>
      <c r="E8" s="48">
        <v>0</v>
      </c>
      <c r="F8" s="48" t="s">
        <v>544</v>
      </c>
      <c r="G8" s="48"/>
      <c r="H8" s="50" t="str">
        <f>IF($B8="","",IF($J8="X",B8,CONCATENATE(VLOOKUP(B8,Competitors!$A$2:$I$650,3,FALSE)," ",VLOOKUP(B8,Competitors!$A$2:$I$650,2,FALSE))))</f>
        <v>Jonathan Robinson</v>
      </c>
      <c r="I8" s="51">
        <f t="shared" si="0"/>
        <v>1.5972222222222221E-2</v>
      </c>
      <c r="J8" t="str">
        <f t="shared" si="1"/>
        <v>X</v>
      </c>
    </row>
    <row r="9" spans="1:10" ht="15">
      <c r="A9" s="46" t="s">
        <v>548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431</v>
      </c>
      <c r="B10" s="47">
        <v>1403</v>
      </c>
      <c r="C10" s="48"/>
      <c r="D10" s="48"/>
      <c r="E10" s="48"/>
      <c r="F10" s="48"/>
      <c r="G10" s="48" t="s">
        <v>557</v>
      </c>
      <c r="H10" s="50" t="str">
        <f>IF($B10="","",IF($J10="X",B10,CONCATENATE(VLOOKUP(B10,Competitors!$A$2:$I$650,3, FALSE)," ",VLOOKUP(B10,Competitors!$A$2:$I$650,2,FALSE))))</f>
        <v>Toby Lenehan</v>
      </c>
      <c r="I10" s="51">
        <f t="shared" si="0"/>
        <v>0</v>
      </c>
      <c r="J10" t="str">
        <f t="shared" si="1"/>
        <v/>
      </c>
    </row>
    <row r="11" spans="1:10" ht="15">
      <c r="A11" s="46" t="s">
        <v>441</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430</v>
      </c>
      <c r="B12" s="47">
        <v>616</v>
      </c>
      <c r="C12" s="48"/>
      <c r="D12" s="48"/>
      <c r="E12" s="48"/>
      <c r="F12" s="48"/>
      <c r="G12" s="48" t="s">
        <v>557</v>
      </c>
      <c r="H12" s="50" t="str">
        <f>IF($B12="","",IF($J12="X",B12,CONCATENATE(VLOOKUP(B12,Competitors!$A$2:$I$650,3,FALSE)," ",VLOOKUP(B12,Competitors!$A$2:$I$650,2,FALSE))))</f>
        <v>Simon Ward</v>
      </c>
      <c r="I12" s="51">
        <f t="shared" si="0"/>
        <v>0</v>
      </c>
      <c r="J12" t="str">
        <f t="shared" si="1"/>
        <v/>
      </c>
    </row>
    <row r="13" spans="1:10" ht="15">
      <c r="A13" s="46" t="s">
        <v>527</v>
      </c>
      <c r="B13" s="47" t="s">
        <v>558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514</v>
      </c>
      <c r="B14" s="47" t="s">
        <v>559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440</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412</v>
      </c>
      <c r="B16" s="47">
        <v>1144</v>
      </c>
      <c r="C16" s="48"/>
      <c r="D16" s="48">
        <v>23</v>
      </c>
      <c r="E16" s="48">
        <v>25</v>
      </c>
      <c r="F16" s="48" t="s">
        <v>544</v>
      </c>
      <c r="G16" s="48"/>
      <c r="H16" s="50" t="str">
        <f>IF($B16="","",IF($J16="X",B16,CONCATENATE(VLOOKUP(B16,Competitors!$A$2:$I$650,3,FALSE)," ",VLOOKUP(B16,Competitors!$A$2:$I$650,2,FALSE))))</f>
        <v>Jamie Kershaw</v>
      </c>
      <c r="I16" s="51">
        <f t="shared" si="0"/>
        <v>1.6261574074074074E-2</v>
      </c>
      <c r="J16" t="str">
        <f t="shared" si="1"/>
        <v/>
      </c>
    </row>
    <row r="17" spans="1:10" ht="15">
      <c r="A17" s="46" t="s">
        <v>419</v>
      </c>
      <c r="B17" s="47">
        <v>756</v>
      </c>
      <c r="C17" s="48"/>
      <c r="D17" s="48">
        <v>27</v>
      </c>
      <c r="E17" s="48">
        <v>36</v>
      </c>
      <c r="F17" s="48" t="s">
        <v>544</v>
      </c>
      <c r="G17" s="48"/>
      <c r="H17" s="50" t="str">
        <f>IF($B17="","",IF($J17="X",B17,CONCATENATE(VLOOKUP(B17,Competitors!$A$2:$I$650,3,FALSE)," ",VLOOKUP(B17,Competitors!$A$2:$I$650,2,FALSE))))</f>
        <v>Josh van Nierop</v>
      </c>
      <c r="I17" s="51">
        <f t="shared" si="0"/>
        <v>1.9166666666666665E-2</v>
      </c>
      <c r="J17" t="str">
        <f t="shared" si="1"/>
        <v/>
      </c>
    </row>
    <row r="18" spans="1:10" ht="15">
      <c r="A18" s="46" t="s">
        <v>416</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439</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545</v>
      </c>
      <c r="B20" s="47">
        <v>1385</v>
      </c>
      <c r="C20" s="48"/>
      <c r="D20" s="48"/>
      <c r="E20" s="48"/>
      <c r="F20" s="48"/>
      <c r="G20" s="48" t="s">
        <v>553</v>
      </c>
      <c r="H20" s="50" t="str">
        <f>IF($B20="","",IF($J20="X",B20,CONCATENATE(VLOOKUP(B20,Competitors!$A$2:$I$650,3,FALSE)," ",VLOOKUP(B20,Competitors!$A$2:$I$650,2,FALSE))))</f>
        <v>Miles Marr</v>
      </c>
      <c r="I20" s="51">
        <f t="shared" si="0"/>
        <v>0</v>
      </c>
      <c r="J20" t="str">
        <f t="shared" si="1"/>
        <v/>
      </c>
    </row>
    <row r="21" spans="1:10" ht="15">
      <c r="A21" s="46" t="s">
        <v>411</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432</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420</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421</v>
      </c>
      <c r="B24" s="47">
        <v>415</v>
      </c>
      <c r="C24" s="48"/>
      <c r="D24" s="48">
        <v>26</v>
      </c>
      <c r="E24" s="48">
        <v>10</v>
      </c>
      <c r="F24" s="48" t="s">
        <v>544</v>
      </c>
      <c r="G24" s="48"/>
      <c r="H24" s="50" t="str">
        <f>IF($B24="","",IF($J24="X",B24,CONCATENATE(VLOOKUP(B24,Competitors!$A$2:$I$650,3,FALSE)," ",VLOOKUP(B24,Competitors!$A$2:$I$650,2,FALSE))))</f>
        <v>Nik Kershaw</v>
      </c>
      <c r="I24" s="51">
        <f t="shared" si="0"/>
        <v>1.8171296296296297E-2</v>
      </c>
      <c r="J24" t="str">
        <f t="shared" si="1"/>
        <v/>
      </c>
    </row>
    <row r="25" spans="1:10" ht="15">
      <c r="A25" s="46" t="s">
        <v>427</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502</v>
      </c>
      <c r="B26" s="47" t="s">
        <v>560</v>
      </c>
      <c r="C26" s="48"/>
      <c r="D26" s="48"/>
      <c r="E26" s="48"/>
      <c r="F26" s="48"/>
      <c r="G26" s="48" t="s">
        <v>553</v>
      </c>
      <c r="H26" s="50" t="str">
        <f>IF($B26="","",IF($J26="X",B26,CONCATENATE(VLOOKUP(B26,Competitors!$A$2:$I$650,3,FALSE)," ",VLOOKUP(B26,Competitors!$A$2:$I$650,2,FALSE))))</f>
        <v>Chris Spray (Ratae)</v>
      </c>
      <c r="I26" s="51">
        <f t="shared" si="0"/>
        <v>0</v>
      </c>
      <c r="J26" t="str">
        <f t="shared" si="1"/>
        <v>X</v>
      </c>
    </row>
    <row r="27" spans="1:10" ht="15">
      <c r="A27" s="46" t="s">
        <v>428</v>
      </c>
      <c r="B27" s="47">
        <v>1237</v>
      </c>
      <c r="C27" s="48"/>
      <c r="D27" s="48"/>
      <c r="E27" s="48"/>
      <c r="F27" s="48"/>
      <c r="G27" s="48" t="s">
        <v>553</v>
      </c>
      <c r="H27" s="50" t="str">
        <f>IF($B27="","",IF($J27="X",B27,CONCATENATE(VLOOKUP(B27,Competitors!$A$2:$I$650,3,FALSE)," ",VLOOKUP(B27,Competitors!$A$2:$I$650,2,FALSE))))</f>
        <v>John Abbott</v>
      </c>
      <c r="I27" s="51">
        <f t="shared" si="0"/>
        <v>0</v>
      </c>
      <c r="J27" t="str">
        <f t="shared" si="1"/>
        <v/>
      </c>
    </row>
    <row r="28" spans="1:10" ht="15">
      <c r="A28" s="46" t="s">
        <v>509</v>
      </c>
      <c r="B28" s="47" t="s">
        <v>561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435</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408</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464</v>
      </c>
      <c r="B31" s="47" t="s">
        <v>562</v>
      </c>
      <c r="C31" s="48"/>
      <c r="D31" s="48">
        <v>22</v>
      </c>
      <c r="E31" s="48">
        <v>49</v>
      </c>
      <c r="F31" s="48" t="s">
        <v>544</v>
      </c>
      <c r="G31" s="48"/>
      <c r="H31" s="50" t="str">
        <f>IF($B31="","",IF($J31="X",B31,CONCATENATE(VLOOKUP(B31,Competitors!$A$2:$I$650,3,FALSE)," ",VLOOKUP(B31,Competitors!$A$2:$I$650,2,FALSE))))</f>
        <v>Carl Dyson (Aerologic)</v>
      </c>
      <c r="I31" s="51">
        <f t="shared" si="0"/>
        <v>1.5844907407407408E-2</v>
      </c>
      <c r="J31" t="str">
        <f t="shared" si="1"/>
        <v>X</v>
      </c>
    </row>
    <row r="32" spans="1:10" ht="15">
      <c r="A32" s="46" t="s">
        <v>496</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433</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452</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500</v>
      </c>
      <c r="B35" s="47" t="s">
        <v>563</v>
      </c>
      <c r="C35" s="48"/>
      <c r="D35" s="48">
        <v>34</v>
      </c>
      <c r="E35" s="48">
        <v>29</v>
      </c>
      <c r="F35" s="48" t="s">
        <v>544</v>
      </c>
      <c r="G35" s="48"/>
      <c r="H35" s="50" t="str">
        <f>IF($B35="","",IF($J35="X",B35,CONCATENATE(VLOOKUP(B35,Competitors!$A$2:$I$650,3,FALSE)," ",VLOOKUP(B35,Competitors!$A$2:$I$650,2,FALSE))))</f>
        <v>Brian Lincoln (Ratae)</v>
      </c>
      <c r="I35" s="51">
        <f t="shared" si="0"/>
        <v>2.3946759259259258E-2</v>
      </c>
      <c r="J35" t="str">
        <f t="shared" si="1"/>
        <v>X</v>
      </c>
    </row>
    <row r="36" spans="1:10" ht="15">
      <c r="A36" s="46" t="s">
        <v>510</v>
      </c>
      <c r="B36" s="47" t="s">
        <v>564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Event_03</v>
      </c>
    </row>
    <row r="104" spans="1:10">
      <c r="B104" t="s">
        <v>552</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54">
        <v>558</v>
      </c>
      <c r="C2" s="48"/>
      <c r="D2" s="48">
        <v>39</v>
      </c>
      <c r="E2" s="48">
        <v>9</v>
      </c>
      <c r="F2" s="48" t="s">
        <v>544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454</v>
      </c>
      <c r="B3" s="54">
        <v>45</v>
      </c>
      <c r="C3" s="48"/>
      <c r="D3" s="48">
        <v>34</v>
      </c>
      <c r="E3" s="48">
        <v>16</v>
      </c>
      <c r="F3" s="48" t="s">
        <v>544</v>
      </c>
      <c r="G3" s="48"/>
      <c r="H3" s="50" t="str">
        <f>IF($B3="","",IF($J3="X",B3,CONCATENATE(VLOOKUP(B3,Competitors!$A$2:$I$650,3,FALSE)," ",VLOOKUP(B3,Competitors!$A$2:$I$650,2,FALSE))))</f>
        <v>Ray Taylor</v>
      </c>
      <c r="I3" s="51">
        <f t="shared" si="0"/>
        <v>2.3796296296296298E-2</v>
      </c>
      <c r="J3" t="str">
        <f t="shared" si="1"/>
        <v/>
      </c>
    </row>
    <row r="4" spans="1:10" ht="15">
      <c r="A4" s="46" t="s">
        <v>501</v>
      </c>
      <c r="B4" s="54" t="s">
        <v>554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616</v>
      </c>
      <c r="B5" s="54">
        <v>990</v>
      </c>
      <c r="C5" s="48"/>
      <c r="D5" s="48">
        <v>35</v>
      </c>
      <c r="E5" s="48">
        <v>3</v>
      </c>
      <c r="F5" s="48" t="s">
        <v>544</v>
      </c>
      <c r="G5" s="48"/>
      <c r="H5" s="50" t="str">
        <f>IF($B5="","",IF($J5="X",B5,CONCATENATE(VLOOKUP(B5,Competitors!$A$2:$I$650,3,FALSE)," ",VLOOKUP(B5,Competitors!$A$2:$I$650,2,FALSE))))</f>
        <v>Jen Hulme</v>
      </c>
      <c r="I5" s="51">
        <f t="shared" si="0"/>
        <v>2.4340277777777777E-2</v>
      </c>
      <c r="J5" t="str">
        <f t="shared" si="1"/>
        <v/>
      </c>
    </row>
    <row r="6" spans="1:10" ht="15">
      <c r="A6" s="46" t="s">
        <v>448</v>
      </c>
      <c r="B6" s="54">
        <v>1298</v>
      </c>
      <c r="C6" s="48"/>
      <c r="D6" s="48">
        <v>32</v>
      </c>
      <c r="E6" s="48">
        <v>50</v>
      </c>
      <c r="F6" s="48" t="s">
        <v>544</v>
      </c>
      <c r="G6" s="48"/>
      <c r="H6" s="50" t="str">
        <f>IF($B6="","",IF($J6="X",B6,CONCATENATE(VLOOKUP(B6,Competitors!$A$2:$I$650,3,FALSE)," ",VLOOKUP(B6,Competitors!$A$2:$I$650,2,FALSE))))</f>
        <v>Jane Moore</v>
      </c>
      <c r="I6" s="51">
        <f t="shared" si="0"/>
        <v>2.2800925925925926E-2</v>
      </c>
      <c r="J6" t="str">
        <f t="shared" si="1"/>
        <v/>
      </c>
    </row>
    <row r="7" spans="1:10" ht="15">
      <c r="A7" s="46" t="s">
        <v>506</v>
      </c>
      <c r="B7" s="54" t="s">
        <v>565</v>
      </c>
      <c r="C7" s="48"/>
      <c r="D7" s="48">
        <v>33</v>
      </c>
      <c r="E7" s="48">
        <v>51</v>
      </c>
      <c r="F7" s="48" t="s">
        <v>544</v>
      </c>
      <c r="G7" s="48"/>
      <c r="H7" s="50" t="str">
        <f>IF($B7="","",IF($J7="X",B7,CONCATENATE(VLOOKUP(B7,Competitors!$A$2:$I$650,3,FALSE)," ",VLOOKUP(B7,Competitors!$A$2:$I$650,2,FALSE))))</f>
        <v>Lesley Allden (Ratae)</v>
      </c>
      <c r="I7" s="51">
        <f t="shared" si="0"/>
        <v>2.3506944444444445E-2</v>
      </c>
      <c r="J7" t="str">
        <f t="shared" si="1"/>
        <v>X</v>
      </c>
    </row>
    <row r="8" spans="1:10" ht="15">
      <c r="A8" s="46" t="s">
        <v>436</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514</v>
      </c>
      <c r="B9" s="54" t="s">
        <v>559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500</v>
      </c>
      <c r="B10" s="54" t="s">
        <v>563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441</v>
      </c>
      <c r="B11" s="54">
        <v>1254</v>
      </c>
      <c r="C11" s="48"/>
      <c r="D11" s="48"/>
      <c r="E11" s="48"/>
      <c r="F11" s="48"/>
      <c r="G11" s="48" t="s">
        <v>553</v>
      </c>
      <c r="H11" s="50" t="str">
        <f>IF($B11="","",IF($J11="X",B11,CONCATENATE(VLOOKUP(B11,Competitors!$A$2:$I$650,3,FALSE)," ",VLOOKUP(B11,Competitors!$A$2:$I$650,2,FALSE))))</f>
        <v>Paul White</v>
      </c>
      <c r="I11" s="51">
        <f t="shared" si="0"/>
        <v>0</v>
      </c>
      <c r="J11" t="str">
        <f t="shared" si="1"/>
        <v/>
      </c>
    </row>
    <row r="12" spans="1:10" ht="15">
      <c r="A12" s="46" t="s">
        <v>434</v>
      </c>
      <c r="B12" s="54">
        <v>1419</v>
      </c>
      <c r="C12" s="48"/>
      <c r="D12" s="48">
        <v>27</v>
      </c>
      <c r="E12" s="48">
        <v>11</v>
      </c>
      <c r="F12" s="48" t="s">
        <v>544</v>
      </c>
      <c r="G12" s="48"/>
      <c r="H12" s="50" t="str">
        <f>IF($B12="","",IF($J12="X",B12,CONCATENATE(VLOOKUP(B12,Competitors!$A$2:$I$650,3,FALSE)," ",VLOOKUP(B12,Competitors!$A$2:$I$650,2,FALSE))))</f>
        <v>Ethan Marsh</v>
      </c>
      <c r="I12" s="51">
        <f t="shared" si="0"/>
        <v>1.8877314814814816E-2</v>
      </c>
      <c r="J12" t="str">
        <f t="shared" si="1"/>
        <v/>
      </c>
    </row>
    <row r="13" spans="1:10" ht="15">
      <c r="A13" s="46" t="s">
        <v>431</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566</v>
      </c>
      <c r="B14" s="54" t="s">
        <v>566</v>
      </c>
      <c r="C14" s="48"/>
      <c r="D14" s="48">
        <v>38</v>
      </c>
      <c r="E14" s="48">
        <v>6</v>
      </c>
      <c r="F14" s="48" t="s">
        <v>544</v>
      </c>
      <c r="G14" s="48"/>
      <c r="H14" s="50" t="str">
        <f>IF($B14="","",IF($J14="X",B14,CONCATENATE(VLOOKUP(B14,Competitors!$A$2:$I$650,3,FALSE)," ",VLOOKUP(B14,Competitors!$A$2:$I$650,2,FALSE))))</f>
        <v>Laura Davison</v>
      </c>
      <c r="I14" s="51">
        <f t="shared" si="0"/>
        <v>2.6458333333333334E-2</v>
      </c>
      <c r="J14" t="str">
        <f t="shared" si="1"/>
        <v>X</v>
      </c>
    </row>
    <row r="15" spans="1:10" ht="15">
      <c r="A15" s="46" t="s">
        <v>422</v>
      </c>
      <c r="B15" s="54">
        <v>1407</v>
      </c>
      <c r="C15" s="48"/>
      <c r="D15" s="48">
        <v>26</v>
      </c>
      <c r="E15" s="48">
        <v>38</v>
      </c>
      <c r="F15" s="48" t="s">
        <v>544</v>
      </c>
      <c r="G15" s="48"/>
      <c r="H15" s="50" t="str">
        <f>IF($B15="","",IF($J15="X",B15,CONCATENATE(VLOOKUP(B15,Competitors!$A$2:$I$650,3,FALSE)," ",VLOOKUP(B15,Competitors!$A$2:$I$650,2,FALSE))))</f>
        <v>Colin Dobson</v>
      </c>
      <c r="I15" s="51">
        <f t="shared" si="0"/>
        <v>1.849537037037037E-2</v>
      </c>
      <c r="J15" t="str">
        <f t="shared" si="1"/>
        <v/>
      </c>
    </row>
    <row r="16" spans="1:10" ht="15">
      <c r="A16" s="46" t="s">
        <v>440</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447</v>
      </c>
      <c r="B17" s="54">
        <v>1194</v>
      </c>
      <c r="C17" s="48"/>
      <c r="D17" s="48">
        <v>31</v>
      </c>
      <c r="E17" s="48">
        <v>6</v>
      </c>
      <c r="F17" s="48" t="s">
        <v>544</v>
      </c>
      <c r="G17" s="48"/>
      <c r="H17" s="50" t="str">
        <f>IF($B17="","",IF($J17="X",B17,CONCATENATE(VLOOKUP(B17,Competitors!$A$2:$I$650,3,FALSE)," ",VLOOKUP(B17,Competitors!$A$2:$I$650,2,FALSE))))</f>
        <v>Alex Hardwicke</v>
      </c>
      <c r="I17" s="51">
        <f t="shared" si="0"/>
        <v>2.1597222222222223E-2</v>
      </c>
      <c r="J17" t="str">
        <f t="shared" si="1"/>
        <v/>
      </c>
    </row>
    <row r="18" spans="1:10" ht="15">
      <c r="A18" s="46" t="s">
        <v>437</v>
      </c>
      <c r="B18" s="54">
        <v>1195</v>
      </c>
      <c r="C18" s="48"/>
      <c r="D18" s="48">
        <v>28</v>
      </c>
      <c r="E18" s="48">
        <v>26</v>
      </c>
      <c r="F18" s="48" t="s">
        <v>544</v>
      </c>
      <c r="G18" s="48"/>
      <c r="H18" s="50" t="str">
        <f>IF($B18="","",IF($J18="X",B18,CONCATENATE(VLOOKUP(B18,Competitors!$A$2:$I$650,3,FALSE)," ",VLOOKUP(B18,Competitors!$A$2:$I$650,2,FALSE))))</f>
        <v>Charlie Hardwicke</v>
      </c>
      <c r="I18" s="51">
        <f t="shared" si="0"/>
        <v>1.9745370370370371E-2</v>
      </c>
      <c r="J18" t="str">
        <f t="shared" si="1"/>
        <v/>
      </c>
    </row>
    <row r="19" spans="1:10" ht="15">
      <c r="A19" s="46" t="s">
        <v>439</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438</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429</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432</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420</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416</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427</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412</v>
      </c>
      <c r="B26" s="54">
        <v>1144</v>
      </c>
      <c r="C26" s="48"/>
      <c r="D26" s="48">
        <v>23</v>
      </c>
      <c r="E26" s="48">
        <v>54</v>
      </c>
      <c r="F26" s="48" t="s">
        <v>544</v>
      </c>
      <c r="G26" s="48"/>
      <c r="H26" s="50" t="str">
        <f>IF($B26="","",IF($J26="X",B26,CONCATENATE(VLOOKUP(B26,Competitors!$A$2:$I$650,3,FALSE)," ",VLOOKUP(B26,Competitors!$A$2:$I$650,2,FALSE))))</f>
        <v>Jamie Kershaw</v>
      </c>
      <c r="I26" s="51">
        <f t="shared" si="0"/>
        <v>1.6597222222222222E-2</v>
      </c>
      <c r="J26" t="str">
        <f t="shared" si="1"/>
        <v/>
      </c>
    </row>
    <row r="27" spans="1:10" ht="15">
      <c r="A27" s="46" t="s">
        <v>455</v>
      </c>
      <c r="B27" s="54">
        <v>295</v>
      </c>
      <c r="C27" s="48"/>
      <c r="D27" s="48">
        <v>29</v>
      </c>
      <c r="E27" s="48">
        <v>29</v>
      </c>
      <c r="F27" s="48" t="s">
        <v>544</v>
      </c>
      <c r="G27" s="48"/>
      <c r="H27" s="50" t="str">
        <f>IF($B27="","",IF($J27="X",B27,CONCATENATE(VLOOKUP(B27,Competitors!$A$2:$I$650,3,FALSE)," ",VLOOKUP(B27,Competitors!$A$2:$I$650,2,FALSE))))</f>
        <v>Stuart Dawkins</v>
      </c>
      <c r="I27" s="51">
        <f t="shared" si="0"/>
        <v>2.0474537037037038E-2</v>
      </c>
      <c r="J27" t="str">
        <f t="shared" si="1"/>
        <v/>
      </c>
    </row>
    <row r="28" spans="1:10" ht="15">
      <c r="A28" s="46" t="s">
        <v>425</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433</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435</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408</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426</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414</v>
      </c>
      <c r="B33" s="54">
        <v>699</v>
      </c>
      <c r="C33" s="48"/>
      <c r="D33" s="48"/>
      <c r="E33" s="48"/>
      <c r="F33" s="48"/>
      <c r="G33" s="48" t="s">
        <v>553</v>
      </c>
      <c r="H33" s="50" t="str">
        <f>IF($B33="","",IF($J33="X",B33,CONCATENATE(VLOOKUP(B33,Competitors!$A$2:$I$650,3,FALSE)," ",VLOOKUP(B33,Competitors!$A$2:$I$650,2,FALSE))))</f>
        <v>Jonathan Durnin</v>
      </c>
      <c r="I33" s="51">
        <f t="shared" si="0"/>
        <v>0</v>
      </c>
      <c r="J33" t="str">
        <f t="shared" si="1"/>
        <v/>
      </c>
    </row>
    <row r="34" spans="1:10" ht="15">
      <c r="A34" s="46" t="s">
        <v>443</v>
      </c>
      <c r="B34" s="54">
        <v>1193</v>
      </c>
      <c r="C34" s="48"/>
      <c r="D34" s="48">
        <v>28</v>
      </c>
      <c r="E34" s="48">
        <v>25</v>
      </c>
      <c r="F34" s="48" t="s">
        <v>544</v>
      </c>
      <c r="G34" s="48"/>
      <c r="H34" s="50" t="str">
        <f>IF($B34="","",IF($J34="X",B34,CONCATENATE(VLOOKUP(B34,Competitors!$A$2:$I$650,3,FALSE)," ",VLOOKUP(B34,Competitors!$A$2:$I$650,2,FALSE))))</f>
        <v>Richard Hardwicke</v>
      </c>
      <c r="I34" s="51">
        <f t="shared" si="0"/>
        <v>1.9733796296296298E-2</v>
      </c>
      <c r="J34" t="str">
        <f t="shared" si="1"/>
        <v/>
      </c>
    </row>
    <row r="35" spans="1:10" ht="15">
      <c r="A35" s="46" t="s">
        <v>424</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413</v>
      </c>
      <c r="B36" s="54">
        <v>989</v>
      </c>
      <c r="C36" s="48"/>
      <c r="D36" s="48">
        <v>26</v>
      </c>
      <c r="E36" s="48">
        <v>0</v>
      </c>
      <c r="F36" s="48" t="s">
        <v>544</v>
      </c>
      <c r="G36" s="48"/>
      <c r="H36" s="50" t="str">
        <f>IF($B36="","",IF($J36="X",B36,CONCATENATE(VLOOKUP(B36,Competitors!$A$2:$I$650,3,FALSE)," ",VLOOKUP(B36,Competitors!$A$2:$I$650,2,FALSE))))</f>
        <v>Jason Williams</v>
      </c>
      <c r="I36" s="51">
        <f t="shared" si="0"/>
        <v>1.8055555555555554E-2</v>
      </c>
      <c r="J36" t="str">
        <f t="shared" si="1"/>
        <v/>
      </c>
    </row>
    <row r="37" spans="1:10" ht="15">
      <c r="A37" s="46" t="s">
        <v>512</v>
      </c>
      <c r="B37" s="54" t="s">
        <v>567</v>
      </c>
      <c r="C37" s="48"/>
      <c r="D37" s="48">
        <v>34</v>
      </c>
      <c r="E37" s="48">
        <v>21</v>
      </c>
      <c r="F37" s="48" t="s">
        <v>544</v>
      </c>
      <c r="G37" s="48"/>
      <c r="H37" s="50" t="str">
        <f>IF($B37="","",IF($J37="X",B37,CONCATENATE(VLOOKUP(B37,Competitors!$A$2:$I$650,3,FALSE)," ",VLOOKUP(B37,Competitors!$A$2:$I$650,2,FALSE))))</f>
        <v>Paul Eden (Ratae)</v>
      </c>
      <c r="I37" s="51">
        <f t="shared" si="0"/>
        <v>2.3854166666666666E-2</v>
      </c>
      <c r="J37" t="str">
        <f t="shared" si="1"/>
        <v>X</v>
      </c>
    </row>
    <row r="38" spans="1:10" ht="15">
      <c r="A38" s="46" t="s">
        <v>418</v>
      </c>
      <c r="B38" s="54">
        <v>1355</v>
      </c>
      <c r="C38" s="48"/>
      <c r="D38" s="48"/>
      <c r="E38" s="48"/>
      <c r="F38" s="48"/>
      <c r="G38" s="48" t="s">
        <v>553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Event_04</v>
      </c>
    </row>
    <row r="104" spans="1:10">
      <c r="B104" t="s">
        <v>552</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45" t="s">
        <v>461</v>
      </c>
      <c r="I1" s="45" t="s">
        <v>542</v>
      </c>
      <c r="J1" t="s">
        <v>543</v>
      </c>
    </row>
    <row r="2" spans="1:10" ht="15">
      <c r="A2" s="46" t="s">
        <v>453</v>
      </c>
      <c r="B2" s="47">
        <v>558</v>
      </c>
      <c r="C2" s="48"/>
      <c r="D2" s="48">
        <v>40</v>
      </c>
      <c r="E2" s="48">
        <v>54</v>
      </c>
      <c r="F2" s="48" t="s">
        <v>544</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448</v>
      </c>
      <c r="B3" s="47">
        <v>1298</v>
      </c>
      <c r="C3" s="48"/>
      <c r="D3" s="48">
        <v>34</v>
      </c>
      <c r="E3" s="48">
        <v>46</v>
      </c>
      <c r="F3" s="48" t="s">
        <v>544</v>
      </c>
      <c r="G3" s="48"/>
      <c r="H3" s="50" t="str">
        <f>IF($B3="","",IF($J3="X",B3,CONCATENATE(VLOOKUP(B3,Competitors!$A$2:$I$650,3,FALSE)," ",VLOOKUP(B3,Competitors!$A$2:$I$650,2,FALSE))))</f>
        <v>Jane Moore</v>
      </c>
      <c r="I3" s="51">
        <f t="shared" si="0"/>
        <v>2.4143518518518519E-2</v>
      </c>
      <c r="J3" t="str">
        <f t="shared" si="1"/>
        <v/>
      </c>
    </row>
    <row r="4" spans="1:10" ht="15">
      <c r="A4" s="46" t="s">
        <v>509</v>
      </c>
      <c r="B4" s="47" t="s">
        <v>561</v>
      </c>
      <c r="C4" s="48"/>
      <c r="D4" s="48">
        <v>30</v>
      </c>
      <c r="E4" s="48">
        <v>18</v>
      </c>
      <c r="F4" s="48" t="s">
        <v>544</v>
      </c>
      <c r="G4" s="48"/>
      <c r="H4" s="50" t="str">
        <f>IF($B4="","",IF($J4="X",B4,CONCATENATE(VLOOKUP(B4,Competitors!$A$2:$I$650,3,FALSE)," ",VLOOKUP(B4,Competitors!$A$2:$I$650,2,FALSE))))</f>
        <v>Mark Newton (Ratae)</v>
      </c>
      <c r="I4" s="51">
        <f t="shared" si="0"/>
        <v>2.1041666666666667E-2</v>
      </c>
      <c r="J4" t="str">
        <f t="shared" si="1"/>
        <v>X</v>
      </c>
    </row>
    <row r="5" spans="1:10" ht="15">
      <c r="A5" s="46" t="s">
        <v>616</v>
      </c>
      <c r="B5" s="47">
        <v>990</v>
      </c>
      <c r="C5" s="48"/>
      <c r="D5" s="48">
        <v>37</v>
      </c>
      <c r="E5" s="48">
        <v>24</v>
      </c>
      <c r="F5" s="48" t="s">
        <v>544</v>
      </c>
      <c r="G5" s="48"/>
      <c r="H5" s="50" t="str">
        <f>IF($B5="","",IF($J5="X",B5,CONCATENATE(VLOOKUP(B5,Competitors!$A$2:$I$650,3,FALSE)," ",VLOOKUP(B5,Competitors!$A$2:$I$650,2,FALSE))))</f>
        <v>Jen Hulme</v>
      </c>
      <c r="I5" s="51">
        <f t="shared" si="0"/>
        <v>2.5972222222222223E-2</v>
      </c>
      <c r="J5" t="str">
        <f t="shared" si="1"/>
        <v/>
      </c>
    </row>
    <row r="6" spans="1:10" ht="15">
      <c r="A6" s="46" t="s">
        <v>411</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500</v>
      </c>
      <c r="B7" s="47" t="s">
        <v>563</v>
      </c>
      <c r="C7" s="48"/>
      <c r="D7" s="48">
        <v>35</v>
      </c>
      <c r="E7" s="48">
        <v>55</v>
      </c>
      <c r="F7" s="48" t="s">
        <v>544</v>
      </c>
      <c r="G7" s="48"/>
      <c r="H7" s="50" t="str">
        <f>IF($B7="","",IF($J7="X",B7,CONCATENATE(VLOOKUP(B7,Competitors!$A$2:$I$650,3,FALSE)," ",VLOOKUP(B7,Competitors!$A$2:$I$650,2,FALSE))))</f>
        <v>Brian Lincoln (Ratae)</v>
      </c>
      <c r="I7" s="51">
        <f t="shared" si="0"/>
        <v>2.494212962962963E-2</v>
      </c>
      <c r="J7" t="str">
        <f t="shared" si="1"/>
        <v>X</v>
      </c>
    </row>
    <row r="8" spans="1:10" ht="15">
      <c r="A8" s="46" t="s">
        <v>501</v>
      </c>
      <c r="B8" s="47" t="s">
        <v>554</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510</v>
      </c>
      <c r="B9" s="47" t="s">
        <v>564</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418</v>
      </c>
      <c r="B10" s="47">
        <v>1355</v>
      </c>
      <c r="C10" s="48"/>
      <c r="D10" s="48">
        <v>27</v>
      </c>
      <c r="E10" s="48">
        <v>16</v>
      </c>
      <c r="F10" s="48" t="s">
        <v>544</v>
      </c>
      <c r="G10" s="48"/>
      <c r="H10" s="50" t="str">
        <f>IF($B10="","",IF($J10="X",B10,CONCATENATE(VLOOKUP(B10,Competitors!$A$2:$I$650,3, FALSE)," ",VLOOKUP(B10,Competitors!$A$2:$I$650,2,FALSE))))</f>
        <v>Aubrey Elmer</v>
      </c>
      <c r="I10" s="51">
        <f t="shared" si="0"/>
        <v>1.8935185185185187E-2</v>
      </c>
      <c r="J10" t="str">
        <f t="shared" si="1"/>
        <v/>
      </c>
    </row>
    <row r="11" spans="1:10" ht="15">
      <c r="A11" s="46" t="s">
        <v>423</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447</v>
      </c>
      <c r="B12" s="47">
        <v>1194</v>
      </c>
      <c r="C12" s="48"/>
      <c r="D12" s="48">
        <v>32</v>
      </c>
      <c r="E12" s="48">
        <v>56</v>
      </c>
      <c r="F12" s="48" t="s">
        <v>544</v>
      </c>
      <c r="G12" s="48"/>
      <c r="H12" s="50" t="str">
        <f>IF($B12="","",IF($J12="X",B12,CONCATENATE(VLOOKUP(B12,Competitors!$A$2:$I$650,3,FALSE)," ",VLOOKUP(B12,Competitors!$A$2:$I$650,2,FALSE))))</f>
        <v>Alex Hardwicke</v>
      </c>
      <c r="I12" s="51">
        <f t="shared" si="0"/>
        <v>2.2870370370370371E-2</v>
      </c>
      <c r="J12" t="str">
        <f t="shared" si="1"/>
        <v/>
      </c>
    </row>
    <row r="13" spans="1:10" ht="15">
      <c r="A13" s="46" t="s">
        <v>417</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427</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429</v>
      </c>
      <c r="B15" s="47">
        <v>1107</v>
      </c>
      <c r="C15" s="48"/>
      <c r="D15" s="48">
        <v>29</v>
      </c>
      <c r="E15" s="48">
        <v>8</v>
      </c>
      <c r="F15" s="48" t="s">
        <v>544</v>
      </c>
      <c r="G15" s="48"/>
      <c r="H15" s="50" t="str">
        <f>IF($B15="","",IF($J15="X",B15,CONCATENATE(VLOOKUP(B15,Competitors!$A$2:$I$650,3,FALSE)," ",VLOOKUP(B15,Competitors!$A$2:$I$650,2,FALSE))))</f>
        <v>Milly Pinnock</v>
      </c>
      <c r="I15" s="51">
        <f t="shared" si="0"/>
        <v>2.0231481481481482E-2</v>
      </c>
      <c r="J15" t="str">
        <f t="shared" si="1"/>
        <v/>
      </c>
    </row>
    <row r="16" spans="1:10" ht="15">
      <c r="A16" s="46" t="s">
        <v>566</v>
      </c>
      <c r="B16" s="47" t="s">
        <v>566</v>
      </c>
      <c r="C16" s="48"/>
      <c r="D16" s="48">
        <v>31</v>
      </c>
      <c r="E16" s="48">
        <v>25</v>
      </c>
      <c r="F16" s="48" t="s">
        <v>544</v>
      </c>
      <c r="G16" s="48"/>
      <c r="H16" s="50" t="str">
        <f>IF($B16="","",IF($J16="X",B16,CONCATENATE(VLOOKUP(B16,Competitors!$A$2:$I$650,3,FALSE)," ",VLOOKUP(B16,Competitors!$A$2:$I$650,2,FALSE))))</f>
        <v>Laura Davison</v>
      </c>
      <c r="I16" s="51">
        <f t="shared" si="0"/>
        <v>2.1817129629629631E-2</v>
      </c>
      <c r="J16" t="str">
        <f t="shared" si="1"/>
        <v>X</v>
      </c>
    </row>
    <row r="17" spans="1:10" ht="15">
      <c r="A17" s="46" t="s">
        <v>443</v>
      </c>
      <c r="B17" s="47">
        <v>1193</v>
      </c>
      <c r="C17" s="48"/>
      <c r="D17" s="48">
        <v>30</v>
      </c>
      <c r="E17" s="48">
        <v>48</v>
      </c>
      <c r="F17" s="48" t="s">
        <v>544</v>
      </c>
      <c r="G17" s="48"/>
      <c r="H17" s="50" t="str">
        <f>IF($B17="","",IF($J17="X",B17,CONCATENATE(VLOOKUP(B17,Competitors!$A$2:$I$650,3,FALSE)," ",VLOOKUP(B17,Competitors!$A$2:$I$650,2,FALSE))))</f>
        <v>Richard Hardwicke</v>
      </c>
      <c r="I17" s="51">
        <f t="shared" si="0"/>
        <v>2.1388888888888888E-2</v>
      </c>
      <c r="J17" t="str">
        <f t="shared" si="1"/>
        <v/>
      </c>
    </row>
    <row r="18" spans="1:10" ht="15">
      <c r="A18" s="46" t="s">
        <v>512</v>
      </c>
      <c r="B18" s="47" t="s">
        <v>567</v>
      </c>
      <c r="C18" s="48"/>
      <c r="D18" s="48">
        <v>35</v>
      </c>
      <c r="E18" s="48">
        <v>30</v>
      </c>
      <c r="F18" s="48" t="s">
        <v>544</v>
      </c>
      <c r="G18" s="48"/>
      <c r="H18" s="50" t="str">
        <f>IF($B18="","",IF($J18="X",B18,CONCATENATE(VLOOKUP(B18,Competitors!$A$2:$I$650,3,FALSE)," ",VLOOKUP(B18,Competitors!$A$2:$I$650,2,FALSE))))</f>
        <v>Paul Eden (Ratae)</v>
      </c>
      <c r="I18" s="51">
        <f t="shared" si="0"/>
        <v>2.4652777777777777E-2</v>
      </c>
      <c r="J18" t="str">
        <f t="shared" si="1"/>
        <v>X</v>
      </c>
    </row>
    <row r="19" spans="1:10" ht="15">
      <c r="A19" s="46" t="s">
        <v>440</v>
      </c>
      <c r="B19" s="47">
        <v>245</v>
      </c>
      <c r="C19" s="48"/>
      <c r="D19" s="48">
        <v>30</v>
      </c>
      <c r="E19" s="48">
        <v>41</v>
      </c>
      <c r="F19" s="48" t="s">
        <v>544</v>
      </c>
      <c r="G19" s="48"/>
      <c r="H19" s="50" t="str">
        <f>IF($B19="","",IF($J19="X",B19,CONCATENATE(VLOOKUP(B19,Competitors!$A$2:$I$650,3,FALSE)," ",VLOOKUP(B19,Competitors!$A$2:$I$650,2,FALSE))))</f>
        <v>David Reay</v>
      </c>
      <c r="I19" s="51">
        <f t="shared" si="0"/>
        <v>2.1307870370370369E-2</v>
      </c>
      <c r="J19" t="str">
        <f t="shared" si="1"/>
        <v/>
      </c>
    </row>
    <row r="20" spans="1:10" ht="15">
      <c r="A20" s="46" t="s">
        <v>432</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421</v>
      </c>
      <c r="B21" s="47">
        <v>415</v>
      </c>
      <c r="C21" s="48"/>
      <c r="D21" s="48">
        <v>27</v>
      </c>
      <c r="E21" s="48">
        <v>26</v>
      </c>
      <c r="F21" s="48" t="s">
        <v>544</v>
      </c>
      <c r="G21" s="48"/>
      <c r="H21" s="50" t="str">
        <f>IF($B21="","",IF($J21="X",B21,CONCATENATE(VLOOKUP(B21,Competitors!$A$2:$I$650,3,FALSE)," ",VLOOKUP(B21,Competitors!$A$2:$I$650,2,FALSE))))</f>
        <v>Nik Kershaw</v>
      </c>
      <c r="I21" s="51">
        <f t="shared" si="0"/>
        <v>1.9050925925925926E-2</v>
      </c>
      <c r="J21" t="str">
        <f t="shared" si="1"/>
        <v/>
      </c>
    </row>
    <row r="22" spans="1:10" ht="15">
      <c r="A22" s="46" t="s">
        <v>420</v>
      </c>
      <c r="B22" s="47">
        <v>1192</v>
      </c>
      <c r="C22" s="48"/>
      <c r="D22" s="48">
        <v>28</v>
      </c>
      <c r="E22" s="48">
        <v>43</v>
      </c>
      <c r="F22" s="48" t="s">
        <v>544</v>
      </c>
      <c r="G22" s="48"/>
      <c r="H22" s="50" t="str">
        <f>IF($B22="","",IF($J22="X",B22,CONCATENATE(VLOOKUP(B22,Competitors!$A$2:$I$650,3,FALSE)," ",VLOOKUP(B22,Competitors!$A$2:$I$650,2,FALSE))))</f>
        <v>Dale Norris</v>
      </c>
      <c r="I22" s="51">
        <f t="shared" si="0"/>
        <v>1.9942129629629629E-2</v>
      </c>
      <c r="J22" t="str">
        <f t="shared" si="1"/>
        <v/>
      </c>
    </row>
    <row r="23" spans="1:10" ht="15">
      <c r="A23" s="46" t="s">
        <v>438</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422</v>
      </c>
      <c r="B24" s="47">
        <v>1407</v>
      </c>
      <c r="C24" s="48"/>
      <c r="D24" s="48">
        <v>28</v>
      </c>
      <c r="E24" s="48">
        <v>15</v>
      </c>
      <c r="F24" s="48" t="s">
        <v>544</v>
      </c>
      <c r="G24" s="48"/>
      <c r="H24" s="50" t="str">
        <f>IF($B24="","",IF($J24="X",B24,CONCATENATE(VLOOKUP(B24,Competitors!$A$2:$I$650,3,FALSE)," ",VLOOKUP(B24,Competitors!$A$2:$I$650,2,FALSE))))</f>
        <v>Colin Dobson</v>
      </c>
      <c r="I24" s="51">
        <f t="shared" si="0"/>
        <v>1.9618055555555555E-2</v>
      </c>
      <c r="J24" t="str">
        <f t="shared" si="1"/>
        <v/>
      </c>
    </row>
    <row r="25" spans="1:10" ht="15">
      <c r="A25" s="46" t="s">
        <v>436</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415</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433</v>
      </c>
      <c r="B27" s="47">
        <v>1109</v>
      </c>
      <c r="C27" s="48"/>
      <c r="D27" s="48">
        <v>29</v>
      </c>
      <c r="E27" s="48">
        <v>43</v>
      </c>
      <c r="F27" s="48" t="s">
        <v>544</v>
      </c>
      <c r="G27" s="48"/>
      <c r="H27" s="50" t="str">
        <f>IF($B27="","",IF($J27="X",B27,CONCATENATE(VLOOKUP(B27,Competitors!$A$2:$I$650,3,FALSE)," ",VLOOKUP(B27,Competitors!$A$2:$I$650,2,FALSE))))</f>
        <v>Stuart Haycox</v>
      </c>
      <c r="I27" s="51">
        <f t="shared" si="0"/>
        <v>2.0636574074074075E-2</v>
      </c>
      <c r="J27" t="str">
        <f t="shared" si="1"/>
        <v/>
      </c>
    </row>
    <row r="28" spans="1:10" ht="15">
      <c r="A28" s="46" t="s">
        <v>414</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435</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428</v>
      </c>
      <c r="B30" s="47">
        <v>1237</v>
      </c>
      <c r="C30" s="48"/>
      <c r="D30" s="48">
        <v>28</v>
      </c>
      <c r="E30" s="48">
        <v>45</v>
      </c>
      <c r="F30" s="48" t="s">
        <v>544</v>
      </c>
      <c r="G30" s="48"/>
      <c r="H30" s="50" t="str">
        <f>IF($B30="","",IF($J30="X",B30,CONCATENATE(VLOOKUP(B30,Competitors!$A$2:$I$650,3,FALSE)," ",VLOOKUP(B30,Competitors!$A$2:$I$650,2,FALSE))))</f>
        <v>John Abbott</v>
      </c>
      <c r="I30" s="51">
        <f t="shared" si="0"/>
        <v>1.9965277777777776E-2</v>
      </c>
      <c r="J30" t="str">
        <f t="shared" si="1"/>
        <v/>
      </c>
    </row>
    <row r="31" spans="1:10" ht="15">
      <c r="A31" s="46" t="s">
        <v>527</v>
      </c>
      <c r="B31" s="47" t="s">
        <v>558</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551</v>
      </c>
      <c r="C103" t="str" cm="1">
        <f t="array" aca="1" ref="C103" ca="1">MID(CELL("filename",B1),FIND("]",CELL("filename",B1))+1,255)</f>
        <v>Event_05</v>
      </c>
    </row>
    <row r="104" spans="1:10">
      <c r="B104" t="s">
        <v>552</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448</v>
      </c>
      <c r="B2" s="47">
        <v>1298</v>
      </c>
      <c r="C2" s="48"/>
      <c r="D2" s="48"/>
      <c r="E2" s="48"/>
      <c r="F2" s="48" t="s">
        <v>544</v>
      </c>
      <c r="G2" s="48" t="s">
        <v>546</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439</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452</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475</v>
      </c>
      <c r="B5" s="47" t="s">
        <v>612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432</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501</v>
      </c>
      <c r="B7" s="47" t="s">
        <v>554</v>
      </c>
      <c r="C7" s="48"/>
      <c r="D7" s="48"/>
      <c r="E7" s="48"/>
      <c r="F7" s="48"/>
      <c r="G7" s="48" t="s">
        <v>546</v>
      </c>
      <c r="H7" s="50" t="str">
        <f>IF($B7="","",IF($J7="X",B7,CONCATENATE(VLOOKUP(B7,Competitors!$A$2:$I$650,3,FALSE)," ",VLOOKUP(B7,Competitors!$A$2:$I$650,2,FALSE))))</f>
        <v>Chris Bonsor (Ratae)</v>
      </c>
      <c r="I7" s="51">
        <f t="shared" si="0"/>
        <v>0</v>
      </c>
      <c r="J7" t="str">
        <f t="shared" si="1"/>
        <v>X</v>
      </c>
    </row>
    <row r="8" spans="1:10" ht="15">
      <c r="A8" s="46" t="s">
        <v>473</v>
      </c>
      <c r="B8" s="47" t="s">
        <v>613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441</v>
      </c>
      <c r="B9" s="47">
        <v>1254</v>
      </c>
      <c r="C9" s="48"/>
      <c r="D9" s="48"/>
      <c r="E9" s="48"/>
      <c r="F9" s="48"/>
      <c r="G9" s="48" t="s">
        <v>546</v>
      </c>
      <c r="H9" s="50" t="str">
        <f>IF($B9="","",IF($J9="X",B9,CONCATENATE(VLOOKUP(B9,Competitors!$A$2:$I$650,3,FALSE)," ",VLOOKUP(B9,Competitors!$A$2:$I$650,2,FALSE))))</f>
        <v>Paul White</v>
      </c>
      <c r="I9" s="51">
        <f t="shared" si="0"/>
        <v>0</v>
      </c>
      <c r="J9" t="str">
        <f t="shared" si="1"/>
        <v/>
      </c>
    </row>
    <row r="10" spans="1:10" ht="15">
      <c r="A10" s="46" t="s">
        <v>418</v>
      </c>
      <c r="B10" s="47">
        <v>1355</v>
      </c>
      <c r="C10" s="48">
        <v>1</v>
      </c>
      <c r="D10" s="48">
        <v>5</v>
      </c>
      <c r="E10" s="48">
        <v>44</v>
      </c>
      <c r="F10" s="48" t="s">
        <v>544</v>
      </c>
      <c r="G10" s="48"/>
      <c r="H10" s="50" t="str">
        <f>IF($B10="","",IF($J10="X",B10,CONCATENATE(VLOOKUP(B10,Competitors!$A$2:$I$650,3, FALSE)," ",VLOOKUP(B10,Competitors!$A$2:$I$650,2,FALSE))))</f>
        <v>Aubrey Elmer</v>
      </c>
      <c r="I10" s="51">
        <f t="shared" si="0"/>
        <v>4.5648148148148146E-2</v>
      </c>
      <c r="J10" t="str">
        <f t="shared" si="1"/>
        <v/>
      </c>
    </row>
    <row r="11" spans="1:10" ht="15">
      <c r="A11" s="46" t="s">
        <v>437</v>
      </c>
      <c r="B11" s="47">
        <v>1195</v>
      </c>
      <c r="C11" s="48">
        <v>1</v>
      </c>
      <c r="D11" s="48">
        <v>11</v>
      </c>
      <c r="E11" s="48">
        <v>52</v>
      </c>
      <c r="F11" s="48" t="s">
        <v>544</v>
      </c>
      <c r="G11" s="48"/>
      <c r="H11" s="50" t="str">
        <f>IF($B11="","",IF($J11="X",B11,CONCATENATE(VLOOKUP(B11,Competitors!$A$2:$I$650,3,FALSE)," ",VLOOKUP(B11,Competitors!$A$2:$I$650,2,FALSE))))</f>
        <v>Charlie Hardwicke</v>
      </c>
      <c r="I11" s="51">
        <f t="shared" si="0"/>
        <v>4.9907407407407407E-2</v>
      </c>
      <c r="J11" t="str">
        <f t="shared" si="1"/>
        <v/>
      </c>
    </row>
    <row r="12" spans="1:10" ht="15">
      <c r="A12" s="46" t="s">
        <v>443</v>
      </c>
      <c r="B12" s="47">
        <v>1193</v>
      </c>
      <c r="C12" s="48">
        <v>1</v>
      </c>
      <c r="D12" s="48">
        <v>12</v>
      </c>
      <c r="E12" s="48">
        <v>17</v>
      </c>
      <c r="F12" s="48" t="s">
        <v>544</v>
      </c>
      <c r="G12" s="48"/>
      <c r="H12" s="50" t="str">
        <f>IF($B12="","",IF($J12="X",B12,CONCATENATE(VLOOKUP(B12,Competitors!$A$2:$I$650,3,FALSE)," ",VLOOKUP(B12,Competitors!$A$2:$I$650,2,FALSE))))</f>
        <v>Richard Hardwicke</v>
      </c>
      <c r="I12" s="51">
        <f t="shared" si="0"/>
        <v>5.019675925925926E-2</v>
      </c>
      <c r="J12" t="str">
        <f t="shared" si="1"/>
        <v/>
      </c>
    </row>
    <row r="13" spans="1:10" ht="15">
      <c r="A13" s="46" t="s">
        <v>434</v>
      </c>
      <c r="B13" s="47">
        <v>1419</v>
      </c>
      <c r="C13" s="48"/>
      <c r="D13" s="48"/>
      <c r="E13" s="48"/>
      <c r="F13" s="48" t="s">
        <v>544</v>
      </c>
      <c r="G13" s="48" t="s">
        <v>546</v>
      </c>
      <c r="H13" s="50" t="str">
        <f>IF($B13="","",IF($J13="X",B13,CONCATENATE(VLOOKUP(B13,Competitors!$A$2:$I$650,3,FALSE)," ",VLOOKUP(B13,Competitors!$A$2:$I$650,2,FALSE))))</f>
        <v>Ethan Marsh</v>
      </c>
      <c r="I13" s="51">
        <f t="shared" si="0"/>
        <v>0</v>
      </c>
      <c r="J13" t="str">
        <f t="shared" si="1"/>
        <v/>
      </c>
    </row>
    <row r="14" spans="1:10" ht="15">
      <c r="A14" s="46" t="s">
        <v>422</v>
      </c>
      <c r="B14" s="47">
        <v>1407</v>
      </c>
      <c r="C14" s="48">
        <v>1</v>
      </c>
      <c r="D14" s="48">
        <v>6</v>
      </c>
      <c r="E14" s="48">
        <v>32</v>
      </c>
      <c r="F14" s="48" t="s">
        <v>544</v>
      </c>
      <c r="G14" s="48"/>
      <c r="H14" s="50" t="str">
        <f>IF($B14="","",IF($J14="X",B14,CONCATENATE(VLOOKUP(B14,Competitors!$A$2:$I$650,3,FALSE)," ",VLOOKUP(B14,Competitors!$A$2:$I$650,2,FALSE))))</f>
        <v>Colin Dobson</v>
      </c>
      <c r="I14" s="51">
        <f t="shared" si="0"/>
        <v>4.6203703703703705E-2</v>
      </c>
      <c r="J14" t="str">
        <f t="shared" si="1"/>
        <v/>
      </c>
    </row>
    <row r="15" spans="1:10" ht="15">
      <c r="A15" s="46" t="s">
        <v>411</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438</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442</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427</v>
      </c>
      <c r="B18" s="47">
        <v>915</v>
      </c>
      <c r="C18" s="48"/>
      <c r="D18" s="48"/>
      <c r="E18" s="48"/>
      <c r="F18" s="48"/>
      <c r="G18" s="48" t="s">
        <v>546</v>
      </c>
      <c r="H18" s="50" t="str">
        <f>IF($B18="","",IF($J18="X",B18,CONCATENATE(VLOOKUP(B18,Competitors!$A$2:$I$650,3,FALSE)," ",VLOOKUP(B18,Competitors!$A$2:$I$650,2,FALSE))))</f>
        <v>Julian Twynham</v>
      </c>
      <c r="I18" s="51">
        <f t="shared" si="0"/>
        <v>0</v>
      </c>
      <c r="J18" t="str">
        <f t="shared" si="1"/>
        <v/>
      </c>
    </row>
    <row r="19" spans="1:10" ht="15">
      <c r="A19" s="46" t="s">
        <v>421</v>
      </c>
      <c r="B19" s="47">
        <v>415</v>
      </c>
      <c r="C19" s="48">
        <v>1</v>
      </c>
      <c r="D19" s="48">
        <v>5</v>
      </c>
      <c r="E19" s="48">
        <v>56</v>
      </c>
      <c r="F19" s="48" t="s">
        <v>544</v>
      </c>
      <c r="G19" s="48"/>
      <c r="H19" s="50" t="str">
        <f>IF($B19="","",IF($J19="X",B19,CONCATENATE(VLOOKUP(B19,Competitors!$A$2:$I$650,3,FALSE)," ",VLOOKUP(B19,Competitors!$A$2:$I$650,2,FALSE))))</f>
        <v>Nik Kershaw</v>
      </c>
      <c r="I19" s="51">
        <f t="shared" si="0"/>
        <v>4.5787037037037036E-2</v>
      </c>
      <c r="J19" t="str">
        <f t="shared" si="1"/>
        <v/>
      </c>
    </row>
    <row r="20" spans="1:10" ht="15">
      <c r="A20" s="46" t="s">
        <v>431</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420</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426</v>
      </c>
      <c r="B22" s="47">
        <v>1055</v>
      </c>
      <c r="C22" s="48">
        <v>1</v>
      </c>
      <c r="D22" s="48">
        <v>6</v>
      </c>
      <c r="E22" s="48">
        <v>35</v>
      </c>
      <c r="F22" s="48" t="s">
        <v>544</v>
      </c>
      <c r="G22" s="48"/>
      <c r="H22" s="50" t="str">
        <f>IF($B22="","",IF($J22="X",B22,CONCATENATE(VLOOKUP(B22,Competitors!$A$2:$I$650,3,FALSE)," ",VLOOKUP(B22,Competitors!$A$2:$I$650,2,FALSE))))</f>
        <v>Austin Smith</v>
      </c>
      <c r="I22" s="51">
        <f t="shared" si="0"/>
        <v>4.6238425925925926E-2</v>
      </c>
      <c r="J22" t="str">
        <f t="shared" si="1"/>
        <v/>
      </c>
    </row>
    <row r="23" spans="1:10" ht="15">
      <c r="A23" s="46" t="s">
        <v>414</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435</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408</v>
      </c>
      <c r="B25" s="47">
        <v>1094</v>
      </c>
      <c r="C25" s="48"/>
      <c r="D25" s="48"/>
      <c r="E25" s="48"/>
      <c r="F25" s="48"/>
      <c r="G25" s="48" t="s">
        <v>568</v>
      </c>
      <c r="H25" s="50" t="str">
        <f>IF($B25="","",IF($J25="X",B25,CONCATENATE(VLOOKUP(B25,Competitors!$A$2:$I$650,3,FALSE)," ",VLOOKUP(B25,Competitors!$A$2:$I$650,2,FALSE))))</f>
        <v>Andy Poulton</v>
      </c>
      <c r="I25" s="51">
        <f t="shared" si="0"/>
        <v>0</v>
      </c>
      <c r="J25" t="str">
        <f t="shared" si="1"/>
        <v/>
      </c>
    </row>
    <row r="26" spans="1:10" ht="15">
      <c r="A26" s="46" t="s">
        <v>569</v>
      </c>
      <c r="B26" s="47" t="s">
        <v>569</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Event_06</v>
      </c>
    </row>
    <row r="104" spans="1:10">
      <c r="B104" t="s">
        <v>552</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f>15+15</f>
        <v>30</v>
      </c>
      <c r="E2" s="48">
        <f>23+11</f>
        <v>34</v>
      </c>
      <c r="F2" s="48" t="s">
        <v>544</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446</v>
      </c>
      <c r="B3" s="47">
        <v>1379</v>
      </c>
      <c r="C3" s="48"/>
      <c r="D3" s="48">
        <f>13+13</f>
        <v>26</v>
      </c>
      <c r="E3" s="48">
        <f>23+2</f>
        <v>25</v>
      </c>
      <c r="F3" s="48" t="s">
        <v>544</v>
      </c>
      <c r="G3" s="48"/>
      <c r="H3" s="50" t="str">
        <f>IF($B3="","",IF($J3="X",B3,CONCATENATE(VLOOKUP(B3,Competitors!$A$2:$I$650,3,FALSE)," ",VLOOKUP(B3,Competitors!$A$2:$I$650,2,FALSE))))</f>
        <v>Michaela Latham</v>
      </c>
      <c r="I3" s="51">
        <f t="shared" si="0"/>
        <v>1.8344907407407407E-2</v>
      </c>
      <c r="J3" t="str">
        <f t="shared" si="1"/>
        <v/>
      </c>
    </row>
    <row r="4" spans="1:10" ht="15">
      <c r="A4" s="46" t="s">
        <v>451</v>
      </c>
      <c r="B4" s="47">
        <v>1244</v>
      </c>
      <c r="C4" s="48"/>
      <c r="D4" s="48">
        <f>13+12</f>
        <v>25</v>
      </c>
      <c r="E4" s="48">
        <f>17+52</f>
        <v>69</v>
      </c>
      <c r="F4" s="48" t="s">
        <v>544</v>
      </c>
      <c r="G4" s="48"/>
      <c r="H4" s="50" t="str">
        <f>IF($B4="","",IF($J4="X",B4,CONCATENATE(VLOOKUP(B4,Competitors!$A$2:$I$650,3,FALSE)," ",VLOOKUP(B4,Competitors!$A$2:$I$650,2,FALSE))))</f>
        <v>Steven Latham</v>
      </c>
      <c r="I4" s="51">
        <f t="shared" si="0"/>
        <v>1.8159722222222223E-2</v>
      </c>
      <c r="J4" t="str">
        <f t="shared" si="1"/>
        <v/>
      </c>
    </row>
    <row r="5" spans="1:10" ht="15">
      <c r="A5" s="46" t="s">
        <v>447</v>
      </c>
      <c r="B5" s="47">
        <v>1194</v>
      </c>
      <c r="C5" s="48"/>
      <c r="D5" s="48">
        <f>13+13</f>
        <v>26</v>
      </c>
      <c r="E5" s="48">
        <f>56+34</f>
        <v>90</v>
      </c>
      <c r="F5" s="48" t="s">
        <v>544</v>
      </c>
      <c r="G5" s="48"/>
      <c r="H5" s="50" t="str">
        <f>IF($B5="","",IF($J5="X",B5,CONCATENATE(VLOOKUP(B5,Competitors!$A$2:$I$650,3,FALSE)," ",VLOOKUP(B5,Competitors!$A$2:$I$650,2,FALSE))))</f>
        <v>Alex Hardwicke</v>
      </c>
      <c r="I5" s="51">
        <f t="shared" si="0"/>
        <v>1.9097222222222224E-2</v>
      </c>
      <c r="J5" t="str">
        <f t="shared" si="1"/>
        <v/>
      </c>
    </row>
    <row r="6" spans="1:10" ht="15">
      <c r="A6" s="46" t="s">
        <v>437</v>
      </c>
      <c r="B6" s="47">
        <v>1195</v>
      </c>
      <c r="C6" s="48"/>
      <c r="D6" s="48">
        <f>12+11</f>
        <v>23</v>
      </c>
      <c r="E6" s="48">
        <f>16+55</f>
        <v>71</v>
      </c>
      <c r="F6" s="48" t="s">
        <v>544</v>
      </c>
      <c r="G6" s="48"/>
      <c r="H6" s="50" t="str">
        <f>IF($B6="","",IF($J6="X",B6,CONCATENATE(VLOOKUP(B6,Competitors!$A$2:$I$650,3,FALSE)," ",VLOOKUP(B6,Competitors!$A$2:$I$650,2,FALSE))))</f>
        <v>Charlie Hardwicke</v>
      </c>
      <c r="I6" s="51">
        <f t="shared" si="0"/>
        <v>1.6793981481481483E-2</v>
      </c>
      <c r="J6" t="str">
        <f t="shared" si="1"/>
        <v/>
      </c>
    </row>
    <row r="7" spans="1:10" ht="15">
      <c r="A7" s="46" t="s">
        <v>454</v>
      </c>
      <c r="B7" s="47">
        <v>45</v>
      </c>
      <c r="C7" s="48"/>
      <c r="D7" s="48">
        <f>16+15</f>
        <v>31</v>
      </c>
      <c r="E7" s="48">
        <v>21</v>
      </c>
      <c r="F7" s="48" t="s">
        <v>544</v>
      </c>
      <c r="G7" s="48"/>
      <c r="H7" s="50" t="str">
        <f>IF($B7="","",IF($J7="X",B7,CONCATENATE(VLOOKUP(B7,Competitors!$A$2:$I$650,3,FALSE)," ",VLOOKUP(B7,Competitors!$A$2:$I$650,2,FALSE))))</f>
        <v>Ray Taylor</v>
      </c>
      <c r="I7" s="51">
        <f t="shared" si="0"/>
        <v>2.1770833333333333E-2</v>
      </c>
      <c r="J7" t="str">
        <f t="shared" si="1"/>
        <v/>
      </c>
    </row>
    <row r="8" spans="1:10" ht="15">
      <c r="A8" s="46" t="s">
        <v>448</v>
      </c>
      <c r="B8" s="47">
        <v>1298</v>
      </c>
      <c r="C8" s="48"/>
      <c r="D8" s="48">
        <f>14+14</f>
        <v>28</v>
      </c>
      <c r="E8" s="48">
        <f>59+11</f>
        <v>70</v>
      </c>
      <c r="F8" s="48" t="s">
        <v>544</v>
      </c>
      <c r="G8" s="48"/>
      <c r="H8" s="50" t="str">
        <f>IF($B8="","",IF($J8="X",B8,CONCATENATE(VLOOKUP(B8,Competitors!$A$2:$I$650,3,FALSE)," ",VLOOKUP(B8,Competitors!$A$2:$I$650,2,FALSE))))</f>
        <v>Jane Moore</v>
      </c>
      <c r="I8" s="51">
        <f t="shared" si="0"/>
        <v>2.0254629629629629E-2</v>
      </c>
      <c r="J8" t="str">
        <f t="shared" si="1"/>
        <v/>
      </c>
    </row>
    <row r="9" spans="1:10" ht="15">
      <c r="A9" s="46" t="s">
        <v>459</v>
      </c>
      <c r="B9" s="47">
        <v>742</v>
      </c>
      <c r="C9" s="48"/>
      <c r="D9" s="48">
        <f>15+13</f>
        <v>28</v>
      </c>
      <c r="E9" s="48">
        <f>1+54</f>
        <v>55</v>
      </c>
      <c r="F9" s="48" t="s">
        <v>544</v>
      </c>
      <c r="G9" s="48"/>
      <c r="H9" s="50" t="str">
        <f>IF($B9="","",IF($J9="X",B9,CONCATENATE(VLOOKUP(B9,Competitors!$A$2:$I$650,3,FALSE)," ",VLOOKUP(B9,Competitors!$A$2:$I$650,2,FALSE))))</f>
        <v>Claire Moore</v>
      </c>
      <c r="I9" s="51">
        <f t="shared" si="0"/>
        <v>2.0081018518518519E-2</v>
      </c>
      <c r="J9" t="str">
        <f t="shared" si="1"/>
        <v/>
      </c>
    </row>
    <row r="10" spans="1:10" ht="15">
      <c r="A10" s="46" t="s">
        <v>443</v>
      </c>
      <c r="B10" s="47">
        <v>1193</v>
      </c>
      <c r="C10" s="48"/>
      <c r="D10" s="48">
        <f>12+12</f>
        <v>24</v>
      </c>
      <c r="E10" s="48">
        <f>40+19</f>
        <v>59</v>
      </c>
      <c r="F10" s="48" t="s">
        <v>544</v>
      </c>
      <c r="G10" s="48"/>
      <c r="H10" s="50" t="str">
        <f>IF($B10="","",IF($J10="X",B10,CONCATENATE(VLOOKUP(B10,Competitors!$A$2:$I$650,3, FALSE)," ",VLOOKUP(B10,Competitors!$A$2:$I$650,2,FALSE))))</f>
        <v>Richard Hardwicke</v>
      </c>
      <c r="I10" s="51">
        <f t="shared" si="0"/>
        <v>1.7349537037037038E-2</v>
      </c>
      <c r="J10" t="str">
        <f t="shared" si="1"/>
        <v/>
      </c>
    </row>
    <row r="11" spans="1:10" ht="15">
      <c r="A11" s="46" t="s">
        <v>444</v>
      </c>
      <c r="B11" s="47">
        <v>1386</v>
      </c>
      <c r="C11" s="48"/>
      <c r="D11" s="48">
        <f>12+12</f>
        <v>24</v>
      </c>
      <c r="E11" s="48">
        <f>56+15</f>
        <v>71</v>
      </c>
      <c r="F11" s="48" t="s">
        <v>544</v>
      </c>
      <c r="G11" s="48"/>
      <c r="H11" s="50" t="str">
        <f>IF($B11="","",IF($J11="X",B11,CONCATENATE(VLOOKUP(B11,Competitors!$A$2:$I$650,3,FALSE)," ",VLOOKUP(B11,Competitors!$A$2:$I$650,2,FALSE))))</f>
        <v>Mea Moore</v>
      </c>
      <c r="I11" s="51">
        <f t="shared" si="0"/>
        <v>1.7488425925925925E-2</v>
      </c>
      <c r="J11" t="str">
        <f t="shared" si="1"/>
        <v/>
      </c>
    </row>
    <row r="12" spans="1:10" ht="15">
      <c r="A12" s="46" t="s">
        <v>425</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410</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440</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417</v>
      </c>
      <c r="B15" s="47">
        <v>1152</v>
      </c>
      <c r="C15" s="48"/>
      <c r="D15" s="48">
        <f>11+11</f>
        <v>22</v>
      </c>
      <c r="E15" s="48">
        <f>30+2</f>
        <v>32</v>
      </c>
      <c r="F15" s="48" t="s">
        <v>544</v>
      </c>
      <c r="G15" s="48"/>
      <c r="H15" s="50" t="str">
        <f>IF($B15="","",IF($J15="X",B15,CONCATENATE(VLOOKUP(B15,Competitors!$A$2:$I$650,3,FALSE)," ",VLOOKUP(B15,Competitors!$A$2:$I$650,2,FALSE))))</f>
        <v>Ruby Isaac</v>
      </c>
      <c r="I15" s="51">
        <f t="shared" si="0"/>
        <v>1.5648148148148147E-2</v>
      </c>
      <c r="J15" t="str">
        <f t="shared" si="1"/>
        <v/>
      </c>
    </row>
    <row r="16" spans="1:10" ht="15">
      <c r="A16" s="46" t="s">
        <v>431</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429</v>
      </c>
      <c r="B17" s="47">
        <v>1107</v>
      </c>
      <c r="C17" s="48"/>
      <c r="D17" s="48">
        <f>12+11</f>
        <v>23</v>
      </c>
      <c r="E17" s="48">
        <f>20+53</f>
        <v>73</v>
      </c>
      <c r="F17" s="48" t="s">
        <v>544</v>
      </c>
      <c r="G17" s="48"/>
      <c r="H17" s="50" t="str">
        <f>IF($B17="","",IF($J17="X",B17,CONCATENATE(VLOOKUP(B17,Competitors!$A$2:$I$650,3,FALSE)," ",VLOOKUP(B17,Competitors!$A$2:$I$650,2,FALSE))))</f>
        <v>Milly Pinnock</v>
      </c>
      <c r="I17" s="51">
        <f t="shared" si="0"/>
        <v>1.681712962962963E-2</v>
      </c>
      <c r="J17" t="str">
        <f t="shared" si="1"/>
        <v/>
      </c>
    </row>
    <row r="18" spans="1:10" ht="15">
      <c r="A18" s="46" t="s">
        <v>418</v>
      </c>
      <c r="B18" s="47">
        <v>1355</v>
      </c>
      <c r="C18" s="48"/>
      <c r="D18" s="48">
        <f>11+10</f>
        <v>21</v>
      </c>
      <c r="E18" s="48">
        <f>27+59</f>
        <v>86</v>
      </c>
      <c r="F18" s="48" t="s">
        <v>544</v>
      </c>
      <c r="G18" s="48"/>
      <c r="H18" s="50" t="str">
        <f>IF($B18="","",IF($J18="X",B18,CONCATENATE(VLOOKUP(B18,Competitors!$A$2:$I$650,3,FALSE)," ",VLOOKUP(B18,Competitors!$A$2:$I$650,2,FALSE))))</f>
        <v>Aubrey Elmer</v>
      </c>
      <c r="I18" s="51">
        <f t="shared" si="0"/>
        <v>1.5578703703703704E-2</v>
      </c>
      <c r="J18" t="str">
        <f t="shared" si="1"/>
        <v/>
      </c>
    </row>
    <row r="19" spans="1:10" ht="15">
      <c r="A19" s="46" t="s">
        <v>436</v>
      </c>
      <c r="B19" s="47">
        <v>203</v>
      </c>
      <c r="C19" s="48"/>
      <c r="D19" s="48"/>
      <c r="E19" s="48"/>
      <c r="F19" s="48"/>
      <c r="G19" s="48" t="s">
        <v>568</v>
      </c>
      <c r="H19" s="50" t="str">
        <f>IF($B19="","",IF($J19="X",B19,CONCATENATE(VLOOKUP(B19,Competitors!$A$2:$I$650,3,FALSE)," ",VLOOKUP(B19,Competitors!$A$2:$I$650,2,FALSE))))</f>
        <v>Adrian Killworth</v>
      </c>
      <c r="I19" s="51">
        <f t="shared" si="0"/>
        <v>0</v>
      </c>
      <c r="J19" t="str">
        <f t="shared" si="1"/>
        <v/>
      </c>
    </row>
    <row r="20" spans="1:10" ht="15">
      <c r="A20" s="46" t="s">
        <v>442</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433</v>
      </c>
      <c r="B21" s="47">
        <v>1109</v>
      </c>
      <c r="C21" s="48"/>
      <c r="D21" s="48">
        <f>12+11</f>
        <v>23</v>
      </c>
      <c r="E21" s="48">
        <f>31+58</f>
        <v>89</v>
      </c>
      <c r="F21" s="48" t="s">
        <v>544</v>
      </c>
      <c r="G21" s="48"/>
      <c r="H21" s="50" t="str">
        <f>IF($B21="","",IF($J21="X",B21,CONCATENATE(VLOOKUP(B21,Competitors!$A$2:$I$650,3,FALSE)," ",VLOOKUP(B21,Competitors!$A$2:$I$650,2,FALSE))))</f>
        <v>Stuart Haycox</v>
      </c>
      <c r="I21" s="51">
        <f t="shared" si="0"/>
        <v>1.7002314814814814E-2</v>
      </c>
      <c r="J21" t="str">
        <f t="shared" si="1"/>
        <v/>
      </c>
    </row>
    <row r="22" spans="1:10" ht="15">
      <c r="A22" s="46" t="s">
        <v>422</v>
      </c>
      <c r="B22" s="47">
        <v>1407</v>
      </c>
      <c r="C22" s="48"/>
      <c r="D22" s="48">
        <f>11+11</f>
        <v>22</v>
      </c>
      <c r="E22" s="48">
        <f>44+4</f>
        <v>48</v>
      </c>
      <c r="F22" s="48" t="s">
        <v>544</v>
      </c>
      <c r="G22" s="48"/>
      <c r="H22" s="50" t="str">
        <f>IF($B22="","",IF($J22="X",B22,CONCATENATE(VLOOKUP(B22,Competitors!$A$2:$I$650,3,FALSE)," ",VLOOKUP(B22,Competitors!$A$2:$I$650,2,FALSE))))</f>
        <v>Colin Dobson</v>
      </c>
      <c r="I22" s="51">
        <f t="shared" si="0"/>
        <v>1.5833333333333335E-2</v>
      </c>
      <c r="J22" t="str">
        <f t="shared" si="1"/>
        <v/>
      </c>
    </row>
    <row r="23" spans="1:10" ht="15">
      <c r="A23" s="46" t="s">
        <v>411</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432</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438</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421</v>
      </c>
      <c r="B26" s="47">
        <v>415</v>
      </c>
      <c r="C26" s="48"/>
      <c r="D26" s="48">
        <f>11+11</f>
        <v>22</v>
      </c>
      <c r="E26" s="48">
        <f>44+8</f>
        <v>52</v>
      </c>
      <c r="F26" s="48" t="s">
        <v>544</v>
      </c>
      <c r="G26" s="48"/>
      <c r="H26" s="50" t="str">
        <f>IF($B26="","",IF($J26="X",B26,CONCATENATE(VLOOKUP(B26,Competitors!$A$2:$I$650,3,FALSE)," ",VLOOKUP(B26,Competitors!$A$2:$I$650,2,FALSE))))</f>
        <v>Nik Kershaw</v>
      </c>
      <c r="I26" s="51">
        <f t="shared" si="0"/>
        <v>1.5879629629629629E-2</v>
      </c>
      <c r="J26" t="str">
        <f t="shared" si="1"/>
        <v/>
      </c>
    </row>
    <row r="27" spans="1:10" ht="15">
      <c r="A27" s="46" t="s">
        <v>428</v>
      </c>
      <c r="B27" s="47">
        <v>1237</v>
      </c>
      <c r="C27" s="48"/>
      <c r="D27" s="48">
        <f>12+12</f>
        <v>24</v>
      </c>
      <c r="E27" s="48">
        <f>36+5</f>
        <v>41</v>
      </c>
      <c r="F27" s="48" t="s">
        <v>544</v>
      </c>
      <c r="G27" s="48"/>
      <c r="H27" s="50" t="str">
        <f>IF($B27="","",IF($J27="X",B27,CONCATENATE(VLOOKUP(B27,Competitors!$A$2:$I$650,3,FALSE)," ",VLOOKUP(B27,Competitors!$A$2:$I$650,2,FALSE))))</f>
        <v>John Abbott</v>
      </c>
      <c r="I27" s="51">
        <f t="shared" si="0"/>
        <v>1.7141203703703704E-2</v>
      </c>
      <c r="J27" t="str">
        <f t="shared" si="1"/>
        <v/>
      </c>
    </row>
    <row r="28" spans="1:10" ht="15">
      <c r="A28" s="46" t="s">
        <v>408</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415</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420</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414</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435</v>
      </c>
      <c r="B32" s="47">
        <v>846</v>
      </c>
      <c r="C32" s="48"/>
      <c r="D32" s="48"/>
      <c r="E32" s="48"/>
      <c r="F32" s="48"/>
      <c r="G32" s="48" t="s">
        <v>568</v>
      </c>
      <c r="H32" s="50" t="str">
        <f>IF($B32="","",IF($J32="X",B32,CONCATENATE(VLOOKUP(B32,Competitors!$A$2:$I$650,3,FALSE)," ",VLOOKUP(B32,Competitors!$A$2:$I$650,2,FALSE))))</f>
        <v>Roger Kockelbergh</v>
      </c>
      <c r="I32" s="51">
        <f t="shared" si="0"/>
        <v>0</v>
      </c>
      <c r="J32" t="str">
        <f t="shared" si="1"/>
        <v/>
      </c>
    </row>
    <row r="33" spans="1:10" ht="15">
      <c r="A33" s="46" t="s">
        <v>445</v>
      </c>
      <c r="B33" s="47">
        <v>1242</v>
      </c>
      <c r="C33" s="48"/>
      <c r="D33" s="48">
        <f>13+12</f>
        <v>25</v>
      </c>
      <c r="E33" s="48">
        <f>1+17</f>
        <v>18</v>
      </c>
      <c r="F33" s="48" t="s">
        <v>544</v>
      </c>
      <c r="G33" s="48"/>
      <c r="H33" s="50" t="str">
        <f>IF($B33="","",IF($J33="X",B33,CONCATENATE(VLOOKUP(B33,Competitors!$A$2:$I$650,3,FALSE)," ",VLOOKUP(B33,Competitors!$A$2:$I$650,2,FALSE))))</f>
        <v>Mike Sirett</v>
      </c>
      <c r="I33" s="51">
        <f t="shared" si="0"/>
        <v>1.7569444444444443E-2</v>
      </c>
      <c r="J33" t="str">
        <f t="shared" si="1"/>
        <v/>
      </c>
    </row>
    <row r="34" spans="1:10" ht="15">
      <c r="A34" s="46" t="s">
        <v>413</v>
      </c>
      <c r="B34" s="47">
        <v>989</v>
      </c>
      <c r="C34" s="48"/>
      <c r="D34" s="48">
        <f>11+10</f>
        <v>21</v>
      </c>
      <c r="E34" s="48">
        <f>29+52</f>
        <v>81</v>
      </c>
      <c r="F34" s="48" t="s">
        <v>544</v>
      </c>
      <c r="G34" s="48"/>
      <c r="H34" s="50" t="str">
        <f>IF($B34="","",IF($J34="X",B34,CONCATENATE(VLOOKUP(B34,Competitors!$A$2:$I$650,3,FALSE)," ",VLOOKUP(B34,Competitors!$A$2:$I$650,2,FALSE))))</f>
        <v>Jason Williams</v>
      </c>
      <c r="I34" s="51">
        <f t="shared" si="0"/>
        <v>1.5520833333333333E-2</v>
      </c>
      <c r="J34" t="str">
        <f t="shared" si="1"/>
        <v/>
      </c>
    </row>
    <row r="35" spans="1:10" ht="15">
      <c r="A35" s="46" t="s">
        <v>441</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Event_07</v>
      </c>
    </row>
    <row r="104" spans="1:10">
      <c r="B104" t="s">
        <v>552</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451</v>
      </c>
      <c r="B2" s="47">
        <v>1244</v>
      </c>
      <c r="C2" s="48"/>
      <c r="D2" s="48">
        <v>30</v>
      </c>
      <c r="E2" s="48">
        <v>3</v>
      </c>
      <c r="F2" s="48" t="s">
        <v>544</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459</v>
      </c>
      <c r="B3" s="47">
        <v>742</v>
      </c>
      <c r="C3" s="48"/>
      <c r="D3" s="48">
        <v>33</v>
      </c>
      <c r="E3" s="48">
        <v>40</v>
      </c>
      <c r="F3" s="48" t="s">
        <v>544</v>
      </c>
      <c r="G3" s="48"/>
      <c r="H3" s="50" t="str">
        <f>IF($B3="","",IF($J3="X",B3,CONCATENATE(VLOOKUP(B3,Competitors!$A$2:$I$650,3,FALSE)," ",VLOOKUP(B3,Competitors!$A$2:$I$650,2,FALSE))))</f>
        <v>Claire Moore</v>
      </c>
      <c r="I3" s="51">
        <f t="shared" si="0"/>
        <v>2.3379629629629629E-2</v>
      </c>
      <c r="J3" t="str">
        <f t="shared" si="1"/>
        <v/>
      </c>
    </row>
    <row r="4" spans="1:10" ht="15">
      <c r="A4" s="46" t="s">
        <v>616</v>
      </c>
      <c r="B4" s="47">
        <v>990</v>
      </c>
      <c r="C4" s="48"/>
      <c r="D4" s="48">
        <v>34</v>
      </c>
      <c r="E4" s="48">
        <v>52</v>
      </c>
      <c r="F4" s="48" t="s">
        <v>544</v>
      </c>
      <c r="G4" s="48"/>
      <c r="H4" s="50" t="str">
        <f>IF($B4="","",IF($J4="X",B4,CONCATENATE(VLOOKUP(B4,Competitors!$A$2:$I$650,3,FALSE)," ",VLOOKUP(B4,Competitors!$A$2:$I$650,2,FALSE))))</f>
        <v>Jen Hulme</v>
      </c>
      <c r="I4" s="51">
        <f t="shared" si="0"/>
        <v>2.4212962962962964E-2</v>
      </c>
      <c r="J4" t="str">
        <f t="shared" si="1"/>
        <v/>
      </c>
    </row>
    <row r="5" spans="1:10" ht="15">
      <c r="A5" s="46" t="s">
        <v>450</v>
      </c>
      <c r="B5" s="47">
        <v>1377</v>
      </c>
      <c r="C5" s="48"/>
      <c r="D5" s="48"/>
      <c r="E5" s="48"/>
      <c r="F5" s="48" t="s">
        <v>544</v>
      </c>
      <c r="G5" s="48" t="s">
        <v>546</v>
      </c>
      <c r="H5" s="50" t="str">
        <f>IF($B5="","",IF($J5="X",B5,CONCATENATE(VLOOKUP(B5,Competitors!$A$2:$I$650,3,FALSE)," ",VLOOKUP(B5,Competitors!$A$2:$I$650,2,FALSE))))</f>
        <v>Lucy Fraser</v>
      </c>
      <c r="I5" s="51">
        <f t="shared" si="0"/>
        <v>0</v>
      </c>
      <c r="J5" t="str">
        <f t="shared" si="1"/>
        <v/>
      </c>
    </row>
    <row r="6" spans="1:10" ht="15">
      <c r="A6" s="46" t="s">
        <v>446</v>
      </c>
      <c r="B6" s="47">
        <v>1379</v>
      </c>
      <c r="C6" s="48"/>
      <c r="D6" s="48">
        <v>29</v>
      </c>
      <c r="E6" s="48">
        <v>27</v>
      </c>
      <c r="F6" s="48" t="s">
        <v>544</v>
      </c>
      <c r="G6" s="48"/>
      <c r="H6" s="50" t="str">
        <f>IF($B6="","",IF($J6="X",B6,CONCATENATE(VLOOKUP(B6,Competitors!$A$2:$I$650,3,FALSE)," ",VLOOKUP(B6,Competitors!$A$2:$I$650,2,FALSE))))</f>
        <v>Michaela Latham</v>
      </c>
      <c r="I6" s="51">
        <f t="shared" si="0"/>
        <v>2.045138888888889E-2</v>
      </c>
      <c r="J6" t="str">
        <f t="shared" si="1"/>
        <v/>
      </c>
    </row>
    <row r="7" spans="1:10" ht="15">
      <c r="A7" s="46" t="s">
        <v>460</v>
      </c>
      <c r="B7" s="47">
        <v>7</v>
      </c>
      <c r="C7" s="48"/>
      <c r="D7" s="48">
        <v>34</v>
      </c>
      <c r="E7" s="48">
        <v>17</v>
      </c>
      <c r="F7" s="48" t="s">
        <v>544</v>
      </c>
      <c r="G7" s="48"/>
      <c r="H7" s="50" t="str">
        <f>IF($B7="","",IF($J7="X",B7,CONCATENATE(VLOOKUP(B7,Competitors!$A$2:$I$650,3,FALSE)," ",VLOOKUP(B7,Competitors!$A$2:$I$650,2,FALSE))))</f>
        <v>Vic Barnett</v>
      </c>
      <c r="I7" s="51">
        <f t="shared" si="0"/>
        <v>2.3807870370370372E-2</v>
      </c>
      <c r="J7" t="str">
        <f t="shared" si="1"/>
        <v/>
      </c>
    </row>
    <row r="8" spans="1:10" ht="15">
      <c r="A8" s="46" t="s">
        <v>447</v>
      </c>
      <c r="B8" s="47">
        <v>1194</v>
      </c>
      <c r="C8" s="48"/>
      <c r="D8" s="48">
        <v>31</v>
      </c>
      <c r="E8" s="48">
        <v>7</v>
      </c>
      <c r="F8" s="48" t="s">
        <v>544</v>
      </c>
      <c r="G8" s="48"/>
      <c r="H8" s="50" t="str">
        <f>IF($B8="","",IF($J8="X",B8,CONCATENATE(VLOOKUP(B8,Competitors!$A$2:$I$650,3,FALSE)," ",VLOOKUP(B8,Competitors!$A$2:$I$650,2,FALSE))))</f>
        <v>Alex Hardwicke</v>
      </c>
      <c r="I8" s="51">
        <f t="shared" si="0"/>
        <v>2.1608796296296296E-2</v>
      </c>
      <c r="J8" t="str">
        <f t="shared" si="1"/>
        <v/>
      </c>
    </row>
    <row r="9" spans="1:10" ht="15">
      <c r="A9" s="46" t="s">
        <v>437</v>
      </c>
      <c r="B9" s="47">
        <v>1195</v>
      </c>
      <c r="C9" s="48"/>
      <c r="D9" s="48">
        <v>27</v>
      </c>
      <c r="E9" s="48">
        <v>48</v>
      </c>
      <c r="F9" s="48" t="s">
        <v>544</v>
      </c>
      <c r="G9" s="48"/>
      <c r="H9" s="50" t="str">
        <f>IF($B9="","",IF($J9="X",B9,CONCATENATE(VLOOKUP(B9,Competitors!$A$2:$I$650,3,FALSE)," ",VLOOKUP(B9,Competitors!$A$2:$I$650,2,FALSE))))</f>
        <v>Charlie Hardwicke</v>
      </c>
      <c r="I9" s="51">
        <f t="shared" si="0"/>
        <v>1.9305555555555555E-2</v>
      </c>
      <c r="J9" t="str">
        <f t="shared" si="1"/>
        <v/>
      </c>
    </row>
    <row r="10" spans="1:10" ht="15">
      <c r="A10" s="46" t="s">
        <v>443</v>
      </c>
      <c r="B10" s="47">
        <v>1193</v>
      </c>
      <c r="C10" s="48"/>
      <c r="D10" s="48">
        <v>28</v>
      </c>
      <c r="E10" s="48">
        <v>18</v>
      </c>
      <c r="F10" s="48" t="s">
        <v>544</v>
      </c>
      <c r="G10" s="48"/>
      <c r="H10" s="50" t="str">
        <f>IF($B10="","",IF($J10="X",B10,CONCATENATE(VLOOKUP(B10,Competitors!$A$2:$I$650,3, FALSE)," ",VLOOKUP(B10,Competitors!$A$2:$I$650,2,FALSE))))</f>
        <v>Richard Hardwicke</v>
      </c>
      <c r="I10" s="51">
        <f t="shared" si="0"/>
        <v>1.9652777777777779E-2</v>
      </c>
      <c r="J10" t="str">
        <f t="shared" si="1"/>
        <v/>
      </c>
    </row>
    <row r="11" spans="1:10" ht="15">
      <c r="A11" s="46" t="s">
        <v>423</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418</v>
      </c>
      <c r="B12" s="47">
        <v>1355</v>
      </c>
      <c r="C12" s="48"/>
      <c r="D12" s="48"/>
      <c r="E12" s="48"/>
      <c r="F12" s="48" t="s">
        <v>544</v>
      </c>
      <c r="G12" s="48" t="s">
        <v>546</v>
      </c>
      <c r="H12" s="50" t="str">
        <f>IF($B12="","",IF($J12="X",B12,CONCATENATE(VLOOKUP(B12,Competitors!$A$2:$I$650,3,FALSE)," ",VLOOKUP(B12,Competitors!$A$2:$I$650,2,FALSE))))</f>
        <v>Aubrey Elmer</v>
      </c>
      <c r="I12" s="51">
        <f t="shared" si="0"/>
        <v>0</v>
      </c>
      <c r="J12" t="str">
        <f t="shared" si="1"/>
        <v/>
      </c>
    </row>
    <row r="13" spans="1:10" ht="15">
      <c r="A13" s="46" t="s">
        <v>454</v>
      </c>
      <c r="B13" s="47">
        <v>45</v>
      </c>
      <c r="C13" s="48"/>
      <c r="D13" s="48"/>
      <c r="E13" s="48"/>
      <c r="F13" s="48" t="s">
        <v>544</v>
      </c>
      <c r="G13" s="48" t="s">
        <v>546</v>
      </c>
      <c r="H13" s="50" t="str">
        <f>IF($B13="","",IF($J13="X",B13,CONCATENATE(VLOOKUP(B13,Competitors!$A$2:$I$650,3,FALSE)," ",VLOOKUP(B13,Competitors!$A$2:$I$650,2,FALSE))))</f>
        <v>Ray Taylor</v>
      </c>
      <c r="I13" s="51">
        <f t="shared" si="0"/>
        <v>0</v>
      </c>
      <c r="J13" t="str">
        <f t="shared" si="1"/>
        <v/>
      </c>
    </row>
    <row r="14" spans="1:10" ht="15">
      <c r="A14" s="46" t="s">
        <v>420</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433</v>
      </c>
      <c r="B15" s="47">
        <v>1109</v>
      </c>
      <c r="C15" s="48"/>
      <c r="D15" s="48">
        <v>28</v>
      </c>
      <c r="E15" s="48">
        <v>6</v>
      </c>
      <c r="F15" s="48" t="s">
        <v>544</v>
      </c>
      <c r="G15" s="48"/>
      <c r="H15" s="50" t="str">
        <f>IF($B15="","",IF($J15="X",B15,CONCATENATE(VLOOKUP(B15,Competitors!$A$2:$I$650,3,FALSE)," ",VLOOKUP(B15,Competitors!$A$2:$I$650,2,FALSE))))</f>
        <v>Stuart Haycox</v>
      </c>
      <c r="I15" s="51">
        <f t="shared" si="0"/>
        <v>1.951388888888889E-2</v>
      </c>
      <c r="J15" t="str">
        <f t="shared" si="1"/>
        <v/>
      </c>
    </row>
    <row r="16" spans="1:10" ht="15">
      <c r="A16" s="46" t="s">
        <v>411</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429</v>
      </c>
      <c r="B17" s="47">
        <v>1107</v>
      </c>
      <c r="C17" s="48"/>
      <c r="D17" s="48"/>
      <c r="E17" s="48"/>
      <c r="F17" s="48"/>
      <c r="G17" s="48" t="s">
        <v>546</v>
      </c>
      <c r="H17" s="50" t="str">
        <f>IF($B17="","",IF($J17="X",B17,CONCATENATE(VLOOKUP(B17,Competitors!$A$2:$I$650,3,FALSE)," ",VLOOKUP(B17,Competitors!$A$2:$I$650,2,FALSE))))</f>
        <v>Milly Pinnock</v>
      </c>
      <c r="I17" s="51">
        <f t="shared" si="0"/>
        <v>0</v>
      </c>
      <c r="J17" t="str">
        <f t="shared" si="1"/>
        <v/>
      </c>
    </row>
    <row r="18" spans="1:10" ht="15">
      <c r="A18" s="46" t="s">
        <v>509</v>
      </c>
      <c r="B18" s="47" t="s">
        <v>561</v>
      </c>
      <c r="C18" s="48"/>
      <c r="D18" s="48">
        <v>28</v>
      </c>
      <c r="E18" s="48">
        <v>2</v>
      </c>
      <c r="F18" s="48" t="s">
        <v>544</v>
      </c>
      <c r="G18" s="48"/>
      <c r="H18" s="50" t="str">
        <f>IF($B18="","",IF($J18="X",B18,CONCATENATE(VLOOKUP(B18,Competitors!$A$2:$I$650,3,FALSE)," ",VLOOKUP(B18,Competitors!$A$2:$I$650,2,FALSE))))</f>
        <v>Mark Newton (Ratae)</v>
      </c>
      <c r="I18" s="51">
        <f t="shared" si="0"/>
        <v>1.9467592592592592E-2</v>
      </c>
      <c r="J18" t="str">
        <f t="shared" si="1"/>
        <v>X</v>
      </c>
    </row>
    <row r="19" spans="1:10" ht="15">
      <c r="A19" s="46" t="s">
        <v>431</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436</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439</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415</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430</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427</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412</v>
      </c>
      <c r="B25" s="47">
        <v>1144</v>
      </c>
      <c r="C25" s="48"/>
      <c r="D25" s="48">
        <v>26</v>
      </c>
      <c r="E25" s="48">
        <v>37</v>
      </c>
      <c r="F25" s="48" t="s">
        <v>544</v>
      </c>
      <c r="G25" s="48"/>
      <c r="H25" s="50" t="str">
        <f>IF($B25="","",IF($J25="X",B25,CONCATENATE(VLOOKUP(B25,Competitors!$A$2:$I$650,3,FALSE)," ",VLOOKUP(B25,Competitors!$A$2:$I$650,2,FALSE))))</f>
        <v>Jamie Kershaw</v>
      </c>
      <c r="I25" s="51">
        <f t="shared" si="0"/>
        <v>1.8483796296296297E-2</v>
      </c>
      <c r="J25" t="str">
        <f t="shared" si="1"/>
        <v/>
      </c>
    </row>
    <row r="26" spans="1:10" ht="15">
      <c r="A26" s="46" t="s">
        <v>421</v>
      </c>
      <c r="B26" s="47">
        <v>415</v>
      </c>
      <c r="C26" s="48"/>
      <c r="D26" s="48">
        <v>26</v>
      </c>
      <c r="E26" s="48">
        <v>44</v>
      </c>
      <c r="F26" s="48" t="s">
        <v>544</v>
      </c>
      <c r="G26" s="48"/>
      <c r="H26" s="50" t="str">
        <f>IF($B26="","",IF($J26="X",B26,CONCATENATE(VLOOKUP(B26,Competitors!$A$2:$I$650,3,FALSE)," ",VLOOKUP(B26,Competitors!$A$2:$I$650,2,FALSE))))</f>
        <v>Nik Kershaw</v>
      </c>
      <c r="I26" s="51">
        <f t="shared" si="0"/>
        <v>1.8564814814814815E-2</v>
      </c>
      <c r="J26" t="str">
        <f t="shared" si="1"/>
        <v/>
      </c>
    </row>
    <row r="27" spans="1:10" ht="15">
      <c r="A27" s="46" t="s">
        <v>453</v>
      </c>
      <c r="B27" s="47">
        <v>558</v>
      </c>
      <c r="C27" s="48"/>
      <c r="D27" s="48"/>
      <c r="E27" s="48"/>
      <c r="F27" s="48" t="s">
        <v>544</v>
      </c>
      <c r="G27" s="48" t="s">
        <v>546</v>
      </c>
      <c r="H27" s="50" t="str">
        <f>IF($B27="","",IF($J27="X",B27,CONCATENATE(VLOOKUP(B27,Competitors!$A$2:$I$650,3,FALSE)," ",VLOOKUP(B27,Competitors!$A$2:$I$650,2,FALSE))))</f>
        <v>Andrew Weatherby</v>
      </c>
      <c r="I27" s="51">
        <f t="shared" si="0"/>
        <v>0</v>
      </c>
      <c r="J27" t="str">
        <f t="shared" si="1"/>
        <v/>
      </c>
    </row>
    <row r="28" spans="1:10" ht="15">
      <c r="A28" s="46" t="s">
        <v>413</v>
      </c>
      <c r="B28" s="47">
        <v>989</v>
      </c>
      <c r="C28" s="48"/>
      <c r="D28" s="48">
        <v>24</v>
      </c>
      <c r="E28" s="48">
        <v>45</v>
      </c>
      <c r="F28" s="48" t="s">
        <v>544</v>
      </c>
      <c r="G28" s="48"/>
      <c r="H28" s="50" t="str">
        <f>IF($B28="","",IF($J28="X",B28,CONCATENATE(VLOOKUP(B28,Competitors!$A$2:$I$650,3,FALSE)," ",VLOOKUP(B28,Competitors!$A$2:$I$650,2,FALSE))))</f>
        <v>Jason Williams</v>
      </c>
      <c r="I28" s="51">
        <f t="shared" si="0"/>
        <v>1.7187500000000001E-2</v>
      </c>
      <c r="J28" t="str">
        <f t="shared" si="1"/>
        <v/>
      </c>
    </row>
    <row r="29" spans="1:10" ht="15">
      <c r="A29" s="46" t="s">
        <v>440</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426</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414</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Event_08</v>
      </c>
    </row>
    <row r="104" spans="1:10">
      <c r="B104" t="s">
        <v>552</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6" t="s">
        <v>451</v>
      </c>
      <c r="B2" s="47">
        <v>1244</v>
      </c>
      <c r="C2" s="48">
        <v>1</v>
      </c>
      <c r="D2" s="48">
        <v>15</v>
      </c>
      <c r="E2" s="48">
        <v>5</v>
      </c>
      <c r="F2" s="48" t="s">
        <v>544</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452</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446</v>
      </c>
      <c r="B4" s="47">
        <v>1379</v>
      </c>
      <c r="C4" s="48">
        <v>1</v>
      </c>
      <c r="D4" s="48">
        <v>13</v>
      </c>
      <c r="E4" s="48">
        <v>5</v>
      </c>
      <c r="F4" s="48" t="s">
        <v>544</v>
      </c>
      <c r="G4" s="48"/>
      <c r="H4" s="50" t="str">
        <f>IF($B4="","",IF($J4="X",B4,CONCATENATE(VLOOKUP(B4,Competitors!$A$2:$I$650,3,FALSE)," ",VLOOKUP(B4,Competitors!$A$2:$I$650,2,FALSE))))</f>
        <v>Michaela Latham</v>
      </c>
      <c r="I4" s="51">
        <f t="shared" si="0"/>
        <v>5.0752314814814813E-2</v>
      </c>
      <c r="J4" t="str">
        <f t="shared" si="1"/>
        <v/>
      </c>
    </row>
    <row r="5" spans="1:10" ht="15">
      <c r="A5" s="56" t="s">
        <v>523</v>
      </c>
      <c r="B5" s="47" t="s">
        <v>599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418</v>
      </c>
      <c r="B6" s="47">
        <v>1355</v>
      </c>
      <c r="C6" s="48">
        <v>1</v>
      </c>
      <c r="D6" s="48">
        <v>4</v>
      </c>
      <c r="E6" s="48">
        <v>9</v>
      </c>
      <c r="F6" s="48" t="s">
        <v>544</v>
      </c>
      <c r="G6" s="48"/>
      <c r="H6" s="50" t="str">
        <f>IF($B6="","",IF($J6="X",B6,CONCATENATE(VLOOKUP(B6,Competitors!$A$2:$I$650,3,FALSE)," ",VLOOKUP(B6,Competitors!$A$2:$I$650,2,FALSE))))</f>
        <v>Aubrey Elmer</v>
      </c>
      <c r="I6" s="51">
        <f t="shared" si="0"/>
        <v>4.4548611111111108E-2</v>
      </c>
      <c r="J6" t="str">
        <f t="shared" si="1"/>
        <v/>
      </c>
    </row>
    <row r="7" spans="1:10" ht="15">
      <c r="A7" s="56" t="s">
        <v>431</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570</v>
      </c>
      <c r="B8" s="47" t="s">
        <v>570</v>
      </c>
      <c r="C8" s="48"/>
      <c r="D8" s="48"/>
      <c r="E8" s="48"/>
      <c r="F8" s="48"/>
      <c r="G8" s="48" t="s">
        <v>553</v>
      </c>
      <c r="H8" s="50" t="str">
        <f>IF($B8="","",IF($J8="X",B8,CONCATENATE(VLOOKUP(B8,Competitors!$A$2:$I$650,3,FALSE)," ",VLOOKUP(B8,Competitors!$A$2:$I$650,2,FALSE))))</f>
        <v>Charlie Hoyle</v>
      </c>
      <c r="I8" s="51">
        <f t="shared" si="0"/>
        <v>0</v>
      </c>
      <c r="J8" t="str">
        <f t="shared" si="1"/>
        <v>X</v>
      </c>
    </row>
    <row r="9" spans="1:10" ht="15">
      <c r="A9" s="56" t="s">
        <v>437</v>
      </c>
      <c r="B9" s="47">
        <v>1195</v>
      </c>
      <c r="C9" s="48">
        <v>1</v>
      </c>
      <c r="D9" s="48">
        <v>10</v>
      </c>
      <c r="E9" s="48">
        <v>48</v>
      </c>
      <c r="F9" s="48" t="s">
        <v>544</v>
      </c>
      <c r="G9" s="48"/>
      <c r="H9" s="50" t="str">
        <f>IF($B9="","",IF($J9="X",B9,CONCATENATE(VLOOKUP(B9,Competitors!$A$2:$I$650,3,FALSE)," ",VLOOKUP(B9,Competitors!$A$2:$I$650,2,FALSE))))</f>
        <v>Charlie Hardwicke</v>
      </c>
      <c r="I9" s="51">
        <f t="shared" si="0"/>
        <v>4.9166666666666664E-2</v>
      </c>
      <c r="J9" t="str">
        <f t="shared" si="1"/>
        <v/>
      </c>
    </row>
    <row r="10" spans="1:10" ht="15">
      <c r="A10" s="56" t="s">
        <v>443</v>
      </c>
      <c r="B10" s="47">
        <v>1193</v>
      </c>
      <c r="C10" s="48">
        <v>1</v>
      </c>
      <c r="D10" s="48">
        <v>11</v>
      </c>
      <c r="E10" s="48">
        <v>12</v>
      </c>
      <c r="F10" s="48" t="s">
        <v>544</v>
      </c>
      <c r="G10" s="48"/>
      <c r="H10" s="50" t="str">
        <f>IF($B10="","",IF($J10="X",B10,CONCATENATE(VLOOKUP(B10,Competitors!$A$2:$I$650,3, FALSE)," ",VLOOKUP(B10,Competitors!$A$2:$I$650,2,FALSE))))</f>
        <v>Richard Hardwicke</v>
      </c>
      <c r="I10" s="51">
        <f t="shared" si="0"/>
        <v>4.9444444444444444E-2</v>
      </c>
      <c r="J10" t="str">
        <f t="shared" si="1"/>
        <v/>
      </c>
    </row>
    <row r="11" spans="1:10" ht="15">
      <c r="A11" s="56" t="s">
        <v>417</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442</v>
      </c>
      <c r="B12" s="47">
        <v>564</v>
      </c>
      <c r="C12" s="48"/>
      <c r="D12" s="48"/>
      <c r="E12" s="48"/>
      <c r="F12" s="48"/>
      <c r="G12" s="48" t="s">
        <v>557</v>
      </c>
      <c r="H12" s="50" t="str">
        <f>IF($B12="","",IF($J12="X",B12,CONCATENATE(VLOOKUP(B12,Competitors!$A$2:$I$650,3,FALSE)," ",VLOOKUP(B12,Competitors!$A$2:$I$650,2,FALSE))))</f>
        <v>Ian Murdey</v>
      </c>
      <c r="I12" s="51">
        <f t="shared" si="0"/>
        <v>0</v>
      </c>
      <c r="J12" t="str">
        <f t="shared" si="1"/>
        <v/>
      </c>
    </row>
    <row r="13" spans="1:10" ht="15">
      <c r="A13" s="56" t="s">
        <v>441</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422</v>
      </c>
      <c r="B14" s="47">
        <v>1407</v>
      </c>
      <c r="C14" s="48"/>
      <c r="D14" s="48"/>
      <c r="E14" s="48"/>
      <c r="F14" s="48" t="s">
        <v>544</v>
      </c>
      <c r="G14" s="48" t="s">
        <v>553</v>
      </c>
      <c r="H14" s="50" t="str">
        <f>IF($B14="","",IF($J14="X",B14,CONCATENATE(VLOOKUP(B14,Competitors!$A$2:$I$650,3,FALSE)," ",VLOOKUP(B14,Competitors!$A$2:$I$650,2,FALSE))))</f>
        <v>Colin Dobson</v>
      </c>
      <c r="I14" s="51">
        <f t="shared" si="0"/>
        <v>0</v>
      </c>
      <c r="J14" t="str">
        <f t="shared" si="1"/>
        <v/>
      </c>
    </row>
    <row r="15" spans="1:10" ht="15">
      <c r="A15" s="56" t="s">
        <v>436</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427</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439</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514</v>
      </c>
      <c r="B18" s="47" t="s">
        <v>559</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430</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458</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411</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456</v>
      </c>
      <c r="B22" s="47">
        <v>967</v>
      </c>
      <c r="C22" s="48"/>
      <c r="D22" s="48"/>
      <c r="E22" s="48"/>
      <c r="F22" s="48" t="s">
        <v>544</v>
      </c>
      <c r="G22" s="48" t="s">
        <v>553</v>
      </c>
      <c r="H22" s="50" t="str">
        <f>IF($B22="","",IF($J22="X",B22,CONCATENATE(VLOOKUP(B22,Competitors!$A$2:$I$650,3,FALSE)," ",VLOOKUP(B22,Competitors!$A$2:$I$650,2,FALSE))))</f>
        <v>Daniel McDonnell</v>
      </c>
      <c r="I22" s="51">
        <f t="shared" si="0"/>
        <v>0</v>
      </c>
      <c r="J22" t="str">
        <f t="shared" si="1"/>
        <v/>
      </c>
    </row>
    <row r="23" spans="1:10" ht="15">
      <c r="A23" s="56" t="s">
        <v>432</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412</v>
      </c>
      <c r="B24" s="47">
        <v>1144</v>
      </c>
      <c r="C24" s="48">
        <v>1</v>
      </c>
      <c r="D24" s="48">
        <v>1</v>
      </c>
      <c r="E24" s="48">
        <v>27</v>
      </c>
      <c r="F24" s="48" t="s">
        <v>544</v>
      </c>
      <c r="G24" s="48"/>
      <c r="H24" s="50" t="str">
        <f>IF($B24="","",IF($J24="X",B24,CONCATENATE(VLOOKUP(B24,Competitors!$A$2:$I$650,3,FALSE)," ",VLOOKUP(B24,Competitors!$A$2:$I$650,2,FALSE))))</f>
        <v>Jamie Kershaw</v>
      </c>
      <c r="I24" s="51">
        <f t="shared" si="0"/>
        <v>4.2673611111111114E-2</v>
      </c>
      <c r="J24" t="str">
        <f t="shared" si="1"/>
        <v/>
      </c>
    </row>
    <row r="25" spans="1:10" ht="15">
      <c r="A25" s="56" t="s">
        <v>421</v>
      </c>
      <c r="B25" s="47">
        <v>415</v>
      </c>
      <c r="C25" s="48">
        <v>1</v>
      </c>
      <c r="D25" s="48">
        <v>4</v>
      </c>
      <c r="E25" s="48">
        <v>18</v>
      </c>
      <c r="F25" s="48" t="s">
        <v>544</v>
      </c>
      <c r="G25" s="48"/>
      <c r="H25" s="50" t="str">
        <f>IF($B25="","",IF($J25="X",B25,CONCATENATE(VLOOKUP(B25,Competitors!$A$2:$I$650,3,FALSE)," ",VLOOKUP(B25,Competitors!$A$2:$I$650,2,FALSE))))</f>
        <v>Nik Kershaw</v>
      </c>
      <c r="I25" s="51">
        <f t="shared" si="0"/>
        <v>4.4652777777777777E-2</v>
      </c>
      <c r="J25" t="str">
        <f t="shared" si="1"/>
        <v/>
      </c>
    </row>
    <row r="26" spans="1:10" ht="15">
      <c r="A26" s="56" t="s">
        <v>415</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426</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414</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435</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571</v>
      </c>
      <c r="B30" s="47" t="s">
        <v>571</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527</v>
      </c>
      <c r="B31" s="47" t="s">
        <v>558</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410</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Event_09</v>
      </c>
    </row>
    <row r="104" spans="1:10">
      <c r="B104" t="s">
        <v>552</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 workbookViewId="1"/>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7" t="s">
        <v>616</v>
      </c>
      <c r="B2" s="47">
        <v>990</v>
      </c>
      <c r="C2" s="48"/>
      <c r="D2" s="48">
        <v>31</v>
      </c>
      <c r="E2" s="48">
        <v>1</v>
      </c>
      <c r="F2" s="48" t="s">
        <v>544</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453</v>
      </c>
      <c r="B3" s="47">
        <v>558</v>
      </c>
      <c r="C3" s="48"/>
      <c r="D3" s="48">
        <v>32</v>
      </c>
      <c r="E3" s="48">
        <v>27</v>
      </c>
      <c r="F3" s="48" t="s">
        <v>544</v>
      </c>
      <c r="G3" s="48"/>
      <c r="H3" s="50" t="str">
        <f>IF($B3="","",IF($J3="X",B3,CONCATENATE(VLOOKUP(B3,Competitors!$A$2:$I$650,3,FALSE)," ",VLOOKUP(B3,Competitors!$A$2:$I$650,2,FALSE))))</f>
        <v>Andrew Weatherby</v>
      </c>
      <c r="I3" s="51">
        <f t="shared" si="0"/>
        <v>2.2534722222222223E-2</v>
      </c>
      <c r="J3" t="str">
        <f t="shared" si="1"/>
        <v/>
      </c>
    </row>
    <row r="4" spans="1:10" ht="15">
      <c r="A4" s="57" t="s">
        <v>459</v>
      </c>
      <c r="B4" s="47">
        <v>742</v>
      </c>
      <c r="C4" s="48"/>
      <c r="D4" s="48">
        <v>29</v>
      </c>
      <c r="E4" s="48">
        <v>39</v>
      </c>
      <c r="F4" s="48" t="s">
        <v>544</v>
      </c>
      <c r="G4" s="48"/>
      <c r="H4" s="50" t="str">
        <f>IF($B4="","",IF($J4="X",B4,CONCATENATE(VLOOKUP(B4,Competitors!$A$2:$I$650,3,FALSE)," ",VLOOKUP(B4,Competitors!$A$2:$I$650,2,FALSE))))</f>
        <v>Claire Moore</v>
      </c>
      <c r="I4" s="51">
        <f t="shared" si="0"/>
        <v>2.0590277777777777E-2</v>
      </c>
      <c r="J4" t="str">
        <f t="shared" si="1"/>
        <v/>
      </c>
    </row>
    <row r="5" spans="1:10" ht="15">
      <c r="A5" s="57" t="s">
        <v>447</v>
      </c>
      <c r="B5" s="47">
        <v>1194</v>
      </c>
      <c r="C5" s="48"/>
      <c r="D5" s="48">
        <v>27</v>
      </c>
      <c r="E5" s="48">
        <v>37</v>
      </c>
      <c r="F5" s="48" t="s">
        <v>544</v>
      </c>
      <c r="G5" s="48"/>
      <c r="H5" s="50" t="str">
        <f>IF($B5="","",IF($J5="X",B5,CONCATENATE(VLOOKUP(B5,Competitors!$A$2:$I$650,3,FALSE)," ",VLOOKUP(B5,Competitors!$A$2:$I$650,2,FALSE))))</f>
        <v>Alex Hardwicke</v>
      </c>
      <c r="I5" s="51">
        <f t="shared" si="0"/>
        <v>1.9178240740740742E-2</v>
      </c>
      <c r="J5" t="str">
        <f t="shared" si="1"/>
        <v/>
      </c>
    </row>
    <row r="6" spans="1:10" ht="15">
      <c r="A6" s="57" t="s">
        <v>456</v>
      </c>
      <c r="B6" s="47">
        <v>967</v>
      </c>
      <c r="C6" s="48"/>
      <c r="D6" s="48">
        <v>23</v>
      </c>
      <c r="E6" s="48">
        <v>31</v>
      </c>
      <c r="F6" s="48" t="s">
        <v>544</v>
      </c>
      <c r="G6" s="48"/>
      <c r="H6" s="50" t="str">
        <f>IF($B6="","",IF($J6="X",B6,CONCATENATE(VLOOKUP(B6,Competitors!$A$2:$I$650,3,FALSE)," ",VLOOKUP(B6,Competitors!$A$2:$I$650,2,FALSE))))</f>
        <v>Daniel McDonnell</v>
      </c>
      <c r="I6" s="51">
        <f t="shared" si="0"/>
        <v>1.6331018518518519E-2</v>
      </c>
      <c r="J6" t="str">
        <f t="shared" si="1"/>
        <v/>
      </c>
    </row>
    <row r="7" spans="1:10" ht="15">
      <c r="A7" s="57" t="s">
        <v>437</v>
      </c>
      <c r="B7" s="47">
        <v>1195</v>
      </c>
      <c r="C7" s="48"/>
      <c r="D7" s="48">
        <v>25</v>
      </c>
      <c r="E7" s="48">
        <v>3</v>
      </c>
      <c r="F7" s="48" t="s">
        <v>544</v>
      </c>
      <c r="G7" s="48"/>
      <c r="H7" s="50" t="str">
        <f>IF($B7="","",IF($J7="X",B7,CONCATENATE(VLOOKUP(B7,Competitors!$A$2:$I$650,3,FALSE)," ",VLOOKUP(B7,Competitors!$A$2:$I$650,2,FALSE))))</f>
        <v>Charlie Hardwicke</v>
      </c>
      <c r="I7" s="51">
        <f t="shared" si="0"/>
        <v>1.7395833333333333E-2</v>
      </c>
      <c r="J7" t="str">
        <f t="shared" si="1"/>
        <v/>
      </c>
    </row>
    <row r="8" spans="1:10" ht="15">
      <c r="A8" s="57" t="s">
        <v>460</v>
      </c>
      <c r="B8" s="47">
        <v>7</v>
      </c>
      <c r="C8" s="48"/>
      <c r="D8" s="48">
        <v>30</v>
      </c>
      <c r="E8" s="48">
        <v>11</v>
      </c>
      <c r="F8" s="48" t="s">
        <v>544</v>
      </c>
      <c r="G8" s="48"/>
      <c r="H8" s="50" t="str">
        <f>IF($B8="","",IF($J8="X",B8,CONCATENATE(VLOOKUP(B8,Competitors!$A$2:$I$650,3,FALSE)," ",VLOOKUP(B8,Competitors!$A$2:$I$650,2,FALSE))))</f>
        <v>Vic Barnett</v>
      </c>
      <c r="I8" s="51">
        <f t="shared" si="0"/>
        <v>2.0960648148148148E-2</v>
      </c>
      <c r="J8" t="str">
        <f t="shared" si="1"/>
        <v/>
      </c>
    </row>
    <row r="9" spans="1:10" ht="15">
      <c r="A9" s="57" t="s">
        <v>443</v>
      </c>
      <c r="B9" s="47">
        <v>1193</v>
      </c>
      <c r="C9" s="48"/>
      <c r="D9" s="48">
        <v>25</v>
      </c>
      <c r="E9" s="48">
        <v>43</v>
      </c>
      <c r="F9" s="48" t="s">
        <v>544</v>
      </c>
      <c r="G9" s="48"/>
      <c r="H9" s="50" t="str">
        <f>IF($B9="","",IF($J9="X",B9,CONCATENATE(VLOOKUP(B9,Competitors!$A$2:$I$650,3,FALSE)," ",VLOOKUP(B9,Competitors!$A$2:$I$650,2,FALSE))))</f>
        <v>Richard Hardwicke</v>
      </c>
      <c r="I9" s="51">
        <f t="shared" si="0"/>
        <v>1.7858796296296296E-2</v>
      </c>
      <c r="J9" t="str">
        <f t="shared" si="1"/>
        <v/>
      </c>
    </row>
    <row r="10" spans="1:10" ht="15">
      <c r="A10" s="57" t="s">
        <v>501</v>
      </c>
      <c r="B10" s="47" t="s">
        <v>554</v>
      </c>
      <c r="C10" s="48"/>
      <c r="D10" s="48">
        <v>25</v>
      </c>
      <c r="E10" s="48">
        <v>39</v>
      </c>
      <c r="F10" s="48" t="s">
        <v>544</v>
      </c>
      <c r="G10" s="48"/>
      <c r="H10" s="50" t="str">
        <f>IF($B10="","",IF($J10="X",B10,CONCATENATE(VLOOKUP(B10,Competitors!$A$2:$I$650,3, FALSE)," ",VLOOKUP(B10,Competitors!$A$2:$I$650,2,FALSE))))</f>
        <v>Chris Bonsor (Ratae)</v>
      </c>
      <c r="I10" s="51">
        <f t="shared" si="0"/>
        <v>1.7812499999999998E-2</v>
      </c>
      <c r="J10" t="str">
        <f t="shared" si="1"/>
        <v>X</v>
      </c>
    </row>
    <row r="11" spans="1:10" ht="15">
      <c r="A11" s="57" t="s">
        <v>418</v>
      </c>
      <c r="B11" s="47">
        <v>1355</v>
      </c>
      <c r="C11" s="48"/>
      <c r="D11" s="48">
        <v>23</v>
      </c>
      <c r="E11" s="48">
        <v>17</v>
      </c>
      <c r="F11" s="48" t="s">
        <v>544</v>
      </c>
      <c r="G11" s="48"/>
      <c r="H11" s="50" t="str">
        <f>IF($B11="","",IF($J11="X",B11,CONCATENATE(VLOOKUP(B11,Competitors!$A$2:$I$650,3,FALSE)," ",VLOOKUP(B11,Competitors!$A$2:$I$650,2,FALSE))))</f>
        <v>Aubrey Elmer</v>
      </c>
      <c r="I11" s="51">
        <f t="shared" si="0"/>
        <v>1.6168981481481482E-2</v>
      </c>
      <c r="J11" t="str">
        <f t="shared" si="1"/>
        <v/>
      </c>
    </row>
    <row r="12" spans="1:10" ht="15">
      <c r="A12" s="57" t="s">
        <v>451</v>
      </c>
      <c r="B12" s="47">
        <v>1244</v>
      </c>
      <c r="C12" s="48"/>
      <c r="D12" s="48">
        <v>27</v>
      </c>
      <c r="E12" s="48">
        <v>34</v>
      </c>
      <c r="F12" s="48" t="s">
        <v>544</v>
      </c>
      <c r="G12" s="48"/>
      <c r="H12" s="50" t="str">
        <f>IF($B12="","",IF($J12="X",B12,CONCATENATE(VLOOKUP(B12,Competitors!$A$2:$I$650,3,FALSE)," ",VLOOKUP(B12,Competitors!$A$2:$I$650,2,FALSE))))</f>
        <v>Steven Latham</v>
      </c>
      <c r="I12" s="51">
        <f t="shared" si="0"/>
        <v>1.9143518518518518E-2</v>
      </c>
      <c r="J12" t="str">
        <f t="shared" si="1"/>
        <v/>
      </c>
    </row>
    <row r="13" spans="1:10" ht="15">
      <c r="A13" s="57" t="s">
        <v>446</v>
      </c>
      <c r="B13" s="47">
        <v>1379</v>
      </c>
      <c r="C13" s="48"/>
      <c r="D13" s="48">
        <v>27</v>
      </c>
      <c r="E13" s="48">
        <v>8</v>
      </c>
      <c r="F13" s="48" t="s">
        <v>544</v>
      </c>
      <c r="G13" s="48"/>
      <c r="H13" s="50" t="str">
        <f>IF($B13="","",IF($J13="X",B13,CONCATENATE(VLOOKUP(B13,Competitors!$A$2:$I$650,3,FALSE)," ",VLOOKUP(B13,Competitors!$A$2:$I$650,2,FALSE))))</f>
        <v>Michaela Latham</v>
      </c>
      <c r="I13" s="51">
        <f t="shared" si="0"/>
        <v>1.8842592592592591E-2</v>
      </c>
      <c r="J13" t="str">
        <f t="shared" si="1"/>
        <v/>
      </c>
    </row>
    <row r="14" spans="1:10" ht="15">
      <c r="A14" s="57" t="s">
        <v>572</v>
      </c>
      <c r="B14" s="47" t="s">
        <v>572</v>
      </c>
      <c r="C14" s="48"/>
      <c r="D14" s="48">
        <v>26</v>
      </c>
      <c r="E14" s="48">
        <v>56</v>
      </c>
      <c r="F14" s="48" t="s">
        <v>544</v>
      </c>
      <c r="G14" s="48"/>
      <c r="H14" s="50" t="str">
        <f>IF($B14="","",IF($J14="X",B14,CONCATENATE(VLOOKUP(B14,Competitors!$A$2:$I$650,3,FALSE)," ",VLOOKUP(B14,Competitors!$A$2:$I$650,2,FALSE))))</f>
        <v>Tom Keane</v>
      </c>
      <c r="I14" s="51">
        <f t="shared" si="0"/>
        <v>1.8703703703703705E-2</v>
      </c>
      <c r="J14" t="str">
        <f t="shared" si="1"/>
        <v>X</v>
      </c>
    </row>
    <row r="15" spans="1:10" ht="15">
      <c r="A15" s="57" t="s">
        <v>511</v>
      </c>
      <c r="B15" s="47" t="s">
        <v>611</v>
      </c>
      <c r="C15" s="48"/>
      <c r="D15" s="48">
        <v>28</v>
      </c>
      <c r="E15" s="48">
        <v>39</v>
      </c>
      <c r="F15" s="48" t="s">
        <v>544</v>
      </c>
      <c r="G15" s="48"/>
      <c r="H15" s="50" t="str">
        <f>IF($B15="","",IF($J15="X",B15,CONCATENATE(VLOOKUP(B15,Competitors!$A$2:$I$650,3,FALSE)," ",VLOOKUP(B15,Competitors!$A$2:$I$650,2,FALSE))))</f>
        <v>Natalie Harris (Ratae)</v>
      </c>
      <c r="I15" s="51">
        <f t="shared" si="0"/>
        <v>1.9895833333333335E-2</v>
      </c>
      <c r="J15" t="str">
        <f t="shared" si="1"/>
        <v>X</v>
      </c>
    </row>
    <row r="16" spans="1:10" ht="15">
      <c r="A16" s="57" t="s">
        <v>573</v>
      </c>
      <c r="B16" s="47">
        <v>1423</v>
      </c>
      <c r="C16" s="48"/>
      <c r="D16" s="48">
        <v>29</v>
      </c>
      <c r="E16" s="48">
        <v>0</v>
      </c>
      <c r="F16" s="48" t="s">
        <v>544</v>
      </c>
      <c r="G16" s="48"/>
      <c r="H16" s="50" t="str">
        <f>IF($B16="","",IF($J16="X",B16,CONCATENATE(VLOOKUP(B16,Competitors!$A$2:$I$650,3,FALSE)," ",VLOOKUP(B16,Competitors!$A$2:$I$650,2,FALSE))))</f>
        <v>Mark Vowles</v>
      </c>
      <c r="I16" s="51">
        <f t="shared" si="0"/>
        <v>2.013888888888889E-2</v>
      </c>
      <c r="J16" t="str">
        <f t="shared" si="1"/>
        <v/>
      </c>
    </row>
    <row r="17" spans="1:10" ht="15">
      <c r="A17" s="57" t="s">
        <v>574</v>
      </c>
      <c r="B17" s="47">
        <v>1422</v>
      </c>
      <c r="C17" s="48"/>
      <c r="D17" s="48"/>
      <c r="E17" s="48"/>
      <c r="F17" s="48" t="s">
        <v>544</v>
      </c>
      <c r="G17" s="48" t="s">
        <v>546</v>
      </c>
      <c r="H17" s="50" t="str">
        <f>IF($B17="","",IF($J17="X",B17,CONCATENATE(VLOOKUP(B17,Competitors!$A$2:$I$650,3,FALSE)," ",VLOOKUP(B17,Competitors!$A$2:$I$650,2,FALSE))))</f>
        <v>Laura Vann-Hopewell</v>
      </c>
      <c r="I17" s="51">
        <f t="shared" si="0"/>
        <v>0</v>
      </c>
      <c r="J17" t="str">
        <f t="shared" si="1"/>
        <v/>
      </c>
    </row>
    <row r="18" spans="1:10" ht="15">
      <c r="A18" s="57" t="s">
        <v>457</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479</v>
      </c>
      <c r="B19" s="47">
        <v>1348</v>
      </c>
      <c r="C19" s="48"/>
      <c r="D19" s="48"/>
      <c r="E19" s="48"/>
      <c r="F19" s="48" t="s">
        <v>544</v>
      </c>
      <c r="G19" s="48" t="s">
        <v>568</v>
      </c>
      <c r="H19" s="50" t="str">
        <f>IF($B19="","",IF($J19="X",B19,CONCATENATE(VLOOKUP(B19,Competitors!$A$2:$I$650,3,FALSE)," ",VLOOKUP(B19,Competitors!$A$2:$I$650,2,FALSE))))</f>
        <v>Lydia Baxter</v>
      </c>
      <c r="I19" s="51">
        <f t="shared" si="0"/>
        <v>0</v>
      </c>
      <c r="J19" t="str">
        <f t="shared" si="1"/>
        <v/>
      </c>
    </row>
    <row r="20" spans="1:10" ht="15">
      <c r="A20" s="57" t="s">
        <v>442</v>
      </c>
      <c r="B20" s="47">
        <v>564</v>
      </c>
      <c r="C20" s="48"/>
      <c r="D20" s="48">
        <v>27</v>
      </c>
      <c r="E20" s="48">
        <v>5</v>
      </c>
      <c r="F20" s="48" t="s">
        <v>544</v>
      </c>
      <c r="G20" s="48"/>
      <c r="H20" s="50" t="str">
        <f>IF($B20="","",IF($J20="X",B20,CONCATENATE(VLOOKUP(B20,Competitors!$A$2:$I$650,3,FALSE)," ",VLOOKUP(B20,Competitors!$A$2:$I$650,2,FALSE))))</f>
        <v>Ian Murdey</v>
      </c>
      <c r="I20" s="51">
        <f t="shared" si="0"/>
        <v>1.8807870370370371E-2</v>
      </c>
      <c r="J20" t="str">
        <f t="shared" si="1"/>
        <v/>
      </c>
    </row>
    <row r="21" spans="1:10" ht="15">
      <c r="A21" s="57" t="s">
        <v>423</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470</v>
      </c>
      <c r="B22" s="47" t="s">
        <v>610</v>
      </c>
      <c r="C22" s="48"/>
      <c r="D22" s="48"/>
      <c r="E22" s="48"/>
      <c r="F22" s="48" t="s">
        <v>544</v>
      </c>
      <c r="G22" s="48" t="s">
        <v>546</v>
      </c>
      <c r="H22" s="50" t="str">
        <f>IF($B22="","",IF($J22="X",B22,CONCATENATE(VLOOKUP(B22,Competitors!$A$2:$I$650,3,FALSE)," ",VLOOKUP(B22,Competitors!$A$2:$I$650,2,FALSE))))</f>
        <v>David Marshall (Bluelight CC)</v>
      </c>
      <c r="I22" s="51">
        <f t="shared" si="0"/>
        <v>0</v>
      </c>
      <c r="J22" t="str">
        <f t="shared" si="1"/>
        <v>X</v>
      </c>
    </row>
    <row r="23" spans="1:10" ht="15">
      <c r="A23" s="57" t="s">
        <v>439</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427</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440</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417</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441</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426</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430</v>
      </c>
      <c r="B29" s="47">
        <v>616</v>
      </c>
      <c r="C29" s="48"/>
      <c r="D29" s="48">
        <v>25</v>
      </c>
      <c r="E29" s="48">
        <v>27</v>
      </c>
      <c r="F29" s="48" t="s">
        <v>544</v>
      </c>
      <c r="G29" s="48"/>
      <c r="H29" s="50" t="str">
        <f>IF($B29="","",IF($J29="X",B29,CONCATENATE(VLOOKUP(B29,Competitors!$A$2:$I$650,3,FALSE)," ",VLOOKUP(B29,Competitors!$A$2:$I$650,2,FALSE))))</f>
        <v>Simon Ward</v>
      </c>
      <c r="I29" s="51">
        <f t="shared" si="0"/>
        <v>1.7673611111111112E-2</v>
      </c>
      <c r="J29" t="str">
        <f t="shared" si="1"/>
        <v/>
      </c>
    </row>
    <row r="30" spans="1:10" ht="15">
      <c r="A30" s="57" t="s">
        <v>500</v>
      </c>
      <c r="B30" s="47" t="s">
        <v>563</v>
      </c>
      <c r="C30" s="48"/>
      <c r="D30" s="48">
        <v>29</v>
      </c>
      <c r="E30" s="48">
        <v>11</v>
      </c>
      <c r="F30" s="48" t="s">
        <v>544</v>
      </c>
      <c r="G30" s="48"/>
      <c r="H30" s="50" t="str">
        <f>IF($B30="","",IF($J30="X",B30,CONCATENATE(VLOOKUP(B30,Competitors!$A$2:$I$650,3,FALSE)," ",VLOOKUP(B30,Competitors!$A$2:$I$650,2,FALSE))))</f>
        <v>Brian Lincoln (Ratae)</v>
      </c>
      <c r="I30" s="51">
        <f t="shared" si="0"/>
        <v>2.0266203703703703E-2</v>
      </c>
      <c r="J30" t="str">
        <f t="shared" si="1"/>
        <v>X</v>
      </c>
    </row>
    <row r="31" spans="1:10" ht="15">
      <c r="A31" s="57" t="s">
        <v>528</v>
      </c>
      <c r="B31" s="47" t="s">
        <v>528</v>
      </c>
      <c r="C31" s="48"/>
      <c r="D31" s="48"/>
      <c r="E31" s="48"/>
      <c r="F31" s="48" t="s">
        <v>544</v>
      </c>
      <c r="G31" s="48" t="s">
        <v>546</v>
      </c>
      <c r="H31" s="50" t="str">
        <f>IF($B31="","",IF($J31="X",B31,CONCATENATE(VLOOKUP(B31,Competitors!$A$2:$I$650,3,FALSE)," ",VLOOKUP(B31,Competitors!$A$2:$I$650,2,FALSE))))</f>
        <v>Hudson Hendry</v>
      </c>
      <c r="I31" s="51">
        <f t="shared" si="0"/>
        <v>0</v>
      </c>
      <c r="J31" t="str">
        <f t="shared" si="1"/>
        <v>X</v>
      </c>
    </row>
    <row r="32" spans="1:10" ht="15">
      <c r="A32" s="57" t="s">
        <v>413</v>
      </c>
      <c r="B32" s="47">
        <v>989</v>
      </c>
      <c r="C32" s="48"/>
      <c r="D32" s="48">
        <v>23</v>
      </c>
      <c r="E32" s="48">
        <v>34</v>
      </c>
      <c r="F32" s="48" t="s">
        <v>544</v>
      </c>
      <c r="G32" s="48"/>
      <c r="H32" s="50" t="str">
        <f>IF($B32="","",IF($J32="X",B32,CONCATENATE(VLOOKUP(B32,Competitors!$A$2:$I$650,3,FALSE)," ",VLOOKUP(B32,Competitors!$A$2:$I$650,2,FALSE))))</f>
        <v>Jason Williams</v>
      </c>
      <c r="I32" s="51">
        <f t="shared" si="0"/>
        <v>1.636574074074074E-2</v>
      </c>
      <c r="J32" t="str">
        <f t="shared" si="1"/>
        <v/>
      </c>
    </row>
    <row r="33" spans="1:10" ht="15">
      <c r="A33" s="57" t="s">
        <v>514</v>
      </c>
      <c r="B33" s="47" t="s">
        <v>559</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422</v>
      </c>
      <c r="B34" s="47">
        <v>1407</v>
      </c>
      <c r="C34" s="48"/>
      <c r="D34" s="48">
        <v>24</v>
      </c>
      <c r="E34" s="48">
        <v>35</v>
      </c>
      <c r="F34" s="48" t="s">
        <v>544</v>
      </c>
      <c r="G34" s="48"/>
      <c r="H34" s="50" t="str">
        <f>IF($B34="","",IF($J34="X",B34,CONCATENATE(VLOOKUP(B34,Competitors!$A$2:$I$650,3,FALSE)," ",VLOOKUP(B34,Competitors!$A$2:$I$650,2,FALSE))))</f>
        <v>Colin Dobson</v>
      </c>
      <c r="I34" s="51">
        <f t="shared" si="0"/>
        <v>1.7071759259259259E-2</v>
      </c>
      <c r="J34" t="str">
        <f t="shared" si="1"/>
        <v/>
      </c>
    </row>
    <row r="35" spans="1:10" ht="15">
      <c r="A35" s="57" t="s">
        <v>416</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412</v>
      </c>
      <c r="B36" s="47">
        <v>1144</v>
      </c>
      <c r="C36" s="48"/>
      <c r="D36" s="48">
        <v>23</v>
      </c>
      <c r="E36" s="48">
        <v>10</v>
      </c>
      <c r="F36" s="48" t="s">
        <v>544</v>
      </c>
      <c r="G36" s="48"/>
      <c r="H36" s="50" t="str">
        <f>IF($B36="","",IF($J36="X",B36,CONCATENATE(VLOOKUP(B36,Competitors!$A$2:$I$650,3,FALSE)," ",VLOOKUP(B36,Competitors!$A$2:$I$650,2,FALSE))))</f>
        <v>Jamie Kershaw</v>
      </c>
      <c r="I36" s="51">
        <f t="shared" si="0"/>
        <v>1.6087962962962964E-2</v>
      </c>
      <c r="J36" t="str">
        <f t="shared" si="1"/>
        <v/>
      </c>
    </row>
    <row r="37" spans="1:10" ht="15">
      <c r="A37" s="57" t="s">
        <v>527</v>
      </c>
      <c r="B37" s="47" t="s">
        <v>558</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421</v>
      </c>
      <c r="B38" s="47">
        <v>415</v>
      </c>
      <c r="C38" s="48"/>
      <c r="D38" s="48">
        <v>24</v>
      </c>
      <c r="E38" s="48">
        <v>31</v>
      </c>
      <c r="F38" s="48" t="s">
        <v>544</v>
      </c>
      <c r="G38" s="48"/>
      <c r="H38" s="50" t="str">
        <f>IF($B38="","",IF($J38="X",B38,CONCATENATE(VLOOKUP(B38,Competitors!$A$2:$I$650,3,FALSE)," ",VLOOKUP(B38,Competitors!$A$2:$I$650,2,FALSE))))</f>
        <v>Nik Kershaw</v>
      </c>
      <c r="I38" s="51">
        <f t="shared" si="0"/>
        <v>1.7025462962962964E-2</v>
      </c>
      <c r="J38" t="str">
        <f t="shared" si="1"/>
        <v/>
      </c>
    </row>
    <row r="39" spans="1:10" ht="15">
      <c r="A39" s="61" t="s">
        <v>790</v>
      </c>
      <c r="B39" s="47" t="s">
        <v>792</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415</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420</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411</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523</v>
      </c>
      <c r="B43" s="47" t="s">
        <v>599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410</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509</v>
      </c>
      <c r="B45" s="47" t="s">
        <v>561</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414</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Event_10</v>
      </c>
    </row>
    <row r="104" spans="1:10">
      <c r="B104" t="s">
        <v>552</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 workbookViewId="1"/>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v>31</v>
      </c>
      <c r="E2" s="48">
        <v>8</v>
      </c>
      <c r="F2" s="48" t="s">
        <v>544</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506</v>
      </c>
      <c r="B3" s="47" t="s">
        <v>565</v>
      </c>
      <c r="C3" s="48"/>
      <c r="D3" s="48">
        <v>32</v>
      </c>
      <c r="E3" s="48">
        <v>9</v>
      </c>
      <c r="F3" s="48" t="s">
        <v>544</v>
      </c>
      <c r="G3" s="48"/>
      <c r="H3" s="50" t="str">
        <f>IF($B3="","",IF($J3="X",B3,CONCATENATE(VLOOKUP(B3,Competitors!$A$2:$I$650,3,FALSE)," ",VLOOKUP(B3,Competitors!$A$2:$I$650,2,FALSE))))</f>
        <v>Lesley Allden (Ratae)</v>
      </c>
      <c r="I3" s="51">
        <f t="shared" si="0"/>
        <v>2.2326388888888889E-2</v>
      </c>
      <c r="J3" t="str">
        <f t="shared" si="1"/>
        <v>X</v>
      </c>
    </row>
    <row r="4" spans="1:10" ht="15">
      <c r="A4" s="46" t="s">
        <v>459</v>
      </c>
      <c r="B4" s="47">
        <v>742</v>
      </c>
      <c r="C4" s="48"/>
      <c r="D4" s="48">
        <v>30</v>
      </c>
      <c r="E4" s="48">
        <v>17</v>
      </c>
      <c r="F4" s="48" t="s">
        <v>544</v>
      </c>
      <c r="G4" s="48"/>
      <c r="H4" s="50" t="str">
        <f>IF($B4="","",IF($J4="X",B4,CONCATENATE(VLOOKUP(B4,Competitors!$A$2:$I$650,3,FALSE)," ",VLOOKUP(B4,Competitors!$A$2:$I$650,2,FALSE))))</f>
        <v>Claire Moore</v>
      </c>
      <c r="I4" s="51">
        <f t="shared" si="0"/>
        <v>2.1030092592592593E-2</v>
      </c>
      <c r="J4" t="str">
        <f t="shared" si="1"/>
        <v/>
      </c>
    </row>
    <row r="5" spans="1:10" ht="15">
      <c r="A5" s="46" t="s">
        <v>447</v>
      </c>
      <c r="B5" s="47">
        <v>1194</v>
      </c>
      <c r="C5" s="48"/>
      <c r="D5" s="48">
        <v>28</v>
      </c>
      <c r="E5" s="48">
        <v>4</v>
      </c>
      <c r="F5" s="48" t="s">
        <v>544</v>
      </c>
      <c r="G5" s="48"/>
      <c r="H5" s="50" t="str">
        <f>IF($B5="","",IF($J5="X",B5,CONCATENATE(VLOOKUP(B5,Competitors!$A$2:$I$650,3,FALSE)," ",VLOOKUP(B5,Competitors!$A$2:$I$650,2,FALSE))))</f>
        <v>Alex Hardwicke</v>
      </c>
      <c r="I5" s="51">
        <f t="shared" si="0"/>
        <v>1.9490740740740739E-2</v>
      </c>
      <c r="J5" t="str">
        <f t="shared" si="1"/>
        <v/>
      </c>
    </row>
    <row r="6" spans="1:10" ht="15">
      <c r="A6" s="46" t="s">
        <v>575</v>
      </c>
      <c r="B6" s="47">
        <v>935</v>
      </c>
      <c r="C6" s="48"/>
      <c r="D6" s="48">
        <v>34</v>
      </c>
      <c r="E6" s="48">
        <v>39</v>
      </c>
      <c r="F6" s="48" t="s">
        <v>544</v>
      </c>
      <c r="G6" s="48"/>
      <c r="H6" s="50" t="str">
        <f>IF($B6="","",IF($J6="X",B6,CONCATENATE(VLOOKUP(B6,Competitors!$A$2:$I$650,3,FALSE)," ",VLOOKUP(B6,Competitors!$A$2:$I$650,2,FALSE))))</f>
        <v>Sophie Ward</v>
      </c>
      <c r="I6" s="51">
        <f t="shared" si="0"/>
        <v>2.4062500000000001E-2</v>
      </c>
      <c r="J6" t="str">
        <f t="shared" si="1"/>
        <v/>
      </c>
    </row>
    <row r="7" spans="1:10" ht="15">
      <c r="A7" s="46" t="s">
        <v>443</v>
      </c>
      <c r="B7" s="47">
        <v>1193</v>
      </c>
      <c r="C7" s="48"/>
      <c r="D7" s="48">
        <v>26</v>
      </c>
      <c r="E7" s="48">
        <v>53</v>
      </c>
      <c r="F7" s="48" t="s">
        <v>544</v>
      </c>
      <c r="G7" s="48"/>
      <c r="H7" s="50" t="str">
        <f>IF($B7="","",IF($J7="X",B7,CONCATENATE(VLOOKUP(B7,Competitors!$A$2:$I$650,3,FALSE)," ",VLOOKUP(B7,Competitors!$A$2:$I$650,2,FALSE))))</f>
        <v>Richard Hardwicke</v>
      </c>
      <c r="I7" s="51">
        <f t="shared" si="0"/>
        <v>1.8668981481481481E-2</v>
      </c>
      <c r="J7" t="str">
        <f t="shared" si="1"/>
        <v/>
      </c>
    </row>
    <row r="8" spans="1:10" ht="15">
      <c r="A8" s="46" t="s">
        <v>460</v>
      </c>
      <c r="B8" s="47">
        <v>7</v>
      </c>
      <c r="C8" s="48"/>
      <c r="D8" s="48">
        <v>30</v>
      </c>
      <c r="E8" s="48">
        <v>52</v>
      </c>
      <c r="F8" s="48" t="s">
        <v>544</v>
      </c>
      <c r="G8" s="48"/>
      <c r="H8" s="50" t="str">
        <f>IF($B8="","",IF($J8="X",B8,CONCATENATE(VLOOKUP(B8,Competitors!$A$2:$I$650,3,FALSE)," ",VLOOKUP(B8,Competitors!$A$2:$I$650,2,FALSE))))</f>
        <v>Vic Barnett</v>
      </c>
      <c r="I8" s="51">
        <f t="shared" si="0"/>
        <v>2.1435185185185186E-2</v>
      </c>
      <c r="J8" t="str">
        <f t="shared" si="1"/>
        <v/>
      </c>
    </row>
    <row r="9" spans="1:10" ht="15">
      <c r="A9" s="46" t="s">
        <v>437</v>
      </c>
      <c r="B9" s="47">
        <v>1195</v>
      </c>
      <c r="C9" s="48"/>
      <c r="D9" s="48">
        <v>25</v>
      </c>
      <c r="E9" s="48">
        <v>14</v>
      </c>
      <c r="F9" s="48" t="s">
        <v>544</v>
      </c>
      <c r="G9" s="48"/>
      <c r="H9" s="50" t="str">
        <f>IF($B9="","",IF($J9="X",B9,CONCATENATE(VLOOKUP(B9,Competitors!$A$2:$I$650,3,FALSE)," ",VLOOKUP(B9,Competitors!$A$2:$I$650,2,FALSE))))</f>
        <v>Charlie Hardwicke</v>
      </c>
      <c r="I9" s="51">
        <f t="shared" si="0"/>
        <v>1.7523148148148149E-2</v>
      </c>
      <c r="J9" t="str">
        <f t="shared" si="1"/>
        <v/>
      </c>
    </row>
    <row r="10" spans="1:10" ht="15">
      <c r="A10" s="46" t="s">
        <v>501</v>
      </c>
      <c r="B10" s="47" t="s">
        <v>554</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418</v>
      </c>
      <c r="B11" s="47">
        <v>1355</v>
      </c>
      <c r="C11" s="48"/>
      <c r="D11" s="48">
        <v>24</v>
      </c>
      <c r="E11" s="48">
        <v>7</v>
      </c>
      <c r="F11" s="48" t="s">
        <v>544</v>
      </c>
      <c r="G11" s="48"/>
      <c r="H11" s="50" t="str">
        <f>IF($B11="","",IF($J11="X",B11,CONCATENATE(VLOOKUP(B11,Competitors!$A$2:$I$650,3,FALSE)," ",VLOOKUP(B11,Competitors!$A$2:$I$650,2,FALSE))))</f>
        <v>Aubrey Elmer</v>
      </c>
      <c r="I11" s="51">
        <f t="shared" si="0"/>
        <v>1.6747685185185185E-2</v>
      </c>
      <c r="J11" t="str">
        <f t="shared" si="1"/>
        <v/>
      </c>
    </row>
    <row r="12" spans="1:10" ht="15">
      <c r="A12" s="46" t="s">
        <v>456</v>
      </c>
      <c r="B12" s="47">
        <v>967</v>
      </c>
      <c r="C12" s="48"/>
      <c r="D12" s="48">
        <v>23</v>
      </c>
      <c r="E12" s="48">
        <v>7</v>
      </c>
      <c r="F12" s="48" t="s">
        <v>544</v>
      </c>
      <c r="G12" s="48"/>
      <c r="H12" s="50" t="str">
        <f>IF($B12="","",IF($J12="X",B12,CONCATENATE(VLOOKUP(B12,Competitors!$A$2:$I$650,3,FALSE)," ",VLOOKUP(B12,Competitors!$A$2:$I$650,2,FALSE))))</f>
        <v>Daniel McDonnell</v>
      </c>
      <c r="I12" s="51">
        <f t="shared" si="0"/>
        <v>1.6053240740740739E-2</v>
      </c>
      <c r="J12" t="str">
        <f t="shared" si="1"/>
        <v/>
      </c>
    </row>
    <row r="13" spans="1:10" ht="15">
      <c r="A13" s="46" t="s">
        <v>576</v>
      </c>
      <c r="B13" s="47">
        <v>741</v>
      </c>
      <c r="C13" s="48"/>
      <c r="D13" s="48">
        <v>23</v>
      </c>
      <c r="E13" s="48">
        <v>10</v>
      </c>
      <c r="F13" s="48" t="s">
        <v>544</v>
      </c>
      <c r="G13" s="48"/>
      <c r="H13" s="50" t="str">
        <f>IF($B13="","",IF($J13="X",B13,CONCATENATE(VLOOKUP(B13,Competitors!$A$2:$I$650,3,FALSE)," ",VLOOKUP(B13,Competitors!$A$2:$I$650,2,FALSE))))</f>
        <v>Rob Moore</v>
      </c>
      <c r="I13" s="51">
        <f t="shared" si="0"/>
        <v>1.6087962962962964E-2</v>
      </c>
      <c r="J13" t="str">
        <f t="shared" si="1"/>
        <v/>
      </c>
    </row>
    <row r="14" spans="1:10" ht="15">
      <c r="A14" s="46" t="s">
        <v>572</v>
      </c>
      <c r="B14" s="47" t="s">
        <v>572</v>
      </c>
      <c r="C14" s="48"/>
      <c r="D14" s="48">
        <v>27</v>
      </c>
      <c r="E14" s="48">
        <v>32</v>
      </c>
      <c r="F14" s="48" t="s">
        <v>544</v>
      </c>
      <c r="G14" s="48"/>
      <c r="H14" s="50" t="str">
        <f>IF($B14="","",IF($J14="X",B14,CONCATENATE(VLOOKUP(B14,Competitors!$A$2:$I$650,3,FALSE)," ",VLOOKUP(B14,Competitors!$A$2:$I$650,2,FALSE))))</f>
        <v>Tom Keane</v>
      </c>
      <c r="I14" s="51">
        <f t="shared" si="0"/>
        <v>1.9120370370370371E-2</v>
      </c>
      <c r="J14" t="str">
        <f t="shared" si="1"/>
        <v>X</v>
      </c>
    </row>
    <row r="15" spans="1:10" ht="15">
      <c r="A15" s="46" t="s">
        <v>548</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566</v>
      </c>
      <c r="B16" s="47" t="s">
        <v>566</v>
      </c>
      <c r="C16" s="48"/>
      <c r="D16" s="48">
        <v>27</v>
      </c>
      <c r="E16" s="48">
        <v>48</v>
      </c>
      <c r="F16" s="48" t="s">
        <v>544</v>
      </c>
      <c r="G16" s="48"/>
      <c r="H16" s="50" t="str">
        <f>IF($B16="","",IF($J16="X",B16,CONCATENATE(VLOOKUP(B16,Competitors!$A$2:$I$650,3,FALSE)," ",VLOOKUP(B16,Competitors!$A$2:$I$650,2,FALSE))))</f>
        <v>Laura Davison</v>
      </c>
      <c r="I16" s="51">
        <f t="shared" si="0"/>
        <v>1.9305555555555555E-2</v>
      </c>
      <c r="J16" t="str">
        <f t="shared" si="1"/>
        <v>X</v>
      </c>
    </row>
    <row r="17" spans="1:10" ht="15">
      <c r="A17" s="46" t="s">
        <v>429</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577</v>
      </c>
      <c r="B18" s="47">
        <v>1048</v>
      </c>
      <c r="C18" s="48"/>
      <c r="D18" s="48">
        <v>29</v>
      </c>
      <c r="E18" s="48">
        <v>34</v>
      </c>
      <c r="F18" s="48" t="s">
        <v>544</v>
      </c>
      <c r="G18" s="48"/>
      <c r="H18" s="50" t="str">
        <f>IF($B18="","",IF($J18="X",B18,CONCATENATE(VLOOKUP(B18,Competitors!$A$2:$I$650,3,FALSE)," ",VLOOKUP(B18,Competitors!$A$2:$I$650,2,FALSE))))</f>
        <v>Andy Smith</v>
      </c>
      <c r="I18" s="51">
        <f t="shared" si="0"/>
        <v>2.0532407407407409E-2</v>
      </c>
      <c r="J18" t="str">
        <f t="shared" si="1"/>
        <v/>
      </c>
    </row>
    <row r="19" spans="1:10" ht="15">
      <c r="A19" s="60" t="s">
        <v>780</v>
      </c>
      <c r="B19" s="47" t="s">
        <v>781</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430</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410</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500</v>
      </c>
      <c r="B22" s="47" t="s">
        <v>563</v>
      </c>
      <c r="C22" s="48"/>
      <c r="D22" s="48">
        <v>29</v>
      </c>
      <c r="E22" s="48">
        <v>1</v>
      </c>
      <c r="F22" s="48" t="s">
        <v>544</v>
      </c>
      <c r="G22" s="48"/>
      <c r="H22" s="50" t="str">
        <f>IF($B22="","",IF($J22="X",B22,CONCATENATE(VLOOKUP(B22,Competitors!$A$2:$I$650,3,FALSE)," ",VLOOKUP(B22,Competitors!$A$2:$I$650,2,FALSE))))</f>
        <v>Brian Lincoln (Ratae)</v>
      </c>
      <c r="I22" s="51">
        <f t="shared" si="0"/>
        <v>2.0150462962962964E-2</v>
      </c>
      <c r="J22" t="str">
        <f t="shared" si="1"/>
        <v>X</v>
      </c>
    </row>
    <row r="23" spans="1:10" ht="15">
      <c r="A23" s="46" t="s">
        <v>439</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509</v>
      </c>
      <c r="B24" s="47" t="s">
        <v>561</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440</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417</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455</v>
      </c>
      <c r="B28" s="47">
        <v>295</v>
      </c>
      <c r="C28" s="48"/>
      <c r="D28" s="48">
        <v>27</v>
      </c>
      <c r="E28" s="48">
        <v>8</v>
      </c>
      <c r="F28" s="48" t="s">
        <v>544</v>
      </c>
      <c r="G28" s="48"/>
      <c r="H28" s="50" t="str">
        <f>IF($B28="","",IF($J28="X",B28,CONCATENATE(VLOOKUP(B28,Competitors!$A$2:$I$650,3,FALSE)," ",VLOOKUP(B28,Competitors!$A$2:$I$650,2,FALSE))))</f>
        <v>Stuart Dawkins</v>
      </c>
      <c r="I28" s="51">
        <f t="shared" si="0"/>
        <v>1.8842592592592591E-2</v>
      </c>
      <c r="J28" t="str">
        <f t="shared" si="1"/>
        <v/>
      </c>
    </row>
    <row r="29" spans="1:10" ht="15">
      <c r="A29" s="46" t="s">
        <v>422</v>
      </c>
      <c r="B29" s="47">
        <v>1407</v>
      </c>
      <c r="C29" s="48"/>
      <c r="D29" s="48">
        <v>24</v>
      </c>
      <c r="E29" s="48">
        <v>20</v>
      </c>
      <c r="F29" s="48" t="s">
        <v>544</v>
      </c>
      <c r="G29" s="48"/>
      <c r="H29" s="50" t="str">
        <f>IF($B29="","",IF($J29="X",B29,CONCATENATE(VLOOKUP(B29,Competitors!$A$2:$I$650,3,FALSE)," ",VLOOKUP(B29,Competitors!$A$2:$I$650,2,FALSE))))</f>
        <v>Colin Dobson</v>
      </c>
      <c r="I29" s="51">
        <f t="shared" si="0"/>
        <v>1.6898148148148148E-2</v>
      </c>
      <c r="J29" t="str">
        <f t="shared" si="1"/>
        <v/>
      </c>
    </row>
    <row r="30" spans="1:10" ht="15">
      <c r="A30" s="46" t="s">
        <v>421</v>
      </c>
      <c r="B30" s="47">
        <v>415</v>
      </c>
      <c r="C30" s="48"/>
      <c r="D30" s="48">
        <v>24</v>
      </c>
      <c r="E30" s="48">
        <v>31</v>
      </c>
      <c r="F30" s="48" t="s">
        <v>544</v>
      </c>
      <c r="G30" s="48"/>
      <c r="H30" s="50" t="str">
        <f>IF($B30="","",IF($J30="X",B30,CONCATENATE(VLOOKUP(B30,Competitors!$A$2:$I$650,3,FALSE)," ",VLOOKUP(B30,Competitors!$A$2:$I$650,2,FALSE))))</f>
        <v>Nik Kershaw</v>
      </c>
      <c r="I30" s="51">
        <f t="shared" si="0"/>
        <v>1.7025462962962964E-2</v>
      </c>
      <c r="J30" t="str">
        <f t="shared" si="1"/>
        <v/>
      </c>
    </row>
    <row r="31" spans="1:10" ht="15">
      <c r="A31" s="46" t="s">
        <v>423</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413</v>
      </c>
      <c r="B32" s="47">
        <v>989</v>
      </c>
      <c r="C32" s="48"/>
      <c r="D32" s="48">
        <v>23</v>
      </c>
      <c r="E32" s="48">
        <v>50</v>
      </c>
      <c r="F32" s="48" t="s">
        <v>544</v>
      </c>
      <c r="G32" s="48"/>
      <c r="H32" s="50" t="str">
        <f>IF($B32="","",IF($J32="X",B32,CONCATENATE(VLOOKUP(B32,Competitors!$A$2:$I$650,3,FALSE)," ",VLOOKUP(B32,Competitors!$A$2:$I$650,2,FALSE))))</f>
        <v>Jason Williams</v>
      </c>
      <c r="I32" s="51">
        <f t="shared" si="0"/>
        <v>1.6550925925925927E-2</v>
      </c>
      <c r="J32" t="str">
        <f t="shared" si="1"/>
        <v/>
      </c>
    </row>
    <row r="33" spans="1:10" ht="15">
      <c r="A33" s="46" t="s">
        <v>412</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579</v>
      </c>
      <c r="B34" s="47">
        <v>1370</v>
      </c>
      <c r="C34" s="48"/>
      <c r="D34" s="48">
        <v>25</v>
      </c>
      <c r="E34" s="48">
        <v>19</v>
      </c>
      <c r="F34" s="48" t="s">
        <v>544</v>
      </c>
      <c r="G34" s="48"/>
      <c r="H34" s="50" t="str">
        <f>IF($B34="","",IF($J34="X",B34,CONCATENATE(VLOOKUP(B34,Competitors!$A$2:$I$650,3,FALSE)," ",VLOOKUP(B34,Competitors!$A$2:$I$650,2,FALSE))))</f>
        <v>Ian Aldridge</v>
      </c>
      <c r="I34" s="51">
        <f t="shared" si="0"/>
        <v>1.758101851851852E-2</v>
      </c>
      <c r="J34" t="str">
        <f t="shared" si="1"/>
        <v/>
      </c>
    </row>
    <row r="35" spans="1:10" ht="15">
      <c r="A35" s="46" t="s">
        <v>428</v>
      </c>
      <c r="B35" s="47">
        <v>1237</v>
      </c>
      <c r="C35" s="48"/>
      <c r="D35" s="48">
        <v>24</v>
      </c>
      <c r="E35" s="48">
        <v>41</v>
      </c>
      <c r="F35" s="48" t="s">
        <v>544</v>
      </c>
      <c r="G35" s="48"/>
      <c r="H35" s="50" t="str">
        <f>IF($B35="","",IF($J35="X",B35,CONCATENATE(VLOOKUP(B35,Competitors!$A$2:$I$650,3,FALSE)," ",VLOOKUP(B35,Competitors!$A$2:$I$650,2,FALSE))))</f>
        <v>John Abbott</v>
      </c>
      <c r="I35" s="51">
        <f t="shared" si="0"/>
        <v>1.7141203703703704E-2</v>
      </c>
      <c r="J35" t="str">
        <f t="shared" si="1"/>
        <v/>
      </c>
    </row>
    <row r="36" spans="1:10" ht="15">
      <c r="A36" s="46" t="s">
        <v>580</v>
      </c>
      <c r="B36" s="47" t="s">
        <v>580</v>
      </c>
      <c r="C36" s="48"/>
      <c r="D36" s="48">
        <v>26</v>
      </c>
      <c r="E36" s="48">
        <v>19</v>
      </c>
      <c r="F36" s="48" t="s">
        <v>544</v>
      </c>
      <c r="G36" s="48"/>
      <c r="H36" s="50" t="str">
        <f>IF($B36="","",IF($J36="X",B36,CONCATENATE(VLOOKUP(B36,Competitors!$A$2:$I$650,3,FALSE)," ",VLOOKUP(B36,Competitors!$A$2:$I$650,2,FALSE))))</f>
        <v>Brian Harman</v>
      </c>
      <c r="I36" s="51">
        <f t="shared" si="0"/>
        <v>1.8275462962962962E-2</v>
      </c>
      <c r="J36" t="str">
        <f t="shared" si="1"/>
        <v>X</v>
      </c>
    </row>
    <row r="37" spans="1:10" ht="15">
      <c r="A37" s="46" t="s">
        <v>581</v>
      </c>
      <c r="B37" s="47" t="s">
        <v>581</v>
      </c>
      <c r="C37" s="48"/>
      <c r="D37" s="48"/>
      <c r="E37" s="48"/>
      <c r="F37" s="48"/>
      <c r="G37" s="48" t="s">
        <v>553</v>
      </c>
      <c r="H37" s="50" t="str">
        <f>IF($B37="","",IF($J37="X",B37,CONCATENATE(VLOOKUP(B37,Competitors!$A$2:$I$650,3,FALSE)," ",VLOOKUP(B37,Competitors!$A$2:$I$650,2,FALSE))))</f>
        <v>Jonathan Clarke</v>
      </c>
      <c r="I37" s="51">
        <f t="shared" si="0"/>
        <v>0</v>
      </c>
      <c r="J37" t="str">
        <f t="shared" si="1"/>
        <v>X</v>
      </c>
    </row>
    <row r="38" spans="1:10" ht="15">
      <c r="A38" s="46" t="s">
        <v>527</v>
      </c>
      <c r="B38" s="47" t="s">
        <v>558</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431</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452</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411</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420</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415</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432</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426</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790</v>
      </c>
      <c r="B46" s="47" t="s">
        <v>792</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416</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528</v>
      </c>
      <c r="B48" s="47" t="s">
        <v>528</v>
      </c>
      <c r="C48" s="48"/>
      <c r="D48" s="48">
        <v>20</v>
      </c>
      <c r="E48" s="48">
        <v>22</v>
      </c>
      <c r="F48" s="48" t="s">
        <v>544</v>
      </c>
      <c r="G48" s="48"/>
      <c r="H48" s="50" t="str">
        <f>IF($B48="","",IF($J48="X",B48,CONCATENATE(VLOOKUP(B48,Competitors!$A$2:$I$650,3,FALSE)," ",VLOOKUP(B48,Competitors!$A$2:$I$650,2,FALSE))))</f>
        <v>Hudson Hendry</v>
      </c>
      <c r="I48" s="51">
        <f t="shared" si="2"/>
        <v>1.4143518518518519E-2</v>
      </c>
      <c r="J48" t="str">
        <f t="shared" si="1"/>
        <v>X</v>
      </c>
    </row>
    <row r="49" spans="1:10" ht="15">
      <c r="A49" s="46" t="s">
        <v>512</v>
      </c>
      <c r="B49" s="47" t="s">
        <v>567</v>
      </c>
      <c r="C49" s="48"/>
      <c r="D49" s="48">
        <v>29</v>
      </c>
      <c r="E49" s="48">
        <v>58</v>
      </c>
      <c r="F49" s="48" t="s">
        <v>544</v>
      </c>
      <c r="G49" s="48"/>
      <c r="H49" s="50" t="str">
        <f>IF($B49="","",IF($J49="X",B49,CONCATENATE(VLOOKUP(B49,Competitors!$A$2:$I$650,3,FALSE)," ",VLOOKUP(B49,Competitors!$A$2:$I$650,2,FALSE))))</f>
        <v>Paul Eden (Ratae)</v>
      </c>
      <c r="I49" s="51">
        <f t="shared" si="2"/>
        <v>2.0810185185185185E-2</v>
      </c>
      <c r="J49" t="str">
        <f t="shared" si="1"/>
        <v>X</v>
      </c>
    </row>
    <row r="50" spans="1:10" ht="15">
      <c r="A50" s="46" t="s">
        <v>583</v>
      </c>
      <c r="B50" s="47" t="s">
        <v>583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582</v>
      </c>
      <c r="B51" s="47">
        <v>1347</v>
      </c>
      <c r="C51" s="48"/>
      <c r="D51" s="48">
        <v>26</v>
      </c>
      <c r="E51" s="48">
        <v>5</v>
      </c>
      <c r="F51" s="48" t="s">
        <v>544</v>
      </c>
      <c r="G51" s="48"/>
      <c r="H51" s="50" t="str">
        <f>IF($B51="","",IF($J51="X",B51,CONCATENATE(VLOOKUP(B51,Competitors!$A$2:$I$650,3,FALSE)," ",VLOOKUP(B51,Competitors!$A$2:$I$650,2,FALSE))))</f>
        <v>Stuart Simpson-Smith</v>
      </c>
      <c r="I51" s="51">
        <f t="shared" si="2"/>
        <v>1.8113425925925925E-2</v>
      </c>
      <c r="J51" t="str">
        <f t="shared" si="1"/>
        <v/>
      </c>
    </row>
    <row r="52" spans="1:10" ht="15">
      <c r="A52" s="46" t="s">
        <v>414</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Event_11</v>
      </c>
    </row>
    <row r="104" spans="1:10">
      <c r="B104" t="s">
        <v>552</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 workbookViewId="1"/>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446</v>
      </c>
      <c r="B2" s="47">
        <v>1379</v>
      </c>
      <c r="C2" s="48"/>
      <c r="D2" s="49">
        <v>76</v>
      </c>
      <c r="E2" s="49">
        <v>10</v>
      </c>
      <c r="F2" s="49" t="s">
        <v>544</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443</v>
      </c>
      <c r="B3" s="47">
        <v>1193</v>
      </c>
      <c r="C3" s="48"/>
      <c r="D3" s="49">
        <v>72</v>
      </c>
      <c r="E3" s="49">
        <v>25</v>
      </c>
      <c r="F3" s="49" t="s">
        <v>544</v>
      </c>
      <c r="G3" s="49"/>
      <c r="H3" s="50" t="str">
        <f>IF($B3="","",IF($J3="X",B3,CONCATENATE(VLOOKUP(B3,Competitors!$A$2:$I$650,3,FALSE)," ",VLOOKUP(B3,Competitors!$A$2:$I$650,2,FALSE))))</f>
        <v>Richard Hardwicke</v>
      </c>
      <c r="I3" s="51">
        <f t="shared" si="0"/>
        <v>5.0289351851851849E-2</v>
      </c>
      <c r="J3" t="str">
        <f t="shared" si="1"/>
        <v/>
      </c>
    </row>
    <row r="4" spans="1:10" ht="15">
      <c r="A4" s="46" t="s">
        <v>523</v>
      </c>
      <c r="B4" s="47" t="s">
        <v>599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447</v>
      </c>
      <c r="B5" s="47">
        <v>1194</v>
      </c>
      <c r="C5" s="48"/>
      <c r="D5" s="49">
        <v>79</v>
      </c>
      <c r="E5" s="49">
        <v>11</v>
      </c>
      <c r="F5" s="49" t="s">
        <v>544</v>
      </c>
      <c r="G5" s="49"/>
      <c r="H5" s="50" t="str">
        <f>IF($B5="","",IF($J5="X",B5,CONCATENATE(VLOOKUP(B5,Competitors!$A$2:$I$650,3,FALSE)," ",VLOOKUP(B5,Competitors!$A$2:$I$650,2,FALSE))))</f>
        <v>Alex Hardwicke</v>
      </c>
      <c r="I5" s="51">
        <f t="shared" si="0"/>
        <v>5.4988425925925927E-2</v>
      </c>
      <c r="J5" t="str">
        <f t="shared" si="1"/>
        <v/>
      </c>
    </row>
    <row r="6" spans="1:10" ht="15">
      <c r="A6" s="46" t="s">
        <v>515</v>
      </c>
      <c r="B6" s="47" t="s">
        <v>600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418</v>
      </c>
      <c r="B7" s="47">
        <v>1355</v>
      </c>
      <c r="C7" s="48"/>
      <c r="D7" s="49">
        <v>64</v>
      </c>
      <c r="E7" s="49">
        <v>46</v>
      </c>
      <c r="F7" s="49" t="s">
        <v>544</v>
      </c>
      <c r="G7" s="49"/>
      <c r="H7" s="50" t="str">
        <f>IF($B7="","",IF($J7="X",B7,CONCATENATE(VLOOKUP(B7,Competitors!$A$2:$I$650,3,FALSE)," ",VLOOKUP(B7,Competitors!$A$2:$I$650,2,FALSE))))</f>
        <v>Aubrey Elmer</v>
      </c>
      <c r="I7" s="51">
        <f t="shared" si="0"/>
        <v>4.4976851851851851E-2</v>
      </c>
      <c r="J7" t="str">
        <f t="shared" si="1"/>
        <v/>
      </c>
    </row>
    <row r="8" spans="1:10" ht="15">
      <c r="A8" s="46" t="s">
        <v>437</v>
      </c>
      <c r="B8" s="47">
        <v>1195</v>
      </c>
      <c r="C8" s="48"/>
      <c r="D8" s="49">
        <v>71</v>
      </c>
      <c r="E8" s="49">
        <v>45</v>
      </c>
      <c r="F8" s="49" t="s">
        <v>544</v>
      </c>
      <c r="G8" s="49"/>
      <c r="H8" s="50" t="str">
        <f>IF($B8="","",IF($J8="X",B8,CONCATENATE(VLOOKUP(B8,Competitors!$A$2:$I$650,3,FALSE)," ",VLOOKUP(B8,Competitors!$A$2:$I$650,2,FALSE))))</f>
        <v>Charlie Hardwicke</v>
      </c>
      <c r="I8" s="51">
        <f t="shared" si="0"/>
        <v>4.9826388888888892E-2</v>
      </c>
      <c r="J8" t="str">
        <f t="shared" si="1"/>
        <v/>
      </c>
    </row>
    <row r="9" spans="1:10" ht="15">
      <c r="A9" s="46" t="s">
        <v>587</v>
      </c>
      <c r="B9" s="47" t="s">
        <v>601</v>
      </c>
      <c r="C9" s="48"/>
      <c r="D9" s="49">
        <v>73</v>
      </c>
      <c r="E9" s="49">
        <v>45</v>
      </c>
      <c r="F9" s="49" t="s">
        <v>593</v>
      </c>
      <c r="G9" s="49"/>
      <c r="H9" s="50" t="str">
        <f>IF($B9="","",IF($J9="X",B9,CONCATENATE(VLOOKUP(B9,Competitors!$A$2:$I$650,3,FALSE)," ",VLOOKUP(B9,Competitors!$A$2:$I$650,2,FALSE))))</f>
        <v>Steve Wickham (RFW)</v>
      </c>
      <c r="I9" s="51">
        <f t="shared" si="0"/>
        <v>5.1215277777777776E-2</v>
      </c>
      <c r="J9" t="str">
        <f t="shared" si="1"/>
        <v>X</v>
      </c>
    </row>
    <row r="10" spans="1:10" ht="15">
      <c r="A10" s="46" t="s">
        <v>438</v>
      </c>
      <c r="B10" s="47">
        <v>704</v>
      </c>
      <c r="C10" s="48"/>
      <c r="D10" s="49">
        <v>73</v>
      </c>
      <c r="E10" s="49">
        <v>50</v>
      </c>
      <c r="F10" s="49" t="s">
        <v>593</v>
      </c>
      <c r="G10" s="49"/>
      <c r="H10" s="50" t="str">
        <f>IF($B10="","",IF($J10="X",B10,CONCATENATE(VLOOKUP(B10,Competitors!$A$2:$I$650,3, FALSE)," ",VLOOKUP(B10,Competitors!$A$2:$I$650,2,FALSE))))</f>
        <v>Chris Dainty</v>
      </c>
      <c r="I10" s="51">
        <f t="shared" si="0"/>
        <v>5.1273148148148151E-2</v>
      </c>
      <c r="J10" t="str">
        <f t="shared" si="1"/>
        <v/>
      </c>
    </row>
    <row r="11" spans="1:10" ht="15">
      <c r="A11" s="46" t="s">
        <v>415</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519</v>
      </c>
      <c r="B12" s="47" t="s">
        <v>602</v>
      </c>
      <c r="C12" s="48"/>
      <c r="D12" s="49">
        <v>72</v>
      </c>
      <c r="E12" s="49">
        <v>32</v>
      </c>
      <c r="F12" s="49" t="s">
        <v>544</v>
      </c>
      <c r="G12" s="49"/>
      <c r="H12" s="50" t="str">
        <f>IF($B12="","",IF($J12="X",B12,CONCATENATE(VLOOKUP(B12,Competitors!$A$2:$I$650,3,FALSE)," ",VLOOKUP(B12,Competitors!$A$2:$I$650,2,FALSE))))</f>
        <v>David Hill (RFW)</v>
      </c>
      <c r="I12" s="51">
        <f t="shared" si="0"/>
        <v>5.0370370370370371E-2</v>
      </c>
      <c r="J12" t="str">
        <f t="shared" si="1"/>
        <v>X</v>
      </c>
    </row>
    <row r="13" spans="1:10" ht="15">
      <c r="A13" s="46" t="s">
        <v>439</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586</v>
      </c>
      <c r="B14" s="47" t="s">
        <v>603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422</v>
      </c>
      <c r="B15" s="47">
        <v>1407</v>
      </c>
      <c r="C15" s="48"/>
      <c r="D15" s="49">
        <v>64</v>
      </c>
      <c r="E15" s="49">
        <v>56</v>
      </c>
      <c r="F15" s="49" t="s">
        <v>544</v>
      </c>
      <c r="G15" s="49"/>
      <c r="H15" s="50" t="str">
        <f>IF($B15="","",IF($J15="X",B15,CONCATENATE(VLOOKUP(B15,Competitors!$A$2:$I$650,3,FALSE)," ",VLOOKUP(B15,Competitors!$A$2:$I$650,2,FALSE))))</f>
        <v>Colin Dobson</v>
      </c>
      <c r="I15" s="51">
        <f t="shared" si="0"/>
        <v>4.5092592592592594E-2</v>
      </c>
      <c r="J15" t="str">
        <f t="shared" si="1"/>
        <v/>
      </c>
    </row>
    <row r="16" spans="1:10" ht="15">
      <c r="A16" s="46" t="s">
        <v>429</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585</v>
      </c>
      <c r="B17" s="47" t="s">
        <v>604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526</v>
      </c>
      <c r="B18" s="47" t="s">
        <v>605</v>
      </c>
      <c r="C18" s="48"/>
      <c r="D18" s="49">
        <v>70</v>
      </c>
      <c r="E18" s="49">
        <v>45</v>
      </c>
      <c r="F18" s="49" t="s">
        <v>544</v>
      </c>
      <c r="G18" s="49"/>
      <c r="H18" s="50" t="str">
        <f>IF($B18="","",IF($J18="X",B18,CONCATENATE(VLOOKUP(B18,Competitors!$A$2:$I$650,3,FALSE)," ",VLOOKUP(B18,Competitors!$A$2:$I$650,2,FALSE))))</f>
        <v>Paul Ryan (RFW)</v>
      </c>
      <c r="I18" s="51">
        <f t="shared" si="0"/>
        <v>4.9131944444444443E-2</v>
      </c>
      <c r="J18" t="str">
        <f t="shared" si="1"/>
        <v>X</v>
      </c>
    </row>
    <row r="19" spans="1:10" ht="15">
      <c r="A19" s="46" t="s">
        <v>435</v>
      </c>
      <c r="B19" s="47">
        <v>846</v>
      </c>
      <c r="C19" s="48"/>
      <c r="D19" s="49"/>
      <c r="E19" s="49"/>
      <c r="F19" s="49"/>
      <c r="G19" s="49" t="s">
        <v>553</v>
      </c>
      <c r="H19" s="50" t="str">
        <f>IF($B19="","",IF($J19="X",B19,CONCATENATE(VLOOKUP(B19,Competitors!$A$2:$I$650,3,FALSE)," ",VLOOKUP(B19,Competitors!$A$2:$I$650,2,FALSE))))</f>
        <v>Roger Kockelbergh</v>
      </c>
      <c r="I19" s="51">
        <f t="shared" si="0"/>
        <v>0</v>
      </c>
      <c r="J19" t="str">
        <f t="shared" si="1"/>
        <v/>
      </c>
    </row>
    <row r="20" spans="1:10" ht="15">
      <c r="A20" s="46" t="s">
        <v>590</v>
      </c>
      <c r="B20" s="47" t="s">
        <v>606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413</v>
      </c>
      <c r="B21" s="47">
        <v>989</v>
      </c>
      <c r="C21" s="48"/>
      <c r="D21" s="49">
        <v>73</v>
      </c>
      <c r="E21" s="49">
        <v>6</v>
      </c>
      <c r="F21" s="49" t="s">
        <v>544</v>
      </c>
      <c r="G21" s="49"/>
      <c r="H21" s="50" t="str">
        <f>IF($B21="","",IF($J21="X",B21,CONCATENATE(VLOOKUP(B21,Competitors!$A$2:$I$650,3,FALSE)," ",VLOOKUP(B21,Competitors!$A$2:$I$650,2,FALSE))))</f>
        <v>Jason Williams</v>
      </c>
      <c r="I21" s="51">
        <f t="shared" si="0"/>
        <v>5.0763888888888886E-2</v>
      </c>
      <c r="J21" t="str">
        <f t="shared" si="1"/>
        <v/>
      </c>
    </row>
    <row r="22" spans="1:10" ht="15">
      <c r="A22" s="46" t="s">
        <v>584</v>
      </c>
      <c r="B22" s="47" t="s">
        <v>607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432</v>
      </c>
      <c r="B23" s="47">
        <v>1112</v>
      </c>
      <c r="C23" s="48"/>
      <c r="D23" s="49"/>
      <c r="E23" s="49"/>
      <c r="F23" s="49"/>
      <c r="G23" s="49" t="s">
        <v>553</v>
      </c>
      <c r="H23" s="50" t="str">
        <f>IF($B23="","",IF($J23="X",B23,CONCATENATE(VLOOKUP(B23,Competitors!$A$2:$I$650,3,FALSE)," ",VLOOKUP(B23,Competitors!$A$2:$I$650,2,FALSE))))</f>
        <v>Gary Ashwell</v>
      </c>
      <c r="I23" s="51">
        <f t="shared" si="0"/>
        <v>0</v>
      </c>
      <c r="J23" t="str">
        <f t="shared" si="1"/>
        <v/>
      </c>
    </row>
    <row r="24" spans="1:10" ht="15">
      <c r="A24" s="46" t="s">
        <v>790</v>
      </c>
      <c r="B24" s="47" t="s">
        <v>792</v>
      </c>
      <c r="C24" s="48"/>
      <c r="D24" s="49"/>
      <c r="E24" s="49"/>
      <c r="F24" s="49"/>
      <c r="G24" s="49" t="s">
        <v>553</v>
      </c>
      <c r="H24" s="50" t="str">
        <f>IF($B24="","",IF($J24="X",B24,CONCATENATE(VLOOKUP(B24,Competitors!$A$2:$I$650,3,FALSE)," ",VLOOKUP(B24,Competitors!$A$2:$I$650,2,FALSE))))</f>
        <v>Mike Deely (George Fox CS) (RFW)</v>
      </c>
      <c r="I24" s="51">
        <f t="shared" si="0"/>
        <v>0</v>
      </c>
      <c r="J24" t="str">
        <f t="shared" si="1"/>
        <v>X</v>
      </c>
    </row>
    <row r="25" spans="1:10" ht="15">
      <c r="A25" s="46" t="s">
        <v>433</v>
      </c>
      <c r="B25" s="47">
        <v>1109</v>
      </c>
      <c r="C25" s="48"/>
      <c r="D25" s="49"/>
      <c r="E25" s="49"/>
      <c r="F25" s="49"/>
      <c r="G25" s="49" t="s">
        <v>546</v>
      </c>
      <c r="H25" s="50" t="str">
        <f>IF($B25="","",IF($J25="X",B25,CONCATENATE(VLOOKUP(B25,Competitors!$A$2:$I$650,3,FALSE)," ",VLOOKUP(B25,Competitors!$A$2:$I$650,2,FALSE))))</f>
        <v>Stuart Haycox</v>
      </c>
      <c r="I25" s="51">
        <f t="shared" si="0"/>
        <v>0</v>
      </c>
      <c r="J25" t="str">
        <f t="shared" si="1"/>
        <v/>
      </c>
    </row>
    <row r="26" spans="1:10" ht="15">
      <c r="A26" s="46" t="s">
        <v>524</v>
      </c>
      <c r="B26" s="47" t="s">
        <v>598</v>
      </c>
      <c r="C26" s="48"/>
      <c r="D26" s="49">
        <v>67</v>
      </c>
      <c r="E26" s="49">
        <v>14</v>
      </c>
      <c r="F26" s="49" t="s">
        <v>544</v>
      </c>
      <c r="G26" s="49"/>
      <c r="H26" s="50" t="str">
        <f>IF($B26="","",IF($J26="X",B26,CONCATENATE(VLOOKUP(B26,Competitors!$A$2:$I$650,3,FALSE)," ",VLOOKUP(B26,Competitors!$A$2:$I$650,2,FALSE))))</f>
        <v>Michael Carter (RFW)</v>
      </c>
      <c r="I26" s="51">
        <f t="shared" si="0"/>
        <v>4.6689814814814816E-2</v>
      </c>
      <c r="J26" t="str">
        <f t="shared" si="1"/>
        <v>X</v>
      </c>
    </row>
    <row r="27" spans="1:10" ht="15">
      <c r="A27" s="46" t="s">
        <v>416</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589</v>
      </c>
      <c r="B28" s="47" t="s">
        <v>608</v>
      </c>
      <c r="C28" s="48"/>
      <c r="D28" s="49">
        <v>61</v>
      </c>
      <c r="E28" s="49">
        <v>34</v>
      </c>
      <c r="F28" s="49" t="s">
        <v>544</v>
      </c>
      <c r="G28" s="49"/>
      <c r="H28" s="50" t="str">
        <f>IF($B28="","",IF($J28="X",B28,CONCATENATE(VLOOKUP(B28,Competitors!$A$2:$I$650,3,FALSE)," ",VLOOKUP(B28,Competitors!$A$2:$I$650,2,FALSE))))</f>
        <v>Alex Barrowman (RFW)</v>
      </c>
      <c r="I28" s="51">
        <f t="shared" si="0"/>
        <v>4.2754629629629629E-2</v>
      </c>
      <c r="J28" t="str">
        <f t="shared" si="1"/>
        <v>X</v>
      </c>
    </row>
    <row r="29" spans="1:10" ht="15">
      <c r="A29" s="46" t="s">
        <v>414</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483</v>
      </c>
      <c r="B30" s="47" t="s">
        <v>597</v>
      </c>
      <c r="C30" s="48"/>
      <c r="D30" s="49">
        <v>63</v>
      </c>
      <c r="E30" s="49">
        <v>43</v>
      </c>
      <c r="F30" s="49" t="s">
        <v>544</v>
      </c>
      <c r="G30" s="49"/>
      <c r="H30" s="50" t="str">
        <f>IF($B30="","",IF($J30="X",B30,CONCATENATE(VLOOKUP(B30,Competitors!$A$2:$I$650,3,FALSE)," ",VLOOKUP(B30,Competitors!$A$2:$I$650,2,FALSE))))</f>
        <v>Andy King (KCC)</v>
      </c>
      <c r="I30" s="51">
        <f t="shared" si="0"/>
        <v>4.4247685185185189E-2</v>
      </c>
      <c r="J30" t="str">
        <f t="shared" si="1"/>
        <v>X</v>
      </c>
    </row>
    <row r="31" spans="1:10" ht="15">
      <c r="A31" s="46" t="s">
        <v>527</v>
      </c>
      <c r="B31" s="47" t="s">
        <v>558</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521</v>
      </c>
      <c r="B32" s="47" t="s">
        <v>609</v>
      </c>
      <c r="C32" s="48"/>
      <c r="D32" s="49">
        <v>69</v>
      </c>
      <c r="E32" s="49">
        <v>20</v>
      </c>
      <c r="F32" s="49" t="s">
        <v>544</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551</v>
      </c>
      <c r="C103" t="str" cm="1">
        <f t="array" aca="1" ref="C103" ca="1">MID(CELL("filename",B1),FIND("]",CELL("filename",B1))+1,255)</f>
        <v>Event_12</v>
      </c>
    </row>
    <row r="104" spans="1:10">
      <c r="B104" t="s">
        <v>552</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616</v>
      </c>
      <c r="B2" s="47">
        <f t="shared" ref="B2:B33" si="0">IF(A2="","",_xlfn.XLOOKUP(A2,ClubNames,ClubNumbers,_xlfn.XLOOKUP(A2,RoundRobinRiderNames,RoundRobinRiderDecoratedNames,A2)))</f>
        <v>990</v>
      </c>
      <c r="C2" s="48"/>
      <c r="D2" s="49">
        <v>33</v>
      </c>
      <c r="E2" s="49">
        <v>30</v>
      </c>
      <c r="F2" s="49" t="s">
        <v>544</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579</v>
      </c>
      <c r="B3" s="47">
        <f t="shared" si="0"/>
        <v>1370</v>
      </c>
      <c r="C3" s="48"/>
      <c r="D3" s="49">
        <v>26</v>
      </c>
      <c r="E3" s="49">
        <v>0</v>
      </c>
      <c r="F3" s="49" t="s">
        <v>544</v>
      </c>
      <c r="G3" s="65"/>
      <c r="H3" s="50" t="str">
        <f>IF($B3="","",IF($J3="X",B3,CONCATENATE(VLOOKUP(B3,Competitors!$A$2:$I$650,3,FALSE)," ",VLOOKUP(B3,Competitors!$A$2:$I$650,2,FALSE))))</f>
        <v>Ian Aldridge</v>
      </c>
      <c r="I3" s="51">
        <f t="shared" si="1"/>
        <v>1.8055555555555554E-2</v>
      </c>
      <c r="J3" t="str">
        <f t="shared" si="2"/>
        <v/>
      </c>
    </row>
    <row r="4" spans="1:10" ht="15">
      <c r="A4" s="46" t="s">
        <v>500</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459</v>
      </c>
      <c r="B5" s="47">
        <f t="shared" si="0"/>
        <v>742</v>
      </c>
      <c r="C5" s="48"/>
      <c r="D5" s="49">
        <v>33</v>
      </c>
      <c r="E5" s="49">
        <v>12</v>
      </c>
      <c r="F5" s="49" t="s">
        <v>544</v>
      </c>
      <c r="G5" s="65"/>
      <c r="H5" s="50" t="str">
        <f>IF($B5="","",IF($J5="X",B5,CONCATENATE(VLOOKUP(B5,Competitors!$A$2:$I$650,3,FALSE)," ",VLOOKUP(B5,Competitors!$A$2:$I$650,2,FALSE))))</f>
        <v>Claire Moore</v>
      </c>
      <c r="I5" s="51">
        <f t="shared" si="1"/>
        <v>2.3055555555555555E-2</v>
      </c>
      <c r="J5" t="str">
        <f t="shared" si="2"/>
        <v/>
      </c>
    </row>
    <row r="6" spans="1:10" ht="15">
      <c r="A6" s="46" t="s">
        <v>523</v>
      </c>
      <c r="B6" s="47" t="str">
        <f>IF(A6="","",_xlfn.XLOOKUP(A6,ClubNames,ClubNumbers,_xlfn.XLOOKUP(A6,RoundRobinRiderNames,RoundRobinRiderDecoratedNames,A6)))</f>
        <v>Lynne Wilkinson-Scofield (RFW)</v>
      </c>
      <c r="C6" s="48"/>
      <c r="D6" s="49"/>
      <c r="E6" s="49"/>
      <c r="F6" s="49"/>
      <c r="G6" s="49" t="s">
        <v>553</v>
      </c>
      <c r="H6" s="50" t="str">
        <f>IF($B6="","",IF($J6="X",B6,CONCATENATE(VLOOKUP(B6,Competitors!$A$2:$I$650,3,FALSE)," ",VLOOKUP(B6,Competitors!$A$2:$I$650,2,FALSE))))</f>
        <v>Lynne Wilkinson-Scofield (RFW)</v>
      </c>
      <c r="I6" s="51">
        <f t="shared" si="1"/>
        <v>0</v>
      </c>
      <c r="J6" t="str">
        <f t="shared" si="2"/>
        <v>X</v>
      </c>
    </row>
    <row r="7" spans="1:10" ht="15">
      <c r="A7" s="46" t="s">
        <v>446</v>
      </c>
      <c r="B7" s="47">
        <f t="shared" si="0"/>
        <v>1379</v>
      </c>
      <c r="C7" s="48"/>
      <c r="D7" s="49">
        <v>29</v>
      </c>
      <c r="E7" s="49">
        <v>34</v>
      </c>
      <c r="F7" s="49" t="s">
        <v>544</v>
      </c>
      <c r="G7" s="65"/>
      <c r="H7" s="50" t="str">
        <f>IF($B7="","",IF($J7="X",B7,CONCATENATE(VLOOKUP(B7,Competitors!$A$2:$I$650,3,FALSE)," ",VLOOKUP(B7,Competitors!$A$2:$I$650,2,FALSE))))</f>
        <v>Michaela Latham</v>
      </c>
      <c r="I7" s="51">
        <f t="shared" si="1"/>
        <v>2.0532407407407409E-2</v>
      </c>
      <c r="J7" t="str">
        <f t="shared" si="2"/>
        <v/>
      </c>
    </row>
    <row r="8" spans="1:10" ht="15">
      <c r="A8" s="60" t="s">
        <v>460</v>
      </c>
      <c r="B8" s="47">
        <f t="shared" si="0"/>
        <v>7</v>
      </c>
      <c r="C8" s="48"/>
      <c r="D8" s="49">
        <v>31</v>
      </c>
      <c r="E8" s="49">
        <v>41</v>
      </c>
      <c r="F8" s="49" t="s">
        <v>544</v>
      </c>
      <c r="G8" s="65"/>
      <c r="H8" s="50" t="str">
        <f>IF($B8="","",IF($J8="X",B8,CONCATENATE(VLOOKUP(B8,Competitors!$A$2:$I$650,3,FALSE)," ",VLOOKUP(B8,Competitors!$A$2:$I$650,2,FALSE))))</f>
        <v>Vic Barnett</v>
      </c>
      <c r="I8" s="51">
        <f t="shared" si="1"/>
        <v>2.2002314814814815E-2</v>
      </c>
      <c r="J8" t="str">
        <f t="shared" si="2"/>
        <v/>
      </c>
    </row>
    <row r="9" spans="1:10" ht="15">
      <c r="A9" s="46" t="s">
        <v>582</v>
      </c>
      <c r="B9" s="47">
        <f t="shared" si="0"/>
        <v>1347</v>
      </c>
      <c r="C9" s="48"/>
      <c r="D9" s="49">
        <v>26</v>
      </c>
      <c r="E9" s="49">
        <v>38</v>
      </c>
      <c r="F9" s="49" t="s">
        <v>544</v>
      </c>
      <c r="G9" s="65"/>
      <c r="H9" s="50" t="str">
        <f>IF($B9="","",IF($J9="X",B9,CONCATENATE(VLOOKUP(B9,Competitors!$A$2:$I$650,3,FALSE)," ",VLOOKUP(B9,Competitors!$A$2:$I$650,2,FALSE))))</f>
        <v>Stuart Simpson-Smith</v>
      </c>
      <c r="I9" s="51">
        <f t="shared" si="1"/>
        <v>1.849537037037037E-2</v>
      </c>
      <c r="J9" t="str">
        <f t="shared" si="2"/>
        <v/>
      </c>
    </row>
    <row r="10" spans="1:10" ht="15">
      <c r="A10" s="46" t="s">
        <v>510</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423</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501</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614</v>
      </c>
      <c r="B13" s="47">
        <f t="shared" si="0"/>
        <v>1391</v>
      </c>
      <c r="C13" s="48"/>
      <c r="D13" s="49">
        <v>24</v>
      </c>
      <c r="E13" s="49">
        <v>59</v>
      </c>
      <c r="F13" s="49" t="s">
        <v>544</v>
      </c>
      <c r="G13" s="65"/>
      <c r="H13" s="50" t="str">
        <f>IF($B13="","",IF($J13="X",B13,CONCATENATE(VLOOKUP(B13,Competitors!$A$2:$I$650,3,FALSE)," ",VLOOKUP(B13,Competitors!$A$2:$I$650,2,FALSE))))</f>
        <v>Leah Cuthbertson</v>
      </c>
      <c r="I13" s="51">
        <f t="shared" si="1"/>
        <v>1.7349537037037038E-2</v>
      </c>
      <c r="J13" t="str">
        <f t="shared" si="2"/>
        <v/>
      </c>
    </row>
    <row r="14" spans="1:10" ht="15">
      <c r="A14" s="46" t="s">
        <v>514</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442</v>
      </c>
      <c r="B15" s="47">
        <f t="shared" si="0"/>
        <v>564</v>
      </c>
      <c r="C15" s="48"/>
      <c r="D15" s="49">
        <v>28</v>
      </c>
      <c r="E15" s="49">
        <v>24</v>
      </c>
      <c r="F15" s="49" t="s">
        <v>544</v>
      </c>
      <c r="G15" s="49"/>
      <c r="H15" s="50" t="str">
        <f>IF($B15="","",IF($J15="X",B15,CONCATENATE(VLOOKUP(B15,Competitors!$A$2:$I$650,3,FALSE)," ",VLOOKUP(B15,Competitors!$A$2:$I$650,2,FALSE))))</f>
        <v>Ian Murdey</v>
      </c>
      <c r="I15" s="51">
        <f t="shared" si="1"/>
        <v>1.9722222222222221E-2</v>
      </c>
      <c r="J15" t="str">
        <f t="shared" si="2"/>
        <v/>
      </c>
    </row>
    <row r="16" spans="1:10" ht="15">
      <c r="A16" s="46" t="s">
        <v>457</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576</v>
      </c>
      <c r="B17" s="47">
        <f t="shared" si="0"/>
        <v>741</v>
      </c>
      <c r="C17" s="48"/>
      <c r="D17" s="49">
        <v>24</v>
      </c>
      <c r="E17" s="49">
        <v>8</v>
      </c>
      <c r="F17" s="49" t="s">
        <v>544</v>
      </c>
      <c r="G17" s="65"/>
      <c r="H17" s="50" t="str">
        <f>IF($B17="","",IF($J17="X",B17,CONCATENATE(VLOOKUP(B17,Competitors!$A$2:$I$650,3,FALSE)," ",VLOOKUP(B17,Competitors!$A$2:$I$650,2,FALSE))))</f>
        <v>Rob Moore</v>
      </c>
      <c r="I17" s="51">
        <f t="shared" si="1"/>
        <v>1.6759259259259258E-2</v>
      </c>
      <c r="J17" t="str">
        <f t="shared" si="2"/>
        <v/>
      </c>
    </row>
    <row r="18" spans="1:10" ht="15">
      <c r="A18" s="46" t="s">
        <v>439</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422</v>
      </c>
      <c r="B19" s="47">
        <f t="shared" si="0"/>
        <v>1407</v>
      </c>
      <c r="C19" s="48"/>
      <c r="D19" s="49">
        <v>26</v>
      </c>
      <c r="E19" s="49">
        <v>38</v>
      </c>
      <c r="F19" s="49" t="s">
        <v>544</v>
      </c>
      <c r="G19" s="65"/>
      <c r="H19" s="50" t="str">
        <f>IF($B19="","",IF($J19="X",B19,CONCATENATE(VLOOKUP(B19,Competitors!$A$2:$I$650,3,FALSE)," ",VLOOKUP(B19,Competitors!$A$2:$I$650,2,FALSE))))</f>
        <v>Colin Dobson</v>
      </c>
      <c r="I19" s="51">
        <f t="shared" si="1"/>
        <v>1.849537037037037E-2</v>
      </c>
      <c r="J19" t="str">
        <f t="shared" si="2"/>
        <v/>
      </c>
    </row>
    <row r="20" spans="1:10" ht="15">
      <c r="A20" s="46" t="s">
        <v>431</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412</v>
      </c>
      <c r="B21" s="47">
        <f t="shared" si="0"/>
        <v>1144</v>
      </c>
      <c r="C21" s="48"/>
      <c r="D21" s="49">
        <v>23</v>
      </c>
      <c r="E21" s="49">
        <v>25</v>
      </c>
      <c r="F21" s="49" t="s">
        <v>544</v>
      </c>
      <c r="G21" s="65"/>
      <c r="H21" s="50" t="str">
        <f>IF($B21="","",IF($J21="X",B21,CONCATENATE(VLOOKUP(B21,Competitors!$A$2:$I$650,3,FALSE)," ",VLOOKUP(B21,Competitors!$A$2:$I$650,2,FALSE))))</f>
        <v>Jamie Kershaw</v>
      </c>
      <c r="I21" s="51">
        <f t="shared" si="1"/>
        <v>1.6261574074074074E-2</v>
      </c>
      <c r="J21" t="str">
        <f t="shared" si="2"/>
        <v/>
      </c>
    </row>
    <row r="22" spans="1:10" ht="15">
      <c r="A22" s="60" t="s">
        <v>790</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577</v>
      </c>
      <c r="B23" s="47">
        <f t="shared" si="0"/>
        <v>1048</v>
      </c>
      <c r="C23" s="48"/>
      <c r="D23" s="49"/>
      <c r="E23" s="49"/>
      <c r="F23" s="49" t="s">
        <v>544</v>
      </c>
      <c r="G23" s="65" t="s">
        <v>553</v>
      </c>
      <c r="H23" s="50" t="str">
        <f>IF($B23="","",IF($J23="X",B23,CONCATENATE(VLOOKUP(B23,Competitors!$A$2:$I$650,3,FALSE)," ",VLOOKUP(B23,Competitors!$A$2:$I$650,2,FALSE))))</f>
        <v>Andy Smith</v>
      </c>
      <c r="I23" s="51">
        <f t="shared" si="1"/>
        <v>0</v>
      </c>
      <c r="J23" t="str">
        <f t="shared" si="2"/>
        <v/>
      </c>
    </row>
    <row r="24" spans="1:10" ht="15">
      <c r="A24" s="60" t="s">
        <v>458</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592</v>
      </c>
      <c r="B25" s="47">
        <f t="shared" si="0"/>
        <v>1390</v>
      </c>
      <c r="C25" s="48"/>
      <c r="D25" s="49">
        <v>24</v>
      </c>
      <c r="E25" s="49">
        <v>51</v>
      </c>
      <c r="F25" s="49" t="s">
        <v>544</v>
      </c>
      <c r="G25" s="65"/>
      <c r="H25" s="50" t="str">
        <f>IF($B25="","",IF($J25="X",B25,CONCATENATE(VLOOKUP(B25,Competitors!$A$2:$I$650,3,FALSE)," ",VLOOKUP(B25,Competitors!$A$2:$I$650,2,FALSE))))</f>
        <v>Diego Patteri</v>
      </c>
      <c r="I25" s="51">
        <f t="shared" si="1"/>
        <v>1.7256944444444443E-2</v>
      </c>
      <c r="J25" t="str">
        <f t="shared" si="2"/>
        <v/>
      </c>
    </row>
    <row r="26" spans="1:10" ht="15">
      <c r="A26" s="46" t="s">
        <v>410</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428</v>
      </c>
      <c r="B27" s="47">
        <f t="shared" si="0"/>
        <v>1237</v>
      </c>
      <c r="C27" s="48"/>
      <c r="D27" s="49">
        <v>26</v>
      </c>
      <c r="E27" s="49">
        <v>9</v>
      </c>
      <c r="F27" s="49" t="s">
        <v>544</v>
      </c>
      <c r="G27" s="65"/>
      <c r="H27" s="50" t="str">
        <f>IF($B27="","",IF($J27="X",B27,CONCATENATE(VLOOKUP(B27,Competitors!$A$2:$I$650,3,FALSE)," ",VLOOKUP(B27,Competitors!$A$2:$I$650,2,FALSE))))</f>
        <v>John Abbott</v>
      </c>
      <c r="I27" s="51">
        <f t="shared" si="1"/>
        <v>1.8159722222222223E-2</v>
      </c>
      <c r="J27" t="str">
        <f t="shared" si="2"/>
        <v/>
      </c>
    </row>
    <row r="28" spans="1:10" ht="15">
      <c r="A28" s="46" t="s">
        <v>421</v>
      </c>
      <c r="B28" s="47">
        <f t="shared" si="0"/>
        <v>415</v>
      </c>
      <c r="C28" s="48"/>
      <c r="D28" s="49">
        <v>25</v>
      </c>
      <c r="E28" s="49">
        <v>59</v>
      </c>
      <c r="F28" s="49" t="s">
        <v>544</v>
      </c>
      <c r="G28" s="65"/>
      <c r="H28" s="50" t="str">
        <f>IF($B28="","",IF($J28="X",B28,CONCATENATE(VLOOKUP(B28,Competitors!$A$2:$I$650,3,FALSE)," ",VLOOKUP(B28,Competitors!$A$2:$I$650,2,FALSE))))</f>
        <v>Nik Kershaw</v>
      </c>
      <c r="I28" s="51">
        <f t="shared" si="1"/>
        <v>1.804398148148148E-2</v>
      </c>
      <c r="J28" t="str">
        <f t="shared" si="2"/>
        <v/>
      </c>
    </row>
    <row r="29" spans="1:10" ht="15">
      <c r="A29" s="46" t="s">
        <v>509</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413</v>
      </c>
      <c r="B30" s="47">
        <f t="shared" si="0"/>
        <v>989</v>
      </c>
      <c r="C30" s="48"/>
      <c r="D30" s="49"/>
      <c r="E30" s="49"/>
      <c r="F30" s="49" t="s">
        <v>544</v>
      </c>
      <c r="G30" s="65" t="s">
        <v>557</v>
      </c>
      <c r="H30" s="50" t="str">
        <f>IF($B30="","",IF($J30="X",B30,CONCATENATE(VLOOKUP(B30,Competitors!$A$2:$I$650,3,FALSE)," ",VLOOKUP(B30,Competitors!$A$2:$I$650,2,FALSE))))</f>
        <v>Jason Williams</v>
      </c>
      <c r="I30" s="51">
        <f t="shared" si="1"/>
        <v>0</v>
      </c>
      <c r="J30" t="str">
        <f t="shared" si="2"/>
        <v/>
      </c>
    </row>
    <row r="31" spans="1:10" ht="15">
      <c r="A31" s="46" t="s">
        <v>436</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429</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430</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691</v>
      </c>
      <c r="B34" s="47" t="str">
        <f>IF(A34="","",_xlfn.XLOOKUP(A34,ClubNames,ClubNumbers,_xlfn.XLOOKUP(A34,RoundRobinRiderNames,RoundRobinRiderDecoratedNames,A34)))</f>
        <v>Paul Akroyd (VTTA E.Mids)</v>
      </c>
      <c r="C34" s="48"/>
      <c r="D34" s="49">
        <v>27</v>
      </c>
      <c r="E34" s="49">
        <v>2</v>
      </c>
      <c r="F34" s="49" t="s">
        <v>544</v>
      </c>
      <c r="G34" s="65"/>
      <c r="H34" s="50" t="str">
        <f>IF($B34="","",IF($J34="X",B34,CONCATENATE(VLOOKUP(B34,Competitors!$A$2:$I$650,3,FALSE)," ",VLOOKUP(B34,Competitors!$A$2:$I$650,2,FALSE))))</f>
        <v>Paul Akroyd (VTTA E.Mids)</v>
      </c>
      <c r="I34" s="51">
        <f t="shared" si="1"/>
        <v>1.8773148148148146E-2</v>
      </c>
      <c r="J34" t="str">
        <f t="shared" si="2"/>
        <v>X</v>
      </c>
    </row>
    <row r="35" spans="1:10" ht="15">
      <c r="A35" s="46" t="s">
        <v>441</v>
      </c>
      <c r="B35" s="47">
        <f t="shared" ref="B35:B97" si="3">IF(A35="","",_xlfn.XLOOKUP(A35,ClubNames,ClubNumbers,_xlfn.XLOOKUP(A35,RoundRobinRiderNames,RoundRobinRiderDecoratedNames,A35)))</f>
        <v>1254</v>
      </c>
      <c r="C35" s="48"/>
      <c r="D35" s="49"/>
      <c r="E35" s="49"/>
      <c r="F35" s="49"/>
      <c r="G35" s="49" t="s">
        <v>553</v>
      </c>
      <c r="H35" s="50" t="str">
        <f>IF($B35="","",IF($J35="X",B35,CONCATENATE(VLOOKUP(B35,Competitors!$A$2:$I$650,3,FALSE)," ",VLOOKUP(B35,Competitors!$A$2:$I$650,2,FALSE))))</f>
        <v>Paul White</v>
      </c>
      <c r="I35" s="51">
        <f t="shared" si="1"/>
        <v>0</v>
      </c>
      <c r="J35" t="str">
        <f t="shared" si="2"/>
        <v/>
      </c>
    </row>
    <row r="36" spans="1:10" ht="15">
      <c r="A36" s="46" t="s">
        <v>427</v>
      </c>
      <c r="B36" s="47">
        <f t="shared" si="3"/>
        <v>915</v>
      </c>
      <c r="C36" s="48"/>
      <c r="D36" s="49"/>
      <c r="E36" s="49"/>
      <c r="F36" s="49"/>
      <c r="G36" s="49" t="s">
        <v>553</v>
      </c>
      <c r="H36" s="50" t="str">
        <f>IF($B36="","",IF($J36="X",B36,CONCATENATE(VLOOKUP(B36,Competitors!$A$2:$I$650,3,FALSE)," ",VLOOKUP(B36,Competitors!$A$2:$I$650,2,FALSE))))</f>
        <v>Julian Twynham</v>
      </c>
      <c r="I36" s="51">
        <f t="shared" si="1"/>
        <v>0</v>
      </c>
      <c r="J36" t="str">
        <f t="shared" si="2"/>
        <v/>
      </c>
    </row>
    <row r="37" spans="1:10" ht="15">
      <c r="A37" s="46" t="s">
        <v>447</v>
      </c>
      <c r="B37" s="47">
        <f t="shared" si="3"/>
        <v>1194</v>
      </c>
      <c r="C37" s="48"/>
      <c r="D37" s="49"/>
      <c r="E37" s="49"/>
      <c r="F37" s="49" t="s">
        <v>544</v>
      </c>
      <c r="G37" s="65" t="s">
        <v>553</v>
      </c>
      <c r="H37" s="50" t="str">
        <f>IF($B37="","",IF($J37="X",B37,CONCATENATE(VLOOKUP(B37,Competitors!$A$2:$I$650,3,FALSE)," ",VLOOKUP(B37,Competitors!$A$2:$I$650,2,FALSE))))</f>
        <v>Alex Hardwicke</v>
      </c>
      <c r="I37" s="51">
        <f t="shared" si="1"/>
        <v>0</v>
      </c>
      <c r="J37" t="str">
        <f t="shared" si="2"/>
        <v/>
      </c>
    </row>
    <row r="38" spans="1:10" ht="15">
      <c r="A38" s="46" t="s">
        <v>443</v>
      </c>
      <c r="B38" s="47">
        <f t="shared" si="3"/>
        <v>1193</v>
      </c>
      <c r="C38" s="48"/>
      <c r="D38" s="49"/>
      <c r="E38" s="49"/>
      <c r="F38" s="49" t="s">
        <v>544</v>
      </c>
      <c r="G38" s="65" t="s">
        <v>553</v>
      </c>
      <c r="H38" s="50" t="str">
        <f>IF($B38="","",IF($J38="X",B38,CONCATENATE(VLOOKUP(B38,Competitors!$A$2:$I$650,3,FALSE)," ",VLOOKUP(B38,Competitors!$A$2:$I$650,2,FALSE))))</f>
        <v>Richard Hardwicke</v>
      </c>
      <c r="I38" s="51">
        <f t="shared" si="1"/>
        <v>0</v>
      </c>
      <c r="J38" t="str">
        <f t="shared" si="2"/>
        <v/>
      </c>
    </row>
    <row r="39" spans="1:10" ht="15">
      <c r="A39" s="46" t="s">
        <v>437</v>
      </c>
      <c r="B39" s="47">
        <f t="shared" si="3"/>
        <v>1195</v>
      </c>
      <c r="C39" s="48"/>
      <c r="D39" s="49"/>
      <c r="E39" s="49"/>
      <c r="F39" s="49" t="s">
        <v>544</v>
      </c>
      <c r="G39" s="65" t="s">
        <v>553</v>
      </c>
      <c r="H39" s="50" t="str">
        <f>IF($B39="","",IF($J39="X",B39,CONCATENATE(VLOOKUP(B39,Competitors!$A$2:$I$650,3,FALSE)," ",VLOOKUP(B39,Competitors!$A$2:$I$650,2,FALSE))))</f>
        <v>Charlie Hardwicke</v>
      </c>
      <c r="I39" s="51">
        <f t="shared" si="1"/>
        <v>0</v>
      </c>
      <c r="J39" t="str">
        <f t="shared" si="2"/>
        <v/>
      </c>
    </row>
    <row r="40" spans="1:10" ht="15">
      <c r="A40" s="46" t="s">
        <v>570</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417</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415</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435</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426</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527</v>
      </c>
      <c r="B45" s="47" t="str">
        <f t="shared" si="3"/>
        <v>Phil Wilkinson (RFW)</v>
      </c>
      <c r="C45" s="48"/>
      <c r="D45" s="49"/>
      <c r="E45" s="49"/>
      <c r="F45" s="49"/>
      <c r="G45" s="49" t="s">
        <v>553</v>
      </c>
      <c r="H45" s="50" t="str">
        <f>IF($B45="","",IF($J45="X",B45,CONCATENATE(VLOOKUP(B45,Competitors!$A$2:$I$650,3,FALSE)," ",VLOOKUP(B45,Competitors!$A$2:$I$650,2,FALSE))))</f>
        <v>Phil Wilkinson (RFW)</v>
      </c>
      <c r="I45" s="51">
        <f t="shared" si="1"/>
        <v>0</v>
      </c>
      <c r="J45" t="str">
        <f t="shared" si="2"/>
        <v>X</v>
      </c>
    </row>
    <row r="46" spans="1:10" ht="15">
      <c r="A46" s="46" t="s">
        <v>411</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414</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619</v>
      </c>
      <c r="B48" s="47">
        <f t="shared" si="3"/>
        <v>1416</v>
      </c>
      <c r="C48" s="48"/>
      <c r="D48" s="49">
        <v>24</v>
      </c>
      <c r="E48" s="49">
        <v>18</v>
      </c>
      <c r="F48" s="49" t="s">
        <v>544</v>
      </c>
      <c r="G48" s="49"/>
      <c r="H48" s="50" t="str">
        <f>IF($B48="","",IF($J48="X",B48,CONCATENATE(VLOOKUP(B48,Competitors!$A$2:$I$650,3,FALSE)," ",VLOOKUP(B48,Competitors!$A$2:$I$650,2,FALSE))))</f>
        <v>Henry Bellamy</v>
      </c>
      <c r="I48" s="51">
        <f t="shared" si="1"/>
        <v>1.6875000000000001E-2</v>
      </c>
      <c r="J48" t="str">
        <f t="shared" si="2"/>
        <v/>
      </c>
    </row>
    <row r="49" spans="1:10" ht="15">
      <c r="A49" s="46" t="s">
        <v>499</v>
      </c>
      <c r="B49" s="47" t="str">
        <f t="shared" si="3"/>
        <v>Alex Whitmore (Ratae)</v>
      </c>
      <c r="C49" s="48"/>
      <c r="D49" s="49">
        <v>22</v>
      </c>
      <c r="E49" s="49">
        <v>44</v>
      </c>
      <c r="F49" s="49" t="s">
        <v>544</v>
      </c>
      <c r="G49" s="49"/>
      <c r="H49" s="50" t="str">
        <f>IF($B49="","",IF($J49="X",B49,CONCATENATE(VLOOKUP(B49,Competitors!$A$2:$I$650,3,FALSE)," ",VLOOKUP(B49,Competitors!$A$2:$I$650,2,FALSE))))</f>
        <v>Alex Whitmore (Ratae)</v>
      </c>
      <c r="I49" s="51">
        <f t="shared" si="1"/>
        <v>1.5787037037037037E-2</v>
      </c>
      <c r="J49" t="str">
        <f t="shared" si="2"/>
        <v>X</v>
      </c>
    </row>
    <row r="50" spans="1:10" ht="15">
      <c r="A50" s="46" t="s">
        <v>620</v>
      </c>
      <c r="B50" s="47" t="s">
        <v>620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418</v>
      </c>
      <c r="B51" s="47">
        <f t="shared" si="3"/>
        <v>1355</v>
      </c>
      <c r="C51" s="48"/>
      <c r="D51" s="49">
        <v>24</v>
      </c>
      <c r="E51" s="49">
        <v>57</v>
      </c>
      <c r="F51" s="49" t="s">
        <v>544</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Event_13</v>
      </c>
    </row>
    <row r="104" spans="1:10">
      <c r="B104" t="s">
        <v>552</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 workbookViewId="1"/>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780</v>
      </c>
      <c r="B2" s="47" t="str">
        <f t="shared" ref="B2:B32" si="0">IF(A2="","",_xlfn.XLOOKUP(A2,ClubNames,ClubNumbers,_xlfn.XLOOKUP(A2,RoundRobinRiderNames,RoundRobinRiderDecoratedNames,A2)))</f>
        <v>Geoff Stanbridge (Fenland Clarion) (Ratae)</v>
      </c>
      <c r="C2" s="48"/>
      <c r="D2" s="49">
        <v>40</v>
      </c>
      <c r="E2" s="49">
        <v>37</v>
      </c>
      <c r="F2" s="49" t="s">
        <v>544</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444</v>
      </c>
      <c r="B3" s="47">
        <f t="shared" si="0"/>
        <v>1386</v>
      </c>
      <c r="C3" s="48"/>
      <c r="D3" s="49">
        <v>29</v>
      </c>
      <c r="E3" s="49">
        <v>6</v>
      </c>
      <c r="F3" s="49" t="s">
        <v>544</v>
      </c>
      <c r="G3" s="49"/>
      <c r="H3" s="50" t="str">
        <f>IF($B3="","",IF($J3="X",B3,CONCATENATE(VLOOKUP(B3,Competitors!$A$2:$I$650,3,FALSE)," ",VLOOKUP(B3,Competitors!$A$2:$I$650,2,FALSE))))</f>
        <v>Mea Moore</v>
      </c>
      <c r="I3" s="51">
        <f t="shared" si="1"/>
        <v>2.0208333333333332E-2</v>
      </c>
      <c r="J3" t="str">
        <f t="shared" si="2"/>
        <v/>
      </c>
    </row>
    <row r="4" spans="1:10" ht="15">
      <c r="A4" s="46" t="s">
        <v>616</v>
      </c>
      <c r="B4" s="47">
        <f t="shared" si="0"/>
        <v>990</v>
      </c>
      <c r="C4" s="48"/>
      <c r="D4" s="49">
        <v>32</v>
      </c>
      <c r="E4" s="49">
        <v>57</v>
      </c>
      <c r="F4" s="49" t="s">
        <v>544</v>
      </c>
      <c r="G4" s="49"/>
      <c r="H4" s="50" t="str">
        <f>IF($B4="","",IF($J4="X",B4,CONCATENATE(VLOOKUP(B4,Competitors!$A$2:$I$650,3,FALSE)," ",VLOOKUP(B4,Competitors!$A$2:$I$650,2,FALSE))))</f>
        <v>Jen Hulme</v>
      </c>
      <c r="I4" s="51">
        <f t="shared" si="1"/>
        <v>2.2881944444444444E-2</v>
      </c>
      <c r="J4" t="str">
        <f t="shared" si="2"/>
        <v/>
      </c>
    </row>
    <row r="5" spans="1:10" ht="15">
      <c r="A5" s="46" t="s">
        <v>617</v>
      </c>
      <c r="B5" s="47" t="str">
        <f t="shared" si="0"/>
        <v>Michael Wheeler (KCC)</v>
      </c>
      <c r="C5" s="48"/>
      <c r="D5" s="49"/>
      <c r="E5" s="49"/>
      <c r="F5" s="49" t="s">
        <v>544</v>
      </c>
      <c r="G5" s="49" t="s">
        <v>553</v>
      </c>
      <c r="H5" s="50" t="str">
        <f>IF($B5="","",IF($J5="X",B5,CONCATENATE(VLOOKUP(B5,Competitors!$A$2:$I$650,3,FALSE)," ",VLOOKUP(B5,Competitors!$A$2:$I$650,2,FALSE))))</f>
        <v>Michael Wheeler (KCC)</v>
      </c>
      <c r="I5" s="51">
        <f t="shared" si="1"/>
        <v>0</v>
      </c>
      <c r="J5" t="str">
        <f t="shared" si="2"/>
        <v>X</v>
      </c>
    </row>
    <row r="6" spans="1:10" ht="15">
      <c r="A6" s="46" t="s">
        <v>459</v>
      </c>
      <c r="B6" s="47">
        <f t="shared" si="0"/>
        <v>742</v>
      </c>
      <c r="C6" s="48"/>
      <c r="D6" s="49">
        <v>33</v>
      </c>
      <c r="E6" s="49">
        <v>3</v>
      </c>
      <c r="F6" s="49" t="s">
        <v>544</v>
      </c>
      <c r="G6" s="49"/>
      <c r="H6" s="50" t="str">
        <f>IF($B6="","",IF($J6="X",B6,CONCATENATE(VLOOKUP(B6,Competitors!$A$2:$I$650,3,FALSE)," ",VLOOKUP(B6,Competitors!$A$2:$I$650,2,FALSE))))</f>
        <v>Claire Moore</v>
      </c>
      <c r="I6" s="51">
        <f t="shared" si="1"/>
        <v>2.2951388888888889E-2</v>
      </c>
      <c r="J6" t="str">
        <f t="shared" si="2"/>
        <v/>
      </c>
    </row>
    <row r="7" spans="1:10" ht="15">
      <c r="A7" s="46" t="s">
        <v>447</v>
      </c>
      <c r="B7" s="47">
        <f t="shared" si="0"/>
        <v>1194</v>
      </c>
      <c r="C7" s="48"/>
      <c r="D7" s="49">
        <v>30</v>
      </c>
      <c r="E7" s="49">
        <v>46</v>
      </c>
      <c r="F7" s="49" t="s">
        <v>544</v>
      </c>
      <c r="G7" s="49"/>
      <c r="H7" s="50" t="str">
        <f>IF($B7="","",IF($J7="X",B7,CONCATENATE(VLOOKUP(B7,Competitors!$A$2:$I$650,3,FALSE)," ",VLOOKUP(B7,Competitors!$A$2:$I$650,2,FALSE))))</f>
        <v>Alex Hardwicke</v>
      </c>
      <c r="I7" s="51">
        <f t="shared" si="1"/>
        <v>2.1365740740740741E-2</v>
      </c>
      <c r="J7" t="str">
        <f t="shared" si="2"/>
        <v/>
      </c>
    </row>
    <row r="8" spans="1:10" ht="15">
      <c r="A8" s="46" t="s">
        <v>452</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446</v>
      </c>
      <c r="B9" s="47">
        <f t="shared" si="0"/>
        <v>1379</v>
      </c>
      <c r="C9" s="48"/>
      <c r="D9" s="49">
        <v>29</v>
      </c>
      <c r="E9" s="49">
        <v>30</v>
      </c>
      <c r="F9" s="49" t="s">
        <v>544</v>
      </c>
      <c r="G9" s="49"/>
      <c r="H9" s="50" t="str">
        <f>IF($B9="","",IF($J9="X",B9,CONCATENATE(VLOOKUP(B9,Competitors!$A$2:$I$650,3,FALSE)," ",VLOOKUP(B9,Competitors!$A$2:$I$650,2,FALSE))))</f>
        <v>Michaela Latham</v>
      </c>
      <c r="I9" s="51">
        <f t="shared" si="1"/>
        <v>2.0486111111111111E-2</v>
      </c>
      <c r="J9" t="str">
        <f t="shared" si="2"/>
        <v/>
      </c>
    </row>
    <row r="10" spans="1:10" ht="15">
      <c r="A10" s="46" t="s">
        <v>585</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429</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523</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457</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418</v>
      </c>
      <c r="B14" s="47">
        <f t="shared" si="0"/>
        <v>1355</v>
      </c>
      <c r="C14" s="48"/>
      <c r="D14" s="49">
        <v>25</v>
      </c>
      <c r="E14" s="49">
        <v>10</v>
      </c>
      <c r="F14" s="49" t="s">
        <v>544</v>
      </c>
      <c r="G14" s="49"/>
      <c r="H14" s="50" t="str">
        <f>IF($B14="","",IF($J14="X",B14,CONCATENATE(VLOOKUP(B14,Competitors!$A$2:$I$650,3,FALSE)," ",VLOOKUP(B14,Competitors!$A$2:$I$650,2,FALSE))))</f>
        <v>Aubrey Elmer</v>
      </c>
      <c r="I14" s="51">
        <f t="shared" si="1"/>
        <v>1.7476851851851851E-2</v>
      </c>
      <c r="J14" t="str">
        <f t="shared" si="2"/>
        <v/>
      </c>
    </row>
    <row r="15" spans="1:10" ht="15">
      <c r="A15" s="46" t="s">
        <v>437</v>
      </c>
      <c r="B15" s="47">
        <f t="shared" si="0"/>
        <v>1195</v>
      </c>
      <c r="C15" s="48"/>
      <c r="D15" s="49">
        <v>26</v>
      </c>
      <c r="E15" s="49">
        <v>57</v>
      </c>
      <c r="F15" s="49" t="s">
        <v>544</v>
      </c>
      <c r="G15" s="49"/>
      <c r="H15" s="50" t="str">
        <f>IF($B15="","",IF($J15="X",B15,CONCATENATE(VLOOKUP(B15,Competitors!$A$2:$I$650,3,FALSE)," ",VLOOKUP(B15,Competitors!$A$2:$I$650,2,FALSE))))</f>
        <v>Charlie Hardwicke</v>
      </c>
      <c r="I15" s="51">
        <f t="shared" si="1"/>
        <v>1.8715277777777779E-2</v>
      </c>
      <c r="J15" t="str">
        <f t="shared" si="2"/>
        <v/>
      </c>
    </row>
    <row r="16" spans="1:10" ht="15">
      <c r="A16" s="46" t="s">
        <v>431</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691</v>
      </c>
      <c r="B17" s="47" t="str">
        <f t="shared" si="0"/>
        <v>Paul Akroyd (VTTA E.Mids)</v>
      </c>
      <c r="C17" s="48"/>
      <c r="D17" s="49">
        <v>27</v>
      </c>
      <c r="E17" s="49">
        <v>25</v>
      </c>
      <c r="F17" s="49" t="s">
        <v>544</v>
      </c>
      <c r="G17" s="49"/>
      <c r="H17" s="50" t="str">
        <f>IF($B17="","",IF($J17="X",B17,CONCATENATE(VLOOKUP(B17,Competitors!$A$2:$I$650,3,FALSE)," ",VLOOKUP(B17,Competitors!$A$2:$I$650,2,FALSE))))</f>
        <v>Paul Akroyd (VTTA E.Mids)</v>
      </c>
      <c r="I17" s="51">
        <f t="shared" si="1"/>
        <v>1.9039351851851852E-2</v>
      </c>
      <c r="J17" t="str">
        <f t="shared" si="2"/>
        <v>X</v>
      </c>
    </row>
    <row r="18" spans="1:10" ht="15">
      <c r="A18" s="46" t="s">
        <v>443</v>
      </c>
      <c r="B18" s="47">
        <f t="shared" si="0"/>
        <v>1193</v>
      </c>
      <c r="C18" s="48"/>
      <c r="D18" s="49">
        <v>28</v>
      </c>
      <c r="E18" s="49">
        <v>44</v>
      </c>
      <c r="F18" s="49" t="s">
        <v>544</v>
      </c>
      <c r="G18" s="49"/>
      <c r="H18" s="50" t="str">
        <f>IF($B18="","",IF($J18="X",B18,CONCATENATE(VLOOKUP(B18,Competitors!$A$2:$I$650,3,FALSE)," ",VLOOKUP(B18,Competitors!$A$2:$I$650,2,FALSE))))</f>
        <v>Richard Hardwicke</v>
      </c>
      <c r="I18" s="51">
        <f t="shared" si="1"/>
        <v>1.9953703703703703E-2</v>
      </c>
      <c r="J18" t="str">
        <f t="shared" si="2"/>
        <v/>
      </c>
    </row>
    <row r="19" spans="1:10" ht="15">
      <c r="A19" s="46" t="s">
        <v>618</v>
      </c>
      <c r="B19" s="47" t="str">
        <f t="shared" si="0"/>
        <v>Ian Bird (KCC)</v>
      </c>
      <c r="C19" s="48"/>
      <c r="D19" s="49">
        <v>28</v>
      </c>
      <c r="E19" s="49">
        <v>59</v>
      </c>
      <c r="F19" s="49" t="s">
        <v>544</v>
      </c>
      <c r="G19" s="49"/>
      <c r="H19" s="50" t="str">
        <f>IF($B19="","",IF($J19="X",B19,CONCATENATE(VLOOKUP(B19,Competitors!$A$2:$I$650,3,FALSE)," ",VLOOKUP(B19,Competitors!$A$2:$I$650,2,FALSE))))</f>
        <v>Ian Bird (KCC)</v>
      </c>
      <c r="I19" s="51">
        <f t="shared" si="1"/>
        <v>2.0127314814814813E-2</v>
      </c>
      <c r="J19" t="str">
        <f t="shared" si="2"/>
        <v>X</v>
      </c>
    </row>
    <row r="20" spans="1:10" ht="15">
      <c r="A20" s="46" t="s">
        <v>458</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501</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509</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512</v>
      </c>
      <c r="B23" s="47" t="str">
        <f t="shared" si="0"/>
        <v>Paul Eden (Ratae)</v>
      </c>
      <c r="C23" s="48"/>
      <c r="D23" s="49">
        <v>32</v>
      </c>
      <c r="E23" s="49">
        <v>7</v>
      </c>
      <c r="F23" s="49" t="s">
        <v>544</v>
      </c>
      <c r="G23" s="49"/>
      <c r="H23" s="50" t="str">
        <f>IF($B23="","",IF($J23="X",B23,CONCATENATE(VLOOKUP(B23,Competitors!$A$2:$I$650,3,FALSE)," ",VLOOKUP(B23,Competitors!$A$2:$I$650,2,FALSE))))</f>
        <v>Paul Eden (Ratae)</v>
      </c>
      <c r="I23" s="51">
        <f t="shared" si="1"/>
        <v>2.2303240740740742E-2</v>
      </c>
      <c r="J23" t="str">
        <f t="shared" si="2"/>
        <v>X</v>
      </c>
    </row>
    <row r="24" spans="1:10" ht="15">
      <c r="A24" s="46" t="s">
        <v>435</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428</v>
      </c>
      <c r="B25" s="47">
        <f t="shared" si="0"/>
        <v>1237</v>
      </c>
      <c r="C25" s="48"/>
      <c r="D25" s="49">
        <v>26</v>
      </c>
      <c r="E25" s="49">
        <v>16</v>
      </c>
      <c r="F25" s="49" t="s">
        <v>544</v>
      </c>
      <c r="G25" s="49"/>
      <c r="H25" s="50" t="str">
        <f>IF($B25="","",IF($J25="X",B25,CONCATENATE(VLOOKUP(B25,Competitors!$A$2:$I$650,3,FALSE)," ",VLOOKUP(B25,Competitors!$A$2:$I$650,2,FALSE))))</f>
        <v>John Abbott</v>
      </c>
      <c r="I25" s="51">
        <f t="shared" si="1"/>
        <v>1.8240740740740741E-2</v>
      </c>
      <c r="J25" t="str">
        <f t="shared" si="2"/>
        <v/>
      </c>
    </row>
    <row r="26" spans="1:10" ht="15">
      <c r="A26" s="46" t="s">
        <v>789</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416</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576</v>
      </c>
      <c r="B28" s="47">
        <f t="shared" si="0"/>
        <v>741</v>
      </c>
      <c r="C28" s="48"/>
      <c r="D28" s="49">
        <v>24</v>
      </c>
      <c r="E28" s="49">
        <v>24</v>
      </c>
      <c r="F28" s="49" t="s">
        <v>544</v>
      </c>
      <c r="G28" s="49"/>
      <c r="H28" s="50" t="str">
        <f>IF($B28="","",IF($J28="X",B28,CONCATENATE(VLOOKUP(B28,Competitors!$A$2:$I$650,3,FALSE)," ",VLOOKUP(B28,Competitors!$A$2:$I$650,2,FALSE))))</f>
        <v>Rob Moore</v>
      </c>
      <c r="I28" s="51">
        <f t="shared" si="1"/>
        <v>1.6944444444444446E-2</v>
      </c>
      <c r="J28" t="str">
        <f t="shared" si="2"/>
        <v/>
      </c>
    </row>
    <row r="29" spans="1:10" ht="15">
      <c r="A29" s="46" t="s">
        <v>411</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517</v>
      </c>
      <c r="B30" s="47" t="str">
        <f t="shared" si="0"/>
        <v>Chris Fowler (RFW)</v>
      </c>
      <c r="C30" s="48"/>
      <c r="D30" s="49">
        <v>23</v>
      </c>
      <c r="E30" s="49">
        <v>20</v>
      </c>
      <c r="F30" s="49" t="s">
        <v>544</v>
      </c>
      <c r="G30" s="49"/>
      <c r="H30" s="50" t="str">
        <f>IF($B30="","",IF($J30="X",B30,CONCATENATE(VLOOKUP(B30,Competitors!$A$2:$I$650,3,FALSE)," ",VLOOKUP(B30,Competitors!$A$2:$I$650,2,FALSE))))</f>
        <v>Chris Fowler (RFW)</v>
      </c>
      <c r="I30" s="51">
        <f t="shared" si="1"/>
        <v>1.6203703703703703E-2</v>
      </c>
      <c r="J30" t="str">
        <f t="shared" si="2"/>
        <v>X</v>
      </c>
    </row>
    <row r="31" spans="1:10" ht="15">
      <c r="A31" s="46" t="s">
        <v>527</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414</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410</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Event_14</v>
      </c>
    </row>
    <row r="104" spans="1:10">
      <c r="B104" t="s">
        <v>552</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 workbookViewId="1"/>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459</v>
      </c>
      <c r="B2" s="47">
        <f t="shared" ref="B2:B45" si="0">IF(A2="","",_xlfn.XLOOKUP(A2,ClubNames,ClubNumbers,_xlfn.XLOOKUP(A2,RoundRobinRiderNames,RoundRobinRiderDecoratedNames,A2)))</f>
        <v>742</v>
      </c>
      <c r="C2" s="48"/>
      <c r="D2" s="49">
        <v>33</v>
      </c>
      <c r="E2" s="49">
        <v>53</v>
      </c>
      <c r="F2" s="49" t="s">
        <v>544</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460</v>
      </c>
      <c r="B3" s="47">
        <f t="shared" si="0"/>
        <v>7</v>
      </c>
      <c r="C3" s="48"/>
      <c r="D3" s="49">
        <v>32</v>
      </c>
      <c r="E3" s="49">
        <v>35</v>
      </c>
      <c r="F3" s="49" t="s">
        <v>544</v>
      </c>
      <c r="G3" s="49"/>
      <c r="H3" s="50" t="str">
        <f>IF($B3="","",IF($J3="X",B3,CONCATENATE(VLOOKUP(B3,Competitors!$A$2:$I$650,3,FALSE)," ",VLOOKUP(B3,Competitors!$A$2:$I$650,2,FALSE))))</f>
        <v>Vic Barnett</v>
      </c>
      <c r="I3" s="51">
        <f t="shared" si="1"/>
        <v>2.2627314814814815E-2</v>
      </c>
      <c r="J3" t="str">
        <f t="shared" si="2"/>
        <v/>
      </c>
      <c r="K3">
        <v>2</v>
      </c>
    </row>
    <row r="4" spans="1:11" ht="15">
      <c r="A4" s="46" t="s">
        <v>483</v>
      </c>
      <c r="B4" s="47" t="str">
        <f t="shared" si="0"/>
        <v>Andy King (KCC)</v>
      </c>
      <c r="C4" s="48"/>
      <c r="D4" s="49">
        <v>25</v>
      </c>
      <c r="E4" s="49">
        <v>52</v>
      </c>
      <c r="F4" s="49" t="s">
        <v>544</v>
      </c>
      <c r="G4" s="49"/>
      <c r="H4" s="50" t="str">
        <f>IF($B4="","",IF($J4="X",B4,CONCATENATE(VLOOKUP(B4,Competitors!$A$2:$I$650,3,FALSE)," ",VLOOKUP(B4,Competitors!$A$2:$I$650,2,FALSE))))</f>
        <v>Andy King (KCC)</v>
      </c>
      <c r="I4" s="51">
        <f t="shared" si="1"/>
        <v>1.7962962962962962E-2</v>
      </c>
      <c r="J4" t="str">
        <f t="shared" si="2"/>
        <v>X</v>
      </c>
      <c r="K4">
        <v>3</v>
      </c>
    </row>
    <row r="5" spans="1:11" ht="15">
      <c r="A5" s="46" t="s">
        <v>625</v>
      </c>
      <c r="B5" s="47" t="str">
        <f t="shared" si="0"/>
        <v>Ethan Mitchell-Clarke (Team Bottrill Nopinz) (RFW)</v>
      </c>
      <c r="C5" s="48"/>
      <c r="D5" s="49">
        <v>27</v>
      </c>
      <c r="E5" s="49">
        <v>59</v>
      </c>
      <c r="F5" s="49" t="s">
        <v>544</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515</v>
      </c>
      <c r="B6" s="47" t="str">
        <f t="shared" si="0"/>
        <v>Adam Wells (RFW)</v>
      </c>
      <c r="C6" s="48"/>
      <c r="D6" s="49">
        <v>26</v>
      </c>
      <c r="E6" s="49">
        <v>8</v>
      </c>
      <c r="F6" s="49" t="s">
        <v>544</v>
      </c>
      <c r="G6" s="49"/>
      <c r="H6" s="50" t="str">
        <f>IF($B6="","",IF($J6="X",B6,CONCATENATE(VLOOKUP(B6,Competitors!$A$2:$I$650,3,FALSE)," ",VLOOKUP(B6,Competitors!$A$2:$I$650,2,FALSE))))</f>
        <v>Adam Wells (RFW)</v>
      </c>
      <c r="I6" s="51">
        <f t="shared" si="1"/>
        <v>1.8148148148148149E-2</v>
      </c>
      <c r="J6" t="str">
        <f t="shared" si="2"/>
        <v>X</v>
      </c>
      <c r="K6">
        <v>5</v>
      </c>
    </row>
    <row r="7" spans="1:11" ht="15">
      <c r="A7" s="46" t="s">
        <v>579</v>
      </c>
      <c r="B7" s="47">
        <f t="shared" si="0"/>
        <v>1370</v>
      </c>
      <c r="C7" s="48"/>
      <c r="D7" s="49">
        <v>26</v>
      </c>
      <c r="E7" s="49">
        <v>19</v>
      </c>
      <c r="F7" s="49" t="s">
        <v>544</v>
      </c>
      <c r="G7" s="49"/>
      <c r="H7" s="50" t="str">
        <f>IF($B7="","",IF($J7="X",B7,CONCATENATE(VLOOKUP(B7,Competitors!$A$2:$I$650,3,FALSE)," ",VLOOKUP(B7,Competitors!$A$2:$I$650,2,FALSE))))</f>
        <v>Ian Aldridge</v>
      </c>
      <c r="I7" s="51">
        <f t="shared" si="1"/>
        <v>1.8275462962962962E-2</v>
      </c>
      <c r="J7" t="str">
        <f t="shared" si="2"/>
        <v/>
      </c>
      <c r="K7">
        <v>6</v>
      </c>
    </row>
    <row r="8" spans="1:11" ht="15">
      <c r="A8" s="46" t="s">
        <v>440</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628</v>
      </c>
      <c r="B9" s="47">
        <f t="shared" si="0"/>
        <v>1415</v>
      </c>
      <c r="C9" s="48"/>
      <c r="D9" s="49">
        <v>31</v>
      </c>
      <c r="E9" s="49">
        <v>22</v>
      </c>
      <c r="F9" s="49" t="s">
        <v>544</v>
      </c>
      <c r="G9" s="49"/>
      <c r="H9" s="50" t="str">
        <f>IF($B9="","",IF($J9="X",B9,CONCATENATE(VLOOKUP(B9,Competitors!$A$2:$I$650,3,FALSE)," ",VLOOKUP(B9,Competitors!$A$2:$I$650,2,FALSE))))</f>
        <v>James Aldridge</v>
      </c>
      <c r="I9" s="51">
        <f t="shared" si="1"/>
        <v>2.1782407407407407E-2</v>
      </c>
      <c r="J9" t="str">
        <f t="shared" si="2"/>
        <v/>
      </c>
      <c r="K9">
        <v>8</v>
      </c>
    </row>
    <row r="10" spans="1:11" ht="15">
      <c r="A10" s="46" t="s">
        <v>576</v>
      </c>
      <c r="B10" s="47">
        <f t="shared" si="0"/>
        <v>741</v>
      </c>
      <c r="C10" s="48"/>
      <c r="D10" s="49">
        <v>24</v>
      </c>
      <c r="E10" s="49">
        <v>54</v>
      </c>
      <c r="F10" s="49" t="s">
        <v>544</v>
      </c>
      <c r="G10" s="49"/>
      <c r="H10" s="50" t="str">
        <f>IF($B10="","",IF($J10="X",B10,CONCATENATE(VLOOKUP(B10,Competitors!$A$2:$I$650,3,FALSE)," ",VLOOKUP(B10,Competitors!$A$2:$I$650,2,FALSE))))</f>
        <v>Rob Moore</v>
      </c>
      <c r="I10" s="51">
        <f t="shared" si="1"/>
        <v>1.7291666666666667E-2</v>
      </c>
      <c r="J10" t="str">
        <f t="shared" si="2"/>
        <v/>
      </c>
      <c r="K10">
        <v>9</v>
      </c>
    </row>
    <row r="11" spans="1:11" ht="15">
      <c r="A11" s="46" t="s">
        <v>523</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446</v>
      </c>
      <c r="B12" s="47">
        <f t="shared" si="0"/>
        <v>1379</v>
      </c>
      <c r="C12" s="48"/>
      <c r="D12" s="49">
        <v>29</v>
      </c>
      <c r="E12" s="49">
        <v>54</v>
      </c>
      <c r="F12" s="49" t="s">
        <v>544</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430</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519</v>
      </c>
      <c r="B14" s="47" t="str">
        <f t="shared" si="0"/>
        <v>David Hill (RFW)</v>
      </c>
      <c r="C14" s="48"/>
      <c r="D14" s="49">
        <v>28</v>
      </c>
      <c r="E14" s="49">
        <v>46</v>
      </c>
      <c r="F14" s="49" t="s">
        <v>544</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512</v>
      </c>
      <c r="B15" s="47" t="str">
        <f t="shared" si="0"/>
        <v>Paul Eden (Ratae)</v>
      </c>
      <c r="C15" s="48"/>
      <c r="D15" s="49">
        <v>32</v>
      </c>
      <c r="E15" s="49">
        <v>30</v>
      </c>
      <c r="F15" s="49" t="s">
        <v>544</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586</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422</v>
      </c>
      <c r="B17" s="47">
        <f t="shared" si="0"/>
        <v>1407</v>
      </c>
      <c r="C17" s="48"/>
      <c r="D17" s="49">
        <v>26</v>
      </c>
      <c r="E17" s="49">
        <v>21</v>
      </c>
      <c r="F17" s="49" t="s">
        <v>544</v>
      </c>
      <c r="G17" s="49"/>
      <c r="H17" s="50" t="str">
        <f>IF($B17="","",IF($J17="X",B17,CONCATENATE(VLOOKUP(B17,Competitors!$A$2:$I$650,3,FALSE)," ",VLOOKUP(B17,Competitors!$A$2:$I$650,2,FALSE))))</f>
        <v>Colin Dobson</v>
      </c>
      <c r="I17" s="51">
        <f t="shared" si="1"/>
        <v>1.8298611111111113E-2</v>
      </c>
      <c r="J17" t="str">
        <f t="shared" si="2"/>
        <v/>
      </c>
      <c r="K17">
        <v>16</v>
      </c>
    </row>
    <row r="18" spans="1:11" ht="15">
      <c r="A18" s="46" t="s">
        <v>436</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501</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421</v>
      </c>
      <c r="B20" s="47">
        <f t="shared" si="0"/>
        <v>415</v>
      </c>
      <c r="C20" s="48"/>
      <c r="D20" s="49">
        <v>26</v>
      </c>
      <c r="E20" s="49">
        <v>43</v>
      </c>
      <c r="F20" s="49" t="s">
        <v>544</v>
      </c>
      <c r="G20" s="49"/>
      <c r="H20" s="50" t="str">
        <f>IF($B20="","",IF($J20="X",B20,CONCATENATE(VLOOKUP(B20,Competitors!$A$2:$I$650,3,FALSE)," ",VLOOKUP(B20,Competitors!$A$2:$I$650,2,FALSE))))</f>
        <v>Nik Kershaw</v>
      </c>
      <c r="I20" s="51">
        <f t="shared" si="1"/>
        <v>1.8553240740740742E-2</v>
      </c>
      <c r="J20" t="str">
        <f t="shared" si="2"/>
        <v/>
      </c>
      <c r="K20">
        <v>19</v>
      </c>
    </row>
    <row r="21" spans="1:11" ht="15">
      <c r="A21" s="46" t="s">
        <v>590</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444</v>
      </c>
      <c r="B22" s="47">
        <f t="shared" si="0"/>
        <v>1386</v>
      </c>
      <c r="C22" s="48"/>
      <c r="D22" s="49">
        <v>29</v>
      </c>
      <c r="E22" s="49">
        <v>30</v>
      </c>
      <c r="F22" s="49" t="s">
        <v>544</v>
      </c>
      <c r="G22" s="49"/>
      <c r="H22" s="50" t="str">
        <f>IF($B22="","",IF($J22="X",B22,CONCATENATE(VLOOKUP(B22,Competitors!$A$2:$I$650,3,FALSE)," ",VLOOKUP(B22,Competitors!$A$2:$I$650,2,FALSE))))</f>
        <v>Mea Moore</v>
      </c>
      <c r="I22" s="51">
        <f t="shared" si="1"/>
        <v>2.0486111111111111E-2</v>
      </c>
      <c r="J22" t="str">
        <f t="shared" si="2"/>
        <v/>
      </c>
      <c r="K22">
        <v>21</v>
      </c>
    </row>
    <row r="23" spans="1:11" ht="15">
      <c r="A23" s="46" t="s">
        <v>429</v>
      </c>
      <c r="B23" s="47">
        <f t="shared" si="0"/>
        <v>1107</v>
      </c>
      <c r="C23" s="48"/>
      <c r="D23" s="49">
        <v>28</v>
      </c>
      <c r="E23" s="49">
        <v>9</v>
      </c>
      <c r="F23" s="49" t="s">
        <v>544</v>
      </c>
      <c r="G23" s="49"/>
      <c r="H23" s="50" t="str">
        <f>IF($B23="","",IF($J23="X",B23,CONCATENATE(VLOOKUP(B23,Competitors!$A$2:$I$650,3,FALSE)," ",VLOOKUP(B23,Competitors!$A$2:$I$650,2,FALSE))))</f>
        <v>Milly Pinnock</v>
      </c>
      <c r="I23" s="51">
        <f t="shared" si="1"/>
        <v>1.954861111111111E-2</v>
      </c>
      <c r="J23" t="str">
        <f t="shared" si="2"/>
        <v/>
      </c>
      <c r="K23">
        <v>22</v>
      </c>
    </row>
    <row r="24" spans="1:11" ht="15">
      <c r="A24" s="46" t="s">
        <v>627</v>
      </c>
      <c r="B24" s="47">
        <f t="shared" si="0"/>
        <v>567</v>
      </c>
      <c r="C24" s="48"/>
      <c r="D24" s="49">
        <v>28</v>
      </c>
      <c r="E24" s="49">
        <v>41</v>
      </c>
      <c r="F24" s="49" t="s">
        <v>544</v>
      </c>
      <c r="G24" s="49"/>
      <c r="H24" s="50" t="str">
        <f>IF($B24="","",IF($J24="X",B24,CONCATENATE(VLOOKUP(B24,Competitors!$A$2:$I$650,3,FALSE)," ",VLOOKUP(B24,Competitors!$A$2:$I$650,2,FALSE))))</f>
        <v>Lawrence Cox</v>
      </c>
      <c r="I24" s="51">
        <f t="shared" si="1"/>
        <v>1.9918981481481482E-2</v>
      </c>
      <c r="J24" t="str">
        <f t="shared" si="2"/>
        <v/>
      </c>
      <c r="K24">
        <v>23</v>
      </c>
    </row>
    <row r="25" spans="1:11" ht="15">
      <c r="A25" s="46" t="s">
        <v>614</v>
      </c>
      <c r="B25" s="47">
        <f t="shared" si="0"/>
        <v>1391</v>
      </c>
      <c r="C25" s="48"/>
      <c r="D25" s="49">
        <v>25</v>
      </c>
      <c r="E25" s="49">
        <v>59</v>
      </c>
      <c r="F25" s="49" t="s">
        <v>544</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514</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418</v>
      </c>
      <c r="B27" s="47">
        <f t="shared" si="0"/>
        <v>1355</v>
      </c>
      <c r="C27" s="48"/>
      <c r="D27" s="49">
        <v>25</v>
      </c>
      <c r="E27" s="49">
        <v>23</v>
      </c>
      <c r="F27" s="49" t="s">
        <v>544</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413</v>
      </c>
      <c r="B28" s="47">
        <f t="shared" si="0"/>
        <v>989</v>
      </c>
      <c r="C28" s="48"/>
      <c r="D28" s="49">
        <v>24</v>
      </c>
      <c r="E28" s="49">
        <v>14</v>
      </c>
      <c r="F28" s="49" t="s">
        <v>544</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412</v>
      </c>
      <c r="B29" s="47">
        <f t="shared" si="0"/>
        <v>1144</v>
      </c>
      <c r="C29" s="48"/>
      <c r="D29" s="49">
        <v>24</v>
      </c>
      <c r="E29" s="49">
        <v>0</v>
      </c>
      <c r="F29" s="49" t="s">
        <v>544</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457</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789</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626</v>
      </c>
      <c r="B32" s="47" t="str">
        <f t="shared" si="0"/>
        <v>Pete Bradshaw (RFW)</v>
      </c>
      <c r="C32" s="48"/>
      <c r="D32" s="49">
        <v>25</v>
      </c>
      <c r="E32" s="49">
        <v>7</v>
      </c>
      <c r="F32" s="49" t="s">
        <v>544</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433</v>
      </c>
      <c r="B33" s="47">
        <f t="shared" si="0"/>
        <v>1109</v>
      </c>
      <c r="C33" s="48"/>
      <c r="D33" s="49">
        <v>28</v>
      </c>
      <c r="E33" s="49">
        <v>36</v>
      </c>
      <c r="F33" s="49" t="s">
        <v>544</v>
      </c>
      <c r="G33" s="49"/>
      <c r="H33" s="50" t="str">
        <f>IF($B33="","",IF($J33="X",B33,CONCATENATE(VLOOKUP(B33,Competitors!$A$2:$I$650,3,FALSE)," ",VLOOKUP(B33,Competitors!$A$2:$I$650,2,FALSE))))</f>
        <v>Stuart Haycox</v>
      </c>
      <c r="I33" s="51">
        <f t="shared" si="1"/>
        <v>1.9861111111111111E-2</v>
      </c>
      <c r="J33" t="str">
        <f t="shared" si="2"/>
        <v/>
      </c>
      <c r="K33">
        <v>32</v>
      </c>
    </row>
    <row r="34" spans="1:11" ht="15">
      <c r="A34" s="46" t="s">
        <v>509</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524</v>
      </c>
      <c r="B35" s="47" t="str">
        <f t="shared" si="0"/>
        <v>Michael Carter (RFW)</v>
      </c>
      <c r="C35" s="48"/>
      <c r="D35" s="49">
        <v>26</v>
      </c>
      <c r="E35" s="49">
        <v>33</v>
      </c>
      <c r="F35" s="49" t="s">
        <v>544</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416</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589</v>
      </c>
      <c r="B37" s="47" t="str">
        <f t="shared" si="0"/>
        <v>Alex Barrowman (RFW)</v>
      </c>
      <c r="C37" s="48"/>
      <c r="D37" s="49">
        <v>24</v>
      </c>
      <c r="E37" s="49">
        <v>25</v>
      </c>
      <c r="F37" s="49" t="s">
        <v>544</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410</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411</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517</v>
      </c>
      <c r="B40" s="47" t="str">
        <f t="shared" si="0"/>
        <v>Chris Fowler (RFW)</v>
      </c>
      <c r="C40" s="48"/>
      <c r="D40" s="49">
        <v>24</v>
      </c>
      <c r="E40" s="49">
        <v>32</v>
      </c>
      <c r="F40" s="49" t="s">
        <v>544</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415</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592</v>
      </c>
      <c r="B42" s="47">
        <f t="shared" si="0"/>
        <v>1390</v>
      </c>
      <c r="C42" s="48"/>
      <c r="D42" s="49">
        <v>26</v>
      </c>
      <c r="E42" s="49">
        <v>8</v>
      </c>
      <c r="F42" s="49" t="s">
        <v>544</v>
      </c>
      <c r="G42" s="49"/>
      <c r="H42" s="50" t="str">
        <f>IF($B42="","",IF($J42="X",B42,CONCATENATE(VLOOKUP(B42,Competitors!$A$2:$I$650,3,FALSE)," ",VLOOKUP(B42,Competitors!$A$2:$I$650,2,FALSE))))</f>
        <v>Diego Patteri</v>
      </c>
      <c r="I42" s="51">
        <f t="shared" si="1"/>
        <v>1.8148148148148149E-2</v>
      </c>
      <c r="J42" t="str">
        <f t="shared" si="2"/>
        <v/>
      </c>
      <c r="K42">
        <v>41</v>
      </c>
    </row>
    <row r="43" spans="1:11" ht="15">
      <c r="A43" s="46" t="s">
        <v>499</v>
      </c>
      <c r="B43" s="47" t="str">
        <f t="shared" si="0"/>
        <v>Alex Whitmore (Ratae)</v>
      </c>
      <c r="C43" s="48"/>
      <c r="D43" s="49">
        <v>23</v>
      </c>
      <c r="E43" s="49">
        <v>45</v>
      </c>
      <c r="F43" s="49" t="s">
        <v>544</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790</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Event_15</v>
      </c>
    </row>
    <row r="104" spans="1:10">
      <c r="B104" t="s">
        <v>552</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 workbookViewId="1"/>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629</v>
      </c>
      <c r="B2" s="47" t="str">
        <f t="shared" ref="B2:B33" si="0">IF(A2="","",_xlfn.XLOOKUP(A2,ClubNames,ClubNumbers,_xlfn.XLOOKUP(A2,RoundRobinRiderNames,RoundRobinRiderDecoratedNames,A2)))</f>
        <v>Jeff Jones (LFCC)</v>
      </c>
      <c r="C2" s="47" t="s">
        <v>655</v>
      </c>
      <c r="D2" s="48"/>
      <c r="E2" s="49"/>
      <c r="F2" s="49"/>
      <c r="G2" s="49"/>
      <c r="H2" s="49" t="s">
        <v>557</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630</v>
      </c>
      <c r="B3" s="47" t="str">
        <f t="shared" si="0"/>
        <v>Joshua Jones (LFCC)</v>
      </c>
      <c r="C3" s="47" t="s">
        <v>656</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631</v>
      </c>
      <c r="B4" s="47" t="str">
        <f t="shared" si="0"/>
        <v>Simon Jones (LFCC)</v>
      </c>
      <c r="C4" s="47" t="s">
        <v>657</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616</v>
      </c>
      <c r="B5" s="47">
        <f t="shared" si="0"/>
        <v>990</v>
      </c>
      <c r="C5" s="47" t="s">
        <v>658</v>
      </c>
      <c r="D5" s="48"/>
      <c r="E5" s="49">
        <v>20</v>
      </c>
      <c r="F5" s="49">
        <v>15</v>
      </c>
      <c r="G5" s="49" t="s">
        <v>544</v>
      </c>
      <c r="H5" s="49"/>
      <c r="I5" s="50" t="str">
        <f>IF($B5="","",IF($K5="X",B5,CONCATENATE(VLOOKUP(B5,Competitors!$A$2:$I$650,3,FALSE)," ",VLOOKUP(B5,Competitors!$A$2:$I$650,2,FALSE))))</f>
        <v>Jen Hulme</v>
      </c>
      <c r="J5" s="51">
        <f t="shared" si="1"/>
        <v>1.40625E-2</v>
      </c>
      <c r="K5" t="str">
        <f t="shared" si="2"/>
        <v/>
      </c>
    </row>
    <row r="6" spans="1:11" ht="15">
      <c r="A6" s="46" t="s">
        <v>486</v>
      </c>
      <c r="B6" s="47" t="str">
        <f t="shared" si="0"/>
        <v>Matt Finch (LFCC)</v>
      </c>
      <c r="C6" s="47" t="s">
        <v>659</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690</v>
      </c>
      <c r="B7" s="47" t="str">
        <f t="shared" si="0"/>
        <v>Laura Ayres (MOCC)</v>
      </c>
      <c r="C7" s="47" t="s">
        <v>660</v>
      </c>
      <c r="D7" s="48"/>
      <c r="E7" s="49">
        <v>17</v>
      </c>
      <c r="F7" s="49">
        <v>46</v>
      </c>
      <c r="G7" s="49" t="s">
        <v>544</v>
      </c>
      <c r="H7" s="49"/>
      <c r="I7" s="50" t="str">
        <f>IF($B7="","",IF($K7="X",B7,CONCATENATE(VLOOKUP(B7,Competitors!$A$2:$I$650,3,FALSE)," ",VLOOKUP(B7,Competitors!$A$2:$I$650,2,FALSE))))</f>
        <v>Laura Ayres (MOCC)</v>
      </c>
      <c r="J7" s="51">
        <f t="shared" si="1"/>
        <v>1.2337962962962964E-2</v>
      </c>
      <c r="K7" t="str">
        <f t="shared" si="2"/>
        <v>X</v>
      </c>
    </row>
    <row r="8" spans="1:11" ht="15">
      <c r="A8" s="46" t="s">
        <v>632</v>
      </c>
      <c r="B8" s="47" t="str">
        <f t="shared" si="0"/>
        <v>Sue Bonsor (Ratae)</v>
      </c>
      <c r="C8" s="47" t="s">
        <v>661</v>
      </c>
      <c r="D8" s="48"/>
      <c r="E8" s="49">
        <v>21</v>
      </c>
      <c r="F8" s="49">
        <v>6</v>
      </c>
      <c r="G8" s="49" t="s">
        <v>544</v>
      </c>
      <c r="H8" s="49"/>
      <c r="I8" s="50" t="str">
        <f>IF($B8="","",IF($K8="X",B8,CONCATENATE(VLOOKUP(B8,Competitors!$A$2:$I$650,3,FALSE)," ",VLOOKUP(B8,Competitors!$A$2:$I$650,2,FALSE))))</f>
        <v>Sue Bonsor (Ratae)</v>
      </c>
      <c r="J8" s="51">
        <f t="shared" si="1"/>
        <v>1.4652777777777778E-2</v>
      </c>
      <c r="K8" t="str">
        <f t="shared" si="2"/>
        <v>X</v>
      </c>
    </row>
    <row r="9" spans="1:11" ht="15">
      <c r="A9" s="46" t="s">
        <v>501</v>
      </c>
      <c r="B9" s="47" t="str">
        <f t="shared" si="0"/>
        <v>Chris Bonsor (Ratae)</v>
      </c>
      <c r="C9" s="47" t="s">
        <v>662</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577</v>
      </c>
      <c r="B10" s="47">
        <f t="shared" si="0"/>
        <v>1048</v>
      </c>
      <c r="C10" s="47" t="s">
        <v>663</v>
      </c>
      <c r="D10" s="48"/>
      <c r="E10" s="49">
        <v>18</v>
      </c>
      <c r="F10" s="49">
        <v>40</v>
      </c>
      <c r="G10" s="49" t="s">
        <v>544</v>
      </c>
      <c r="H10" s="49"/>
      <c r="I10" s="50" t="str">
        <f>IF($B10="","",IF($K10="X",B10,CONCATENATE(VLOOKUP(B10,Competitors!$A$2:$I$650,3,FALSE)," ",VLOOKUP(B10,Competitors!$A$2:$I$650,2,FALSE))))</f>
        <v>Andy Smith</v>
      </c>
      <c r="J10" s="51">
        <f t="shared" si="1"/>
        <v>1.2962962962962963E-2</v>
      </c>
      <c r="K10" t="str">
        <f t="shared" si="2"/>
        <v/>
      </c>
    </row>
    <row r="11" spans="1:11" ht="15">
      <c r="A11" s="46" t="s">
        <v>500</v>
      </c>
      <c r="B11" s="47" t="str">
        <f t="shared" si="0"/>
        <v>Brian Lincoln (Ratae)</v>
      </c>
      <c r="C11" s="47" t="s">
        <v>664</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514</v>
      </c>
      <c r="B12" s="47" t="str">
        <f t="shared" si="0"/>
        <v>Steve Pearce (Ratae)</v>
      </c>
      <c r="C12" s="47" t="s">
        <v>665</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510</v>
      </c>
      <c r="B13" s="47" t="str">
        <f t="shared" si="0"/>
        <v>Marshall Briggs (Ratae)</v>
      </c>
      <c r="C13" s="47" t="s">
        <v>666</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507</v>
      </c>
      <c r="B14" s="47" t="str">
        <f t="shared" si="0"/>
        <v>Lucy Sturgess (Ratae)</v>
      </c>
      <c r="C14" s="47" t="s">
        <v>667</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633</v>
      </c>
      <c r="B15" s="47" t="str">
        <f t="shared" si="0"/>
        <v>Shareeq S. Shaikh (BOB CC)</v>
      </c>
      <c r="C15" s="47" t="s">
        <v>668</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634</v>
      </c>
      <c r="B16" s="47" t="str">
        <f t="shared" si="0"/>
        <v>Marc Fairclough (Beeston RC)</v>
      </c>
      <c r="C16" s="47" t="s">
        <v>669</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636</v>
      </c>
      <c r="B17" s="47" t="str">
        <f t="shared" si="0"/>
        <v>Umair Nurgat (Gapped RT)</v>
      </c>
      <c r="C17" s="47" t="s">
        <v>670</v>
      </c>
      <c r="D17" s="48"/>
      <c r="E17" s="49">
        <v>16</v>
      </c>
      <c r="F17" s="49">
        <v>34</v>
      </c>
      <c r="G17" s="49" t="s">
        <v>544</v>
      </c>
      <c r="H17" s="49"/>
      <c r="I17" s="50" t="str">
        <f>IF($B17="","",IF($K17="X",B17,CONCATENATE(VLOOKUP(B17,Competitors!$A$2:$I$650,3,FALSE)," ",VLOOKUP(B17,Competitors!$A$2:$I$650,2,FALSE))))</f>
        <v>Umair Nurgat (Gapped RT)</v>
      </c>
      <c r="J17" s="51">
        <f t="shared" si="1"/>
        <v>1.150462962962963E-2</v>
      </c>
      <c r="K17" t="str">
        <f t="shared" si="2"/>
        <v>X</v>
      </c>
    </row>
    <row r="18" spans="1:11" ht="15">
      <c r="A18" s="46" t="s">
        <v>638</v>
      </c>
      <c r="B18" s="47" t="str">
        <f t="shared" si="0"/>
        <v>James Dexter (Coalville Wheelers)</v>
      </c>
      <c r="C18" s="47" t="s">
        <v>671</v>
      </c>
      <c r="D18" s="48"/>
      <c r="E18" s="49">
        <v>15</v>
      </c>
      <c r="F18" s="49">
        <v>26</v>
      </c>
      <c r="G18" s="49" t="s">
        <v>544</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639</v>
      </c>
      <c r="B19" s="47" t="str">
        <f t="shared" si="0"/>
        <v>Muhammad Sheikh (Gapped RT)</v>
      </c>
      <c r="C19" s="47" t="s">
        <v>672</v>
      </c>
      <c r="D19" s="48"/>
      <c r="E19" s="49">
        <v>17</v>
      </c>
      <c r="F19" s="49">
        <v>45</v>
      </c>
      <c r="G19" s="49" t="s">
        <v>544</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506</v>
      </c>
      <c r="B20" s="47" t="str">
        <f t="shared" si="0"/>
        <v>Lesley Allden (Ratae)</v>
      </c>
      <c r="C20" s="47" t="s">
        <v>673</v>
      </c>
      <c r="D20" s="48"/>
      <c r="E20" s="49">
        <v>21</v>
      </c>
      <c r="F20" s="49">
        <v>2</v>
      </c>
      <c r="G20" s="49" t="s">
        <v>544</v>
      </c>
      <c r="H20" s="49"/>
      <c r="I20" s="50" t="str">
        <f>IF($B20="","",IF($K20="X",B20,CONCATENATE(VLOOKUP(B20,Competitors!$A$2:$I$650,3,FALSE)," ",VLOOKUP(B20,Competitors!$A$2:$I$650,2,FALSE))))</f>
        <v>Lesley Allden (Ratae)</v>
      </c>
      <c r="J20" s="51">
        <f t="shared" si="1"/>
        <v>1.4606481481481481E-2</v>
      </c>
      <c r="K20" t="str">
        <f t="shared" si="2"/>
        <v>X</v>
      </c>
    </row>
    <row r="21" spans="1:11" ht="15">
      <c r="A21" s="46" t="s">
        <v>640</v>
      </c>
      <c r="B21" s="47" t="str">
        <f t="shared" si="0"/>
        <v>Karl Williams (Ratae)</v>
      </c>
      <c r="C21" s="47" t="s">
        <v>674</v>
      </c>
      <c r="D21" s="48"/>
      <c r="E21" s="49">
        <v>17</v>
      </c>
      <c r="F21" s="49">
        <v>25</v>
      </c>
      <c r="G21" s="49" t="s">
        <v>544</v>
      </c>
      <c r="H21" s="49"/>
      <c r="I21" s="50" t="str">
        <f>IF($B21="","",IF($K21="X",B21,CONCATENATE(VLOOKUP(B21,Competitors!$A$2:$I$650,3,FALSE)," ",VLOOKUP(B21,Competitors!$A$2:$I$650,2,FALSE))))</f>
        <v>Karl Williams (Ratae)</v>
      </c>
      <c r="J21" s="51">
        <f t="shared" si="1"/>
        <v>1.2094907407407407E-2</v>
      </c>
      <c r="K21" t="str">
        <f t="shared" si="2"/>
        <v>X</v>
      </c>
    </row>
    <row r="22" spans="1:11" ht="15">
      <c r="A22" s="46" t="s">
        <v>492</v>
      </c>
      <c r="B22" s="47" t="str">
        <f t="shared" si="0"/>
        <v>Chris Booth (MOCC)</v>
      </c>
      <c r="C22" s="47" t="s">
        <v>675</v>
      </c>
      <c r="D22" s="48"/>
      <c r="E22" s="49">
        <v>15</v>
      </c>
      <c r="F22" s="49">
        <v>40</v>
      </c>
      <c r="G22" s="49" t="s">
        <v>544</v>
      </c>
      <c r="H22" s="49"/>
      <c r="I22" s="50" t="str">
        <f>IF($B22="","",IF($K22="X",B22,CONCATENATE(VLOOKUP(B22,Competitors!$A$2:$I$650,3,FALSE)," ",VLOOKUP(B22,Competitors!$A$2:$I$650,2,FALSE))))</f>
        <v>Chris Booth (MOCC)</v>
      </c>
      <c r="J22" s="51">
        <f t="shared" si="1"/>
        <v>1.087962962962963E-2</v>
      </c>
      <c r="K22" t="str">
        <f t="shared" si="2"/>
        <v>X</v>
      </c>
    </row>
    <row r="23" spans="1:11" ht="15">
      <c r="A23" s="46" t="s">
        <v>495</v>
      </c>
      <c r="B23" s="47" t="str">
        <f t="shared" si="0"/>
        <v>Jamie Haines (MOCC)</v>
      </c>
      <c r="C23" s="47" t="s">
        <v>676</v>
      </c>
      <c r="D23" s="48"/>
      <c r="E23" s="49">
        <v>14</v>
      </c>
      <c r="F23" s="49">
        <v>19</v>
      </c>
      <c r="G23" s="49" t="s">
        <v>544</v>
      </c>
      <c r="H23" s="49"/>
      <c r="I23" s="50" t="str">
        <f>IF($B23="","",IF($K23="X",B23,CONCATENATE(VLOOKUP(B23,Competitors!$A$2:$I$650,3,FALSE)," ",VLOOKUP(B23,Competitors!$A$2:$I$650,2,FALSE))))</f>
        <v>Jamie Haines (MOCC)</v>
      </c>
      <c r="J23" s="51">
        <f t="shared" si="1"/>
        <v>9.9421296296296289E-3</v>
      </c>
      <c r="K23" t="str">
        <f t="shared" si="2"/>
        <v>X</v>
      </c>
    </row>
    <row r="24" spans="1:11" ht="15">
      <c r="A24" s="46" t="s">
        <v>411</v>
      </c>
      <c r="B24" s="47">
        <f t="shared" si="0"/>
        <v>407</v>
      </c>
      <c r="C24" s="47" t="s">
        <v>677</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780</v>
      </c>
      <c r="B25" s="47" t="str">
        <f t="shared" si="0"/>
        <v>Geoff Stanbridge (Fenland Clarion) (Ratae)</v>
      </c>
      <c r="C25" s="47" t="s">
        <v>678</v>
      </c>
      <c r="D25" s="48"/>
      <c r="E25" s="49">
        <v>24</v>
      </c>
      <c r="F25" s="49">
        <v>33</v>
      </c>
      <c r="G25" s="49" t="s">
        <v>544</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431</v>
      </c>
      <c r="B26" s="47">
        <f t="shared" si="0"/>
        <v>1403</v>
      </c>
      <c r="C26" s="47" t="s">
        <v>641</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418</v>
      </c>
      <c r="B27" s="47">
        <f t="shared" si="0"/>
        <v>1355</v>
      </c>
      <c r="C27" s="47" t="s">
        <v>642</v>
      </c>
      <c r="D27" s="48"/>
      <c r="E27" s="49">
        <v>15</v>
      </c>
      <c r="F27" s="49">
        <v>27</v>
      </c>
      <c r="G27" s="49" t="s">
        <v>544</v>
      </c>
      <c r="H27" s="49"/>
      <c r="I27" s="50" t="str">
        <f>IF($B27="","",IF($K27="X",B27,CONCATENATE(VLOOKUP(B27,Competitors!$A$2:$I$650,3,FALSE)," ",VLOOKUP(B27,Competitors!$A$2:$I$650,2,FALSE))))</f>
        <v>Aubrey Elmer</v>
      </c>
      <c r="J27" s="51">
        <f t="shared" si="1"/>
        <v>1.0729166666666666E-2</v>
      </c>
      <c r="K27" t="str">
        <f t="shared" si="2"/>
        <v/>
      </c>
    </row>
    <row r="28" spans="1:11" ht="15">
      <c r="A28" s="46" t="s">
        <v>685</v>
      </c>
      <c r="B28" s="47" t="str">
        <f t="shared" si="0"/>
        <v>Steve Walsh (LFCC)</v>
      </c>
      <c r="C28" s="47" t="s">
        <v>643</v>
      </c>
      <c r="D28" s="48"/>
      <c r="E28" s="49">
        <v>18</v>
      </c>
      <c r="F28" s="49">
        <v>22</v>
      </c>
      <c r="G28" s="49" t="s">
        <v>544</v>
      </c>
      <c r="H28" s="49"/>
      <c r="I28" s="50" t="str">
        <f>IF($B28="","",IF($K28="X",B28,CONCATENATE(VLOOKUP(B28,Competitors!$A$2:$I$650,3,FALSE)," ",VLOOKUP(B28,Competitors!$A$2:$I$650,2,FALSE))))</f>
        <v>Steve Walsh (LFCC)</v>
      </c>
      <c r="J28" s="51">
        <f t="shared" si="1"/>
        <v>1.275462962962963E-2</v>
      </c>
      <c r="K28" t="str">
        <f t="shared" si="2"/>
        <v>X</v>
      </c>
    </row>
    <row r="29" spans="1:11" ht="15">
      <c r="A29" s="46" t="s">
        <v>458</v>
      </c>
      <c r="B29" s="47">
        <f t="shared" si="0"/>
        <v>715</v>
      </c>
      <c r="C29" s="47" t="s">
        <v>644</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447</v>
      </c>
      <c r="B30" s="47">
        <f t="shared" si="0"/>
        <v>1194</v>
      </c>
      <c r="C30" s="47" t="s">
        <v>645</v>
      </c>
      <c r="D30" s="48"/>
      <c r="E30" s="49">
        <v>18</v>
      </c>
      <c r="F30" s="49">
        <v>50</v>
      </c>
      <c r="G30" s="49" t="s">
        <v>544</v>
      </c>
      <c r="H30" s="49"/>
      <c r="I30" s="50" t="str">
        <f>IF($B30="","",IF($K30="X",B30,CONCATENATE(VLOOKUP(B30,Competitors!$A$2:$I$650,3,FALSE)," ",VLOOKUP(B30,Competitors!$A$2:$I$650,2,FALSE))))</f>
        <v>Alex Hardwicke</v>
      </c>
      <c r="J30" s="51">
        <f t="shared" si="1"/>
        <v>1.3078703703703703E-2</v>
      </c>
      <c r="K30" t="str">
        <f t="shared" si="2"/>
        <v/>
      </c>
    </row>
    <row r="31" spans="1:11" ht="15">
      <c r="A31" s="46" t="s">
        <v>443</v>
      </c>
      <c r="B31" s="47">
        <f t="shared" si="0"/>
        <v>1193</v>
      </c>
      <c r="C31" s="47" t="s">
        <v>646</v>
      </c>
      <c r="D31" s="48"/>
      <c r="E31" s="49">
        <v>17</v>
      </c>
      <c r="F31" s="49">
        <v>27</v>
      </c>
      <c r="G31" s="49" t="s">
        <v>544</v>
      </c>
      <c r="H31" s="49"/>
      <c r="I31" s="50" t="str">
        <f>IF($B31="","",IF($K31="X",B31,CONCATENATE(VLOOKUP(B31,Competitors!$A$2:$I$650,3,FALSE)," ",VLOOKUP(B31,Competitors!$A$2:$I$650,2,FALSE))))</f>
        <v>Richard Hardwicke</v>
      </c>
      <c r="J31" s="51">
        <f t="shared" si="1"/>
        <v>1.2118055555555556E-2</v>
      </c>
      <c r="K31" t="str">
        <f t="shared" si="2"/>
        <v/>
      </c>
    </row>
    <row r="32" spans="1:11" ht="15">
      <c r="A32" s="46" t="s">
        <v>437</v>
      </c>
      <c r="B32" s="47">
        <f t="shared" si="0"/>
        <v>1195</v>
      </c>
      <c r="C32" s="47" t="s">
        <v>647</v>
      </c>
      <c r="D32" s="48"/>
      <c r="E32" s="49">
        <v>16</v>
      </c>
      <c r="F32" s="49">
        <v>28</v>
      </c>
      <c r="G32" s="49" t="s">
        <v>544</v>
      </c>
      <c r="H32" s="49"/>
      <c r="I32" s="50" t="str">
        <f>IF($B32="","",IF($K32="X",B32,CONCATENATE(VLOOKUP(B32,Competitors!$A$2:$I$650,3,FALSE)," ",VLOOKUP(B32,Competitors!$A$2:$I$650,2,FALSE))))</f>
        <v>Charlie Hardwicke</v>
      </c>
      <c r="J32" s="51">
        <f t="shared" si="1"/>
        <v>1.1435185185185185E-2</v>
      </c>
      <c r="K32" t="str">
        <f t="shared" si="2"/>
        <v/>
      </c>
    </row>
    <row r="33" spans="1:11" ht="15">
      <c r="A33" s="46" t="s">
        <v>505</v>
      </c>
      <c r="B33" s="47" t="str">
        <f t="shared" si="0"/>
        <v>Jonathon Clarke (Ratae)</v>
      </c>
      <c r="C33" s="47" t="s">
        <v>648</v>
      </c>
      <c r="D33" s="48"/>
      <c r="E33" s="49">
        <v>17</v>
      </c>
      <c r="F33" s="49">
        <v>10</v>
      </c>
      <c r="G33" s="49" t="s">
        <v>544</v>
      </c>
      <c r="H33" s="49"/>
      <c r="I33" s="50" t="str">
        <f>IF($B33="","",IF($K33="X",B33,CONCATENATE(VLOOKUP(B33,Competitors!$A$2:$I$650,3,FALSE)," ",VLOOKUP(B33,Competitors!$A$2:$I$650,2,FALSE))))</f>
        <v>Jonathon Clarke (Ratae)</v>
      </c>
      <c r="J33" s="51">
        <f t="shared" si="1"/>
        <v>1.1921296296296296E-2</v>
      </c>
      <c r="K33" t="str">
        <f t="shared" si="2"/>
        <v>X</v>
      </c>
    </row>
    <row r="34" spans="1:11" ht="15">
      <c r="A34" s="46" t="s">
        <v>686</v>
      </c>
      <c r="B34" s="47" t="str">
        <f t="shared" ref="B34:B97" si="3">IF(A34="","",_xlfn.XLOOKUP(A34,ClubNames,ClubNumbers,_xlfn.XLOOKUP(A34,RoundRobinRiderNames,RoundRobinRiderDecoratedNames,A34)))</f>
        <v>Tom Swan (Speedhub)</v>
      </c>
      <c r="C34" s="47" t="s">
        <v>649</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687</v>
      </c>
      <c r="B35" s="47" t="str">
        <f t="shared" si="3"/>
        <v>Tom Scott-Collins (Velo Elite)</v>
      </c>
      <c r="C35" s="47" t="s">
        <v>650</v>
      </c>
      <c r="D35" s="48"/>
      <c r="E35" s="49">
        <v>14</v>
      </c>
      <c r="F35" s="49">
        <v>43</v>
      </c>
      <c r="G35" s="49" t="s">
        <v>544</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591</v>
      </c>
      <c r="B36" s="47" t="str">
        <f t="shared" si="3"/>
        <v>Mohammed Nurgat (BOB CC)</v>
      </c>
      <c r="C36" s="47" t="s">
        <v>651</v>
      </c>
      <c r="D36" s="48"/>
      <c r="E36" s="49">
        <v>17</v>
      </c>
      <c r="F36" s="49">
        <v>22</v>
      </c>
      <c r="G36" s="49" t="s">
        <v>544</v>
      </c>
      <c r="H36" s="49"/>
      <c r="I36" s="50" t="str">
        <f>IF($B36="","",IF($K36="X",B36,CONCATENATE(VLOOKUP(B36,Competitors!$A$2:$I$650,3,FALSE)," ",VLOOKUP(B36,Competitors!$A$2:$I$650,2,FALSE))))</f>
        <v>Mohammed Nurgat (BOB CC)</v>
      </c>
      <c r="J36" s="51">
        <f t="shared" si="1"/>
        <v>1.2060185185185186E-2</v>
      </c>
      <c r="K36" t="str">
        <f t="shared" si="2"/>
        <v>X</v>
      </c>
    </row>
    <row r="37" spans="1:11" ht="15">
      <c r="A37" s="46" t="s">
        <v>689</v>
      </c>
      <c r="B37" s="47" t="str">
        <f t="shared" si="3"/>
        <v>Ali Nurgat (BOB CC)</v>
      </c>
      <c r="C37" s="47" t="s">
        <v>652</v>
      </c>
      <c r="D37" s="48"/>
      <c r="E37" s="49">
        <v>17</v>
      </c>
      <c r="F37" s="49">
        <v>26</v>
      </c>
      <c r="G37" s="49" t="s">
        <v>544</v>
      </c>
      <c r="H37" s="49"/>
      <c r="I37" s="50" t="str">
        <f>IF($B37="","",IF($K37="X",B37,CONCATENATE(VLOOKUP(B37,Competitors!$A$2:$I$650,3,FALSE)," ",VLOOKUP(B37,Competitors!$A$2:$I$650,2,FALSE))))</f>
        <v>Ali Nurgat (BOB CC)</v>
      </c>
      <c r="J37" s="51">
        <f t="shared" si="1"/>
        <v>1.2106481481481482E-2</v>
      </c>
      <c r="K37" t="str">
        <f t="shared" si="2"/>
        <v>X</v>
      </c>
    </row>
    <row r="38" spans="1:11" ht="15">
      <c r="A38" s="46" t="s">
        <v>499</v>
      </c>
      <c r="B38" s="47" t="str">
        <f t="shared" si="3"/>
        <v>Alex Whitmore (Ratae)</v>
      </c>
      <c r="C38" s="47" t="s">
        <v>679</v>
      </c>
      <c r="D38" s="48"/>
      <c r="E38" s="49">
        <v>14</v>
      </c>
      <c r="F38" s="49">
        <v>12</v>
      </c>
      <c r="G38" s="49" t="s">
        <v>544</v>
      </c>
      <c r="H38" s="49"/>
      <c r="I38" s="50" t="str">
        <f>IF($B38="","",IF($K38="X",B38,CONCATENATE(VLOOKUP(B38,Competitors!$A$2:$I$650,3,FALSE)," ",VLOOKUP(B38,Competitors!$A$2:$I$650,2,FALSE))))</f>
        <v>Alex Whitmore (Ratae)</v>
      </c>
      <c r="J38" s="51">
        <f t="shared" si="1"/>
        <v>9.8611111111111104E-3</v>
      </c>
      <c r="K38" t="str">
        <f t="shared" si="2"/>
        <v>X</v>
      </c>
    </row>
    <row r="39" spans="1:11" ht="15">
      <c r="A39" s="46" t="s">
        <v>435</v>
      </c>
      <c r="B39" s="47">
        <f t="shared" si="3"/>
        <v>846</v>
      </c>
      <c r="C39" s="47" t="s">
        <v>680</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436</v>
      </c>
      <c r="B40" s="47">
        <f t="shared" si="3"/>
        <v>203</v>
      </c>
      <c r="C40" s="47" t="s">
        <v>681</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653</v>
      </c>
      <c r="B41" s="47" t="str">
        <f t="shared" si="3"/>
        <v>Brigitte Gaillard (Ratae)</v>
      </c>
      <c r="C41" s="47" t="s">
        <v>682</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654</v>
      </c>
      <c r="B42" s="47" t="str">
        <f t="shared" si="3"/>
        <v>Peter Kott (Ratae)</v>
      </c>
      <c r="C42" s="47" t="s">
        <v>683</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551</v>
      </c>
      <c r="D103" t="str" cm="1">
        <f t="array" aca="1" ref="D103" ca="1">MID(CELL("filename",B1),FIND("]",CELL("filename",B1))+1,255)</f>
        <v>Event_16</v>
      </c>
    </row>
    <row r="104" spans="1:11">
      <c r="B104" t="s">
        <v>552</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 workbookViewId="1"/>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460</v>
      </c>
      <c r="B2" s="47">
        <f t="shared" ref="B2:B33" si="0">IF(A2="","",_xlfn.XLOOKUP(A2,ClubNames,ClubNumbers,_xlfn.XLOOKUP(A2,RoundRobinRiderNames,RoundRobinRiderDecoratedNames,A2)))</f>
        <v>7</v>
      </c>
      <c r="C2" s="47" t="s">
        <v>704</v>
      </c>
      <c r="D2" s="48"/>
      <c r="E2" s="49">
        <v>31</v>
      </c>
      <c r="F2" s="49">
        <v>23</v>
      </c>
      <c r="G2" s="49" t="s">
        <v>544</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514</v>
      </c>
      <c r="B3" s="47" t="str">
        <f t="shared" si="0"/>
        <v>Steve Pearce (Ratae)</v>
      </c>
      <c r="C3" s="47" t="s">
        <v>711</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510</v>
      </c>
      <c r="B4" s="47" t="str">
        <f t="shared" si="0"/>
        <v>Marshall Briggs (Ratae)</v>
      </c>
      <c r="C4" s="47" t="s">
        <v>705</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616</v>
      </c>
      <c r="B5" s="47">
        <f t="shared" si="0"/>
        <v>990</v>
      </c>
      <c r="C5" s="47" t="s">
        <v>706</v>
      </c>
      <c r="D5" s="48"/>
      <c r="E5" s="49">
        <v>31</v>
      </c>
      <c r="F5" s="49">
        <v>35</v>
      </c>
      <c r="G5" s="49" t="s">
        <v>544</v>
      </c>
      <c r="H5" s="49"/>
      <c r="I5" s="50" t="str">
        <f>IF($B5="","",IF($K5="X",B5,CONCATENATE(VLOOKUP(B5,Competitors!$A$2:$I$650,3,FALSE)," ",VLOOKUP(B5,Competitors!$A$2:$I$650,2,FALSE))))</f>
        <v>Jen Hulme</v>
      </c>
      <c r="J5" s="51">
        <f t="shared" si="1"/>
        <v>2.193287037037037E-2</v>
      </c>
      <c r="K5" t="str">
        <f t="shared" si="2"/>
        <v/>
      </c>
    </row>
    <row r="6" spans="1:11" ht="15">
      <c r="A6" s="46" t="s">
        <v>780</v>
      </c>
      <c r="B6" s="47" t="str">
        <f t="shared" si="0"/>
        <v>Geoff Stanbridge (Fenland Clarion) (Ratae)</v>
      </c>
      <c r="C6" s="47" t="s">
        <v>707</v>
      </c>
      <c r="D6" s="48"/>
      <c r="E6" s="49">
        <v>37</v>
      </c>
      <c r="F6" s="49">
        <v>13</v>
      </c>
      <c r="G6" s="49" t="s">
        <v>544</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653</v>
      </c>
      <c r="B7" s="47" t="str">
        <f t="shared" si="0"/>
        <v>Brigitte Gaillard (Ratae)</v>
      </c>
      <c r="C7" s="47" t="s">
        <v>703</v>
      </c>
      <c r="D7" s="48"/>
      <c r="E7" s="49">
        <v>29</v>
      </c>
      <c r="F7" s="49">
        <v>53</v>
      </c>
      <c r="G7" s="49" t="s">
        <v>544</v>
      </c>
      <c r="H7" s="49"/>
      <c r="I7" s="50" t="str">
        <f>IF($B7="","",IF($K7="X",B7,CONCATENATE(VLOOKUP(B7,Competitors!$A$2:$I$650,3,FALSE)," ",VLOOKUP(B7,Competitors!$A$2:$I$650,2,FALSE))))</f>
        <v>Brigitte Gaillard (Ratae)</v>
      </c>
      <c r="J7" s="51">
        <f t="shared" si="1"/>
        <v>2.0752314814814814E-2</v>
      </c>
      <c r="K7" t="str">
        <f t="shared" si="2"/>
        <v>X</v>
      </c>
    </row>
    <row r="8" spans="1:11" ht="15">
      <c r="A8" s="46" t="s">
        <v>685</v>
      </c>
      <c r="B8" s="47" t="str">
        <f t="shared" si="0"/>
        <v>Steve Walsh (LFCC)</v>
      </c>
      <c r="C8" s="47" t="s">
        <v>708</v>
      </c>
      <c r="D8" s="48"/>
      <c r="E8" s="49">
        <v>28</v>
      </c>
      <c r="F8" s="49">
        <v>20</v>
      </c>
      <c r="G8" s="49" t="s">
        <v>544</v>
      </c>
      <c r="H8" s="49"/>
      <c r="I8" s="50" t="str">
        <f>IF($B8="","",IF($K8="X",B8,CONCATENATE(VLOOKUP(B8,Competitors!$A$2:$I$650,3,FALSE)," ",VLOOKUP(B8,Competitors!$A$2:$I$650,2,FALSE))))</f>
        <v>Steve Walsh (LFCC)</v>
      </c>
      <c r="J8" s="51">
        <f t="shared" si="1"/>
        <v>1.9675925925925927E-2</v>
      </c>
      <c r="K8" t="str">
        <f t="shared" si="2"/>
        <v>X</v>
      </c>
    </row>
    <row r="9" spans="1:11" ht="15">
      <c r="A9" s="46" t="s">
        <v>577</v>
      </c>
      <c r="B9" s="47">
        <f t="shared" si="0"/>
        <v>1048</v>
      </c>
      <c r="C9" s="47" t="s">
        <v>709</v>
      </c>
      <c r="D9" s="48"/>
      <c r="E9" s="49">
        <v>28</v>
      </c>
      <c r="F9" s="49">
        <v>46</v>
      </c>
      <c r="G9" s="49" t="s">
        <v>544</v>
      </c>
      <c r="H9" s="49"/>
      <c r="I9" s="50" t="str">
        <f>IF($B9="","",IF($K9="X",B9,CONCATENATE(VLOOKUP(B9,Competitors!$A$2:$I$650,3,FALSE)," ",VLOOKUP(B9,Competitors!$A$2:$I$650,2,FALSE))))</f>
        <v>Andy Smith</v>
      </c>
      <c r="J9" s="51">
        <f t="shared" si="1"/>
        <v>1.9976851851851853E-2</v>
      </c>
      <c r="K9" t="str">
        <f t="shared" si="2"/>
        <v/>
      </c>
    </row>
    <row r="10" spans="1:11" ht="15">
      <c r="A10" s="46" t="s">
        <v>694</v>
      </c>
      <c r="B10" s="47" t="str">
        <f t="shared" si="0"/>
        <v>Joe Murray (M.I. Racing) (HCRC)</v>
      </c>
      <c r="C10" s="47" t="s">
        <v>710</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473</v>
      </c>
      <c r="B11" s="47" t="str">
        <f t="shared" si="0"/>
        <v>John Capel (Coalville Wheelers)</v>
      </c>
      <c r="C11" s="47" t="s">
        <v>664</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444</v>
      </c>
      <c r="B12" s="47">
        <f t="shared" si="0"/>
        <v>1386</v>
      </c>
      <c r="C12" s="47" t="s">
        <v>728</v>
      </c>
      <c r="D12" s="48"/>
      <c r="E12" s="49">
        <v>28</v>
      </c>
      <c r="F12" s="49">
        <v>8</v>
      </c>
      <c r="G12" s="49" t="s">
        <v>544</v>
      </c>
      <c r="H12" s="49"/>
      <c r="I12" s="50" t="str">
        <f>IF($B12="","",IF($K12="X",B12,CONCATENATE(VLOOKUP(B12,Competitors!$A$2:$I$650,3,FALSE)," ",VLOOKUP(B12,Competitors!$A$2:$I$650,2,FALSE))))</f>
        <v>Mea Moore</v>
      </c>
      <c r="J12" s="51">
        <f t="shared" si="1"/>
        <v>1.9537037037037037E-2</v>
      </c>
      <c r="K12" t="str">
        <f t="shared" si="2"/>
        <v/>
      </c>
    </row>
    <row r="13" spans="1:11" ht="15">
      <c r="A13" s="46" t="s">
        <v>500</v>
      </c>
      <c r="B13" s="47" t="str">
        <f t="shared" si="0"/>
        <v>Brian Lincoln (Ratae)</v>
      </c>
      <c r="C13" s="47" t="s">
        <v>665</v>
      </c>
      <c r="D13" s="48"/>
      <c r="E13" s="49">
        <v>29</v>
      </c>
      <c r="F13" s="49">
        <v>33</v>
      </c>
      <c r="G13" s="49" t="s">
        <v>544</v>
      </c>
      <c r="H13" s="49"/>
      <c r="I13" s="50" t="str">
        <f>IF($B13="","",IF($K13="X",B13,CONCATENATE(VLOOKUP(B13,Competitors!$A$2:$I$650,3,FALSE)," ",VLOOKUP(B13,Competitors!$A$2:$I$650,2,FALSE))))</f>
        <v>Brian Lincoln (Ratae)</v>
      </c>
      <c r="J13" s="51">
        <f t="shared" si="1"/>
        <v>2.0520833333333332E-2</v>
      </c>
      <c r="K13" t="str">
        <f t="shared" si="2"/>
        <v>X</v>
      </c>
    </row>
    <row r="14" spans="1:11" ht="15">
      <c r="A14" s="46" t="s">
        <v>492</v>
      </c>
      <c r="B14" s="47" t="str">
        <f t="shared" si="0"/>
        <v>Chris Booth (MOCC)</v>
      </c>
      <c r="C14" s="47" t="s">
        <v>666</v>
      </c>
      <c r="D14" s="48"/>
      <c r="E14" s="49">
        <v>24</v>
      </c>
      <c r="F14" s="49">
        <v>20</v>
      </c>
      <c r="G14" s="49" t="s">
        <v>544</v>
      </c>
      <c r="H14" s="49"/>
      <c r="I14" s="50" t="str">
        <f>IF($B14="","",IF($K14="X",B14,CONCATENATE(VLOOKUP(B14,Competitors!$A$2:$I$650,3,FALSE)," ",VLOOKUP(B14,Competitors!$A$2:$I$650,2,FALSE))))</f>
        <v>Chris Booth (MOCC)</v>
      </c>
      <c r="J14" s="51">
        <f t="shared" si="1"/>
        <v>1.6898148148148148E-2</v>
      </c>
      <c r="K14" t="str">
        <f t="shared" si="2"/>
        <v>X</v>
      </c>
    </row>
    <row r="15" spans="1:11" ht="15">
      <c r="A15" s="46" t="s">
        <v>509</v>
      </c>
      <c r="B15" s="47" t="str">
        <f t="shared" si="0"/>
        <v>Mark Newton (Ratae)</v>
      </c>
      <c r="C15" s="47" t="s">
        <v>667</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432</v>
      </c>
      <c r="B16" s="47">
        <f t="shared" si="0"/>
        <v>1112</v>
      </c>
      <c r="C16" s="47" t="s">
        <v>668</v>
      </c>
      <c r="D16" s="48"/>
      <c r="E16" s="49"/>
      <c r="F16" s="49"/>
      <c r="G16" s="49"/>
      <c r="H16" s="49" t="s">
        <v>553</v>
      </c>
      <c r="I16" s="50" t="str">
        <f>IF($B16="","",IF($K16="X",B16,CONCATENATE(VLOOKUP(B16,Competitors!$A$2:$I$650,3,FALSE)," ",VLOOKUP(B16,Competitors!$A$2:$I$650,2,FALSE))))</f>
        <v>Gary Ashwell</v>
      </c>
      <c r="J16" s="51">
        <f t="shared" si="1"/>
        <v>0</v>
      </c>
      <c r="K16" t="str">
        <f t="shared" si="2"/>
        <v/>
      </c>
    </row>
    <row r="17" spans="1:11" ht="15">
      <c r="A17" s="46" t="s">
        <v>529</v>
      </c>
      <c r="B17" s="47" t="str">
        <f t="shared" si="0"/>
        <v>Adrian James (Rugby RCC)</v>
      </c>
      <c r="C17" s="47" t="s">
        <v>669</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413</v>
      </c>
      <c r="B18" s="47">
        <f t="shared" si="0"/>
        <v>989</v>
      </c>
      <c r="C18" s="47" t="s">
        <v>670</v>
      </c>
      <c r="D18" s="48"/>
      <c r="E18" s="49">
        <v>23</v>
      </c>
      <c r="F18" s="49">
        <v>44</v>
      </c>
      <c r="G18" s="49" t="s">
        <v>544</v>
      </c>
      <c r="H18" s="49"/>
      <c r="I18" s="50" t="str">
        <f>IF($B18="","",IF($K18="X",B18,CONCATENATE(VLOOKUP(B18,Competitors!$A$2:$I$650,3,FALSE)," ",VLOOKUP(B18,Competitors!$A$2:$I$650,2,FALSE))))</f>
        <v>Jason Williams</v>
      </c>
      <c r="J18" s="51">
        <f t="shared" si="1"/>
        <v>1.6481481481481482E-2</v>
      </c>
      <c r="K18" t="str">
        <f t="shared" si="2"/>
        <v/>
      </c>
    </row>
    <row r="19" spans="1:11" ht="15">
      <c r="A19" s="46" t="s">
        <v>437</v>
      </c>
      <c r="B19" s="47">
        <f t="shared" si="0"/>
        <v>1195</v>
      </c>
      <c r="C19" s="47" t="s">
        <v>671</v>
      </c>
      <c r="D19" s="48"/>
      <c r="E19" s="49">
        <v>25</v>
      </c>
      <c r="F19" s="49">
        <v>51</v>
      </c>
      <c r="G19" s="49" t="s">
        <v>544</v>
      </c>
      <c r="H19" s="49"/>
      <c r="I19" s="50" t="str">
        <f>IF($B19="","",IF($K19="X",B19,CONCATENATE(VLOOKUP(B19,Competitors!$A$2:$I$650,3,FALSE)," ",VLOOKUP(B19,Competitors!$A$2:$I$650,2,FALSE))))</f>
        <v>Charlie Hardwicke</v>
      </c>
      <c r="J19" s="51">
        <f t="shared" si="1"/>
        <v>1.7951388888888888E-2</v>
      </c>
      <c r="K19" t="str">
        <f t="shared" si="2"/>
        <v/>
      </c>
    </row>
    <row r="20" spans="1:11" ht="15">
      <c r="A20" s="46" t="s">
        <v>418</v>
      </c>
      <c r="B20" s="47">
        <f t="shared" si="0"/>
        <v>1355</v>
      </c>
      <c r="C20" s="47" t="s">
        <v>672</v>
      </c>
      <c r="D20" s="48"/>
      <c r="E20" s="49">
        <v>24</v>
      </c>
      <c r="F20" s="49">
        <v>5</v>
      </c>
      <c r="G20" s="49" t="s">
        <v>544</v>
      </c>
      <c r="H20" s="49"/>
      <c r="I20" s="50" t="str">
        <f>IF($B20="","",IF($K20="X",B20,CONCATENATE(VLOOKUP(B20,Competitors!$A$2:$I$650,3,FALSE)," ",VLOOKUP(B20,Competitors!$A$2:$I$650,2,FALSE))))</f>
        <v>Aubrey Elmer</v>
      </c>
      <c r="J20" s="51">
        <f t="shared" si="1"/>
        <v>1.6724537037037038E-2</v>
      </c>
      <c r="K20" t="str">
        <f t="shared" si="2"/>
        <v/>
      </c>
    </row>
    <row r="21" spans="1:11" ht="15">
      <c r="A21" s="46" t="s">
        <v>420</v>
      </c>
      <c r="B21" s="47">
        <f t="shared" si="0"/>
        <v>1192</v>
      </c>
      <c r="C21" s="47" t="s">
        <v>673</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592</v>
      </c>
      <c r="B22" s="47">
        <f t="shared" si="0"/>
        <v>1390</v>
      </c>
      <c r="C22" s="47" t="s">
        <v>674</v>
      </c>
      <c r="D22" s="48"/>
      <c r="E22" s="49">
        <v>23</v>
      </c>
      <c r="F22" s="49">
        <v>42</v>
      </c>
      <c r="G22" s="49" t="s">
        <v>544</v>
      </c>
      <c r="H22" s="49"/>
      <c r="I22" s="50" t="str">
        <f>IF($B22="","",IF($K22="X",B22,CONCATENATE(VLOOKUP(B22,Competitors!$A$2:$I$650,3,FALSE)," ",VLOOKUP(B22,Competitors!$A$2:$I$650,2,FALSE))))</f>
        <v>Diego Patteri</v>
      </c>
      <c r="J22" s="51">
        <f t="shared" si="1"/>
        <v>1.6458333333333332E-2</v>
      </c>
      <c r="K22" t="str">
        <f t="shared" si="2"/>
        <v/>
      </c>
    </row>
    <row r="23" spans="1:11" ht="15">
      <c r="A23" s="46" t="s">
        <v>693</v>
      </c>
      <c r="B23" s="47" t="str">
        <f t="shared" si="0"/>
        <v>Zoe Shepherd (M.I. Racing)</v>
      </c>
      <c r="C23" s="47" t="s">
        <v>675</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486</v>
      </c>
      <c r="B24" s="47" t="str">
        <f t="shared" si="0"/>
        <v>Matt Finch (LFCC)</v>
      </c>
      <c r="C24" s="47" t="s">
        <v>676</v>
      </c>
      <c r="D24" s="48"/>
      <c r="E24" s="49">
        <v>28</v>
      </c>
      <c r="F24" s="49">
        <v>48</v>
      </c>
      <c r="G24" s="49" t="s">
        <v>544</v>
      </c>
      <c r="H24" s="49"/>
      <c r="I24" s="50" t="str">
        <f>IF($B24="","",IF($K24="X",B24,CONCATENATE(VLOOKUP(B24,Competitors!$A$2:$I$650,3,FALSE)," ",VLOOKUP(B24,Competitors!$A$2:$I$650,2,FALSE))))</f>
        <v>Matt Finch (LFCC)</v>
      </c>
      <c r="J24" s="51">
        <f t="shared" si="1"/>
        <v>0.02</v>
      </c>
      <c r="K24" t="str">
        <f t="shared" si="2"/>
        <v>X</v>
      </c>
    </row>
    <row r="25" spans="1:11" ht="15">
      <c r="A25" s="46" t="s">
        <v>691</v>
      </c>
      <c r="B25" s="47" t="str">
        <f t="shared" si="0"/>
        <v>Paul Akroyd (VTTA E.Mids)</v>
      </c>
      <c r="C25" s="47" t="s">
        <v>677</v>
      </c>
      <c r="D25" s="48"/>
      <c r="E25" s="49">
        <v>25</v>
      </c>
      <c r="F25" s="49">
        <v>45</v>
      </c>
      <c r="G25" s="49" t="s">
        <v>544</v>
      </c>
      <c r="H25" s="49"/>
      <c r="I25" s="50" t="str">
        <f>IF($B25="","",IF($K25="X",B25,CONCATENATE(VLOOKUP(B25,Competitors!$A$2:$I$650,3,FALSE)," ",VLOOKUP(B25,Competitors!$A$2:$I$650,2,FALSE))))</f>
        <v>Paul Akroyd (VTTA E.Mids)</v>
      </c>
      <c r="J25" s="51">
        <f t="shared" si="1"/>
        <v>1.7881944444444443E-2</v>
      </c>
      <c r="K25" t="str">
        <f t="shared" si="2"/>
        <v>X</v>
      </c>
    </row>
    <row r="26" spans="1:11" ht="15">
      <c r="A26" s="46" t="s">
        <v>512</v>
      </c>
      <c r="B26" s="47" t="str">
        <f t="shared" si="0"/>
        <v>Paul Eden (Ratae)</v>
      </c>
      <c r="C26" s="47" t="s">
        <v>678</v>
      </c>
      <c r="D26" s="48"/>
      <c r="E26" s="49">
        <v>30</v>
      </c>
      <c r="F26" s="49">
        <v>11</v>
      </c>
      <c r="G26" s="49" t="s">
        <v>544</v>
      </c>
      <c r="H26" s="49"/>
      <c r="I26" s="50" t="str">
        <f>IF($B26="","",IF($K26="X",B26,CONCATENATE(VLOOKUP(B26,Competitors!$A$2:$I$650,3,FALSE)," ",VLOOKUP(B26,Competitors!$A$2:$I$650,2,FALSE))))</f>
        <v>Paul Eden (Ratae)</v>
      </c>
      <c r="J26" s="51">
        <f t="shared" si="1"/>
        <v>2.0960648148148148E-2</v>
      </c>
      <c r="K26" t="str">
        <f t="shared" si="2"/>
        <v>X</v>
      </c>
    </row>
    <row r="27" spans="1:11" ht="15">
      <c r="A27" s="46" t="s">
        <v>431</v>
      </c>
      <c r="B27" s="47">
        <f t="shared" si="0"/>
        <v>1403</v>
      </c>
      <c r="C27" s="47" t="s">
        <v>641</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429</v>
      </c>
      <c r="B28" s="47">
        <f t="shared" si="0"/>
        <v>1107</v>
      </c>
      <c r="C28" s="47" t="s">
        <v>642</v>
      </c>
      <c r="D28" s="48"/>
      <c r="E28" s="49">
        <v>26</v>
      </c>
      <c r="F28" s="49">
        <v>10</v>
      </c>
      <c r="G28" s="49" t="s">
        <v>544</v>
      </c>
      <c r="H28" s="49"/>
      <c r="I28" s="50" t="str">
        <f>IF($B28="","",IF($K28="X",B28,CONCATENATE(VLOOKUP(B28,Competitors!$A$2:$I$650,3,FALSE)," ",VLOOKUP(B28,Competitors!$A$2:$I$650,2,FALSE))))</f>
        <v>Milly Pinnock</v>
      </c>
      <c r="J28" s="51">
        <f t="shared" si="1"/>
        <v>1.8171296296296297E-2</v>
      </c>
      <c r="K28" t="str">
        <f t="shared" si="2"/>
        <v/>
      </c>
    </row>
    <row r="29" spans="1:11" ht="15">
      <c r="A29" s="46" t="s">
        <v>430</v>
      </c>
      <c r="B29" s="47">
        <f t="shared" si="0"/>
        <v>616</v>
      </c>
      <c r="C29" s="47" t="s">
        <v>643</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511</v>
      </c>
      <c r="B30" s="47" t="str">
        <f t="shared" si="0"/>
        <v>Natalie Harris (Ratae)</v>
      </c>
      <c r="C30" s="47" t="s">
        <v>644</v>
      </c>
      <c r="D30" s="48"/>
      <c r="E30" s="49">
        <v>29</v>
      </c>
      <c r="F30" s="49">
        <v>35</v>
      </c>
      <c r="G30" s="49" t="s">
        <v>544</v>
      </c>
      <c r="H30" s="49"/>
      <c r="I30" s="50" t="str">
        <f>IF($B30="","",IF($K30="X",B30,CONCATENATE(VLOOKUP(B30,Competitors!$A$2:$I$650,3,FALSE)," ",VLOOKUP(B30,Competitors!$A$2:$I$650,2,FALSE))))</f>
        <v>Natalie Harris (Ratae)</v>
      </c>
      <c r="J30" s="51">
        <f t="shared" si="1"/>
        <v>2.0543981481481483E-2</v>
      </c>
      <c r="K30" t="str">
        <f t="shared" si="2"/>
        <v>X</v>
      </c>
    </row>
    <row r="31" spans="1:11" ht="15">
      <c r="A31" s="46" t="s">
        <v>614</v>
      </c>
      <c r="B31" s="47">
        <f t="shared" si="0"/>
        <v>1391</v>
      </c>
      <c r="C31" s="47" t="s">
        <v>645</v>
      </c>
      <c r="D31" s="48"/>
      <c r="E31" s="49">
        <v>23</v>
      </c>
      <c r="F31" s="49">
        <v>50</v>
      </c>
      <c r="G31" s="49" t="s">
        <v>544</v>
      </c>
      <c r="H31" s="49"/>
      <c r="I31" s="50" t="str">
        <f>IF($B31="","",IF($K31="X",B31,CONCATENATE(VLOOKUP(B31,Competitors!$A$2:$I$650,3,FALSE)," ",VLOOKUP(B31,Competitors!$A$2:$I$650,2,FALSE))))</f>
        <v>Leah Cuthbertson</v>
      </c>
      <c r="J31" s="51">
        <f t="shared" si="1"/>
        <v>1.6550925925925927E-2</v>
      </c>
      <c r="K31" t="str">
        <f t="shared" si="2"/>
        <v/>
      </c>
    </row>
    <row r="32" spans="1:11" ht="15">
      <c r="A32" s="46" t="s">
        <v>421</v>
      </c>
      <c r="B32" s="47">
        <f t="shared" si="0"/>
        <v>415</v>
      </c>
      <c r="C32" s="47" t="s">
        <v>646</v>
      </c>
      <c r="D32" s="48"/>
      <c r="E32" s="49">
        <v>25</v>
      </c>
      <c r="F32" s="49">
        <v>34</v>
      </c>
      <c r="G32" s="49" t="s">
        <v>544</v>
      </c>
      <c r="H32" s="49"/>
      <c r="I32" s="50" t="str">
        <f>IF($B32="","",IF($K32="X",B32,CONCATENATE(VLOOKUP(B32,Competitors!$A$2:$I$650,3,FALSE)," ",VLOOKUP(B32,Competitors!$A$2:$I$650,2,FALSE))))</f>
        <v>Nik Kershaw</v>
      </c>
      <c r="J32" s="51">
        <f t="shared" si="1"/>
        <v>1.7754629629629631E-2</v>
      </c>
      <c r="K32" t="str">
        <f t="shared" si="2"/>
        <v/>
      </c>
    </row>
    <row r="33" spans="1:11" ht="15">
      <c r="A33" s="46" t="s">
        <v>412</v>
      </c>
      <c r="B33" s="47">
        <f t="shared" si="0"/>
        <v>1144</v>
      </c>
      <c r="C33" s="47" t="s">
        <v>647</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422</v>
      </c>
      <c r="B34" s="47">
        <f t="shared" ref="B34:B53" si="3">IF(A34="","",_xlfn.XLOOKUP(A34,ClubNames,ClubNumbers,_xlfn.XLOOKUP(A34,RoundRobinRiderNames,RoundRobinRiderDecoratedNames,A34)))</f>
        <v>1407</v>
      </c>
      <c r="C34" s="47" t="s">
        <v>648</v>
      </c>
      <c r="D34" s="48"/>
      <c r="E34" s="49">
        <v>25</v>
      </c>
      <c r="F34" s="49">
        <v>9</v>
      </c>
      <c r="G34" s="49" t="s">
        <v>544</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629</v>
      </c>
      <c r="B35" s="47" t="str">
        <f t="shared" si="3"/>
        <v>Jeff Jones (LFCC)</v>
      </c>
      <c r="C35" s="47" t="s">
        <v>649</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715</v>
      </c>
      <c r="B36" s="47" t="str">
        <f t="shared" si="3"/>
        <v>Josh Jones (LFCC)</v>
      </c>
      <c r="C36" s="47" t="s">
        <v>650</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631</v>
      </c>
      <c r="B37" s="47" t="str">
        <f t="shared" si="3"/>
        <v>Simon Jones (LFCC)</v>
      </c>
      <c r="C37" s="47" t="s">
        <v>651</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423</v>
      </c>
      <c r="B38" s="47">
        <f t="shared" si="3"/>
        <v>35</v>
      </c>
      <c r="C38" s="47" t="s">
        <v>652</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441</v>
      </c>
      <c r="B39" s="47">
        <f t="shared" si="3"/>
        <v>1254</v>
      </c>
      <c r="C39" s="47" t="s">
        <v>679</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411</v>
      </c>
      <c r="B40" s="47">
        <f t="shared" si="3"/>
        <v>407</v>
      </c>
      <c r="C40" s="47" t="s">
        <v>680</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716</v>
      </c>
      <c r="B41" s="47" t="str">
        <f t="shared" si="3"/>
        <v>David Mead (M.I. Racing)</v>
      </c>
      <c r="C41" s="47" t="s">
        <v>681</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496</v>
      </c>
      <c r="B42" s="47">
        <f t="shared" si="3"/>
        <v>1166</v>
      </c>
      <c r="C42" s="47" t="s">
        <v>682</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435</v>
      </c>
      <c r="B43" s="47">
        <f t="shared" si="3"/>
        <v>846</v>
      </c>
      <c r="C43" s="47" t="s">
        <v>683</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428</v>
      </c>
      <c r="B44" s="47">
        <f t="shared" si="3"/>
        <v>1237</v>
      </c>
      <c r="C44" s="47" t="s">
        <v>717</v>
      </c>
      <c r="D44" s="48"/>
      <c r="E44" s="49">
        <v>25</v>
      </c>
      <c r="F44" s="49">
        <v>13</v>
      </c>
      <c r="G44" s="49" t="s">
        <v>544</v>
      </c>
      <c r="H44" s="49"/>
      <c r="I44" s="50" t="str">
        <f>IF($B44="","",IF($K44="X",B44,CONCATENATE(VLOOKUP(B44,Competitors!$A$2:$I$650,3,FALSE)," ",VLOOKUP(B44,Competitors!$A$2:$I$650,2,FALSE))))</f>
        <v>John Abbott</v>
      </c>
      <c r="J44" s="51">
        <f t="shared" si="4"/>
        <v>1.7511574074074075E-2</v>
      </c>
      <c r="K44" t="str">
        <f t="shared" si="5"/>
        <v/>
      </c>
    </row>
    <row r="45" spans="1:11" ht="15">
      <c r="A45" s="46" t="s">
        <v>712</v>
      </c>
      <c r="B45" s="47" t="str">
        <f t="shared" si="3"/>
        <v>Mark Wise (M.I. Racing)</v>
      </c>
      <c r="C45" s="47" t="s">
        <v>718</v>
      </c>
      <c r="D45" s="48"/>
      <c r="E45" s="49">
        <v>24</v>
      </c>
      <c r="F45" s="49">
        <v>2</v>
      </c>
      <c r="G45" s="49" t="s">
        <v>544</v>
      </c>
      <c r="H45" s="49"/>
      <c r="I45" s="50" t="str">
        <f>IF($B45="","",IF($K45="X",B45,CONCATENATE(VLOOKUP(B45,Competitors!$A$2:$I$650,3,FALSE)," ",VLOOKUP(B45,Competitors!$A$2:$I$650,2,FALSE))))</f>
        <v>Mark Wise (M.I. Racing)</v>
      </c>
      <c r="J45" s="51">
        <f t="shared" si="4"/>
        <v>1.6689814814814814E-2</v>
      </c>
      <c r="K45" t="str">
        <f t="shared" si="5"/>
        <v>X</v>
      </c>
    </row>
    <row r="46" spans="1:11" ht="15">
      <c r="A46" s="46" t="s">
        <v>499</v>
      </c>
      <c r="B46" s="47" t="str">
        <f t="shared" si="3"/>
        <v>Alex Whitmore (Ratae)</v>
      </c>
      <c r="C46" s="47" t="s">
        <v>719</v>
      </c>
      <c r="D46" s="48"/>
      <c r="E46" s="49">
        <v>21</v>
      </c>
      <c r="F46" s="49">
        <v>37</v>
      </c>
      <c r="G46" s="49" t="s">
        <v>544</v>
      </c>
      <c r="H46" s="49"/>
      <c r="I46" s="50" t="str">
        <f>IF($B46="","",IF($K46="X",B46,CONCATENATE(VLOOKUP(B46,Competitors!$A$2:$I$650,3,FALSE)," ",VLOOKUP(B46,Competitors!$A$2:$I$650,2,FALSE))))</f>
        <v>Alex Whitmore (Ratae)</v>
      </c>
      <c r="J46" s="51">
        <f t="shared" si="4"/>
        <v>1.5011574074074075E-2</v>
      </c>
      <c r="K46" t="str">
        <f t="shared" si="5"/>
        <v>X</v>
      </c>
    </row>
    <row r="47" spans="1:11" ht="15">
      <c r="A47" s="46" t="s">
        <v>743</v>
      </c>
      <c r="B47" s="47" t="str">
        <f t="shared" si="3"/>
        <v>David Alexander (Coalville Wheelers)</v>
      </c>
      <c r="C47" s="47" t="s">
        <v>720</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410</v>
      </c>
      <c r="B48" s="47">
        <f t="shared" si="3"/>
        <v>747</v>
      </c>
      <c r="C48" s="47" t="s">
        <v>721</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488</v>
      </c>
      <c r="B49" s="47" t="str">
        <f t="shared" si="3"/>
        <v>Sam Nettel (LFCC)</v>
      </c>
      <c r="C49" s="47" t="s">
        <v>722</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714</v>
      </c>
      <c r="B50" s="47" t="str">
        <f t="shared" si="3"/>
        <v>David Melhuish (Cov Tri)</v>
      </c>
      <c r="C50" s="47" t="s">
        <v>723</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713</v>
      </c>
      <c r="B51" s="47" t="str">
        <f t="shared" si="3"/>
        <v>Alex Williamson (Cov Tri)</v>
      </c>
      <c r="C51" s="47" t="s">
        <v>724</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725</v>
      </c>
      <c r="B52" s="47" t="str">
        <f t="shared" si="3"/>
        <v>Simon Law (M.I. Racing)</v>
      </c>
      <c r="C52" s="47" t="s">
        <v>726</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482</v>
      </c>
      <c r="B53" s="47" t="str">
        <f t="shared" si="3"/>
        <v>Colin Parkinson (SWRC) (HCRC)</v>
      </c>
      <c r="C53" s="47" t="s">
        <v>727</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551</v>
      </c>
      <c r="D103" t="str" cm="1">
        <f t="array" aca="1" ref="D103" ca="1">MID(CELL("filename",B1),FIND("]",CELL("filename",B1))+1,255)</f>
        <v>Event_17</v>
      </c>
    </row>
    <row r="104" spans="1:11">
      <c r="B104" t="s">
        <v>552</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 workbookViewId="1"/>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730</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507</v>
      </c>
      <c r="B3" s="47" t="str">
        <f t="shared" si="0"/>
        <v>Lucy Sturgess (Ratae)</v>
      </c>
      <c r="C3" s="48"/>
      <c r="D3" s="49"/>
      <c r="E3" s="49"/>
      <c r="F3" s="49"/>
      <c r="G3" s="49" t="s">
        <v>553</v>
      </c>
      <c r="H3" s="50" t="str">
        <f>IF($B3="","",IF($J3="X",B3,CONCATENATE(VLOOKUP(B3,Competitors!$A$2:$I$650,3,FALSE)," ",VLOOKUP(B3,Competitors!$A$2:$I$650,2,FALSE))))</f>
        <v>Lucy Sturgess (Ratae)</v>
      </c>
      <c r="I3" s="51">
        <f t="shared" si="1"/>
        <v>0</v>
      </c>
      <c r="J3" t="str">
        <f t="shared" si="2"/>
        <v>X</v>
      </c>
    </row>
    <row r="4" spans="1:10" ht="15">
      <c r="A4" s="46" t="s">
        <v>512</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414</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422</v>
      </c>
      <c r="B6" s="47">
        <f t="shared" si="0"/>
        <v>1407</v>
      </c>
      <c r="C6" s="48"/>
      <c r="D6" s="49">
        <v>26</v>
      </c>
      <c r="E6" s="49">
        <v>32</v>
      </c>
      <c r="F6" s="49" t="s">
        <v>544</v>
      </c>
      <c r="G6" s="49"/>
      <c r="H6" s="50" t="str">
        <f>IF($B6="","",IF($J6="X",B6,CONCATENATE(VLOOKUP(B6,Competitors!$A$2:$I$650,3,FALSE)," ",VLOOKUP(B6,Competitors!$A$2:$I$650,2,FALSE))))</f>
        <v>Colin Dobson</v>
      </c>
      <c r="I6" s="51">
        <f t="shared" si="1"/>
        <v>1.8425925925925925E-2</v>
      </c>
      <c r="J6" t="str">
        <f t="shared" si="2"/>
        <v/>
      </c>
    </row>
    <row r="7" spans="1:10" ht="15">
      <c r="A7" s="46" t="s">
        <v>435</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420</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413</v>
      </c>
      <c r="B9" s="47">
        <f t="shared" si="0"/>
        <v>989</v>
      </c>
      <c r="C9" s="48"/>
      <c r="D9" s="49">
        <v>25</v>
      </c>
      <c r="E9" s="49">
        <v>24</v>
      </c>
      <c r="F9" s="49" t="s">
        <v>544</v>
      </c>
      <c r="G9" s="49"/>
      <c r="H9" s="50" t="str">
        <f>IF($B9="","",IF($J9="X",B9,CONCATENATE(VLOOKUP(B9,Competitors!$A$2:$I$650,3,FALSE)," ",VLOOKUP(B9,Competitors!$A$2:$I$650,2,FALSE))))</f>
        <v>Jason Williams</v>
      </c>
      <c r="I9" s="51">
        <f t="shared" si="1"/>
        <v>1.7638888888888888E-2</v>
      </c>
      <c r="J9" t="str">
        <f t="shared" si="2"/>
        <v/>
      </c>
    </row>
    <row r="10" spans="1:10" ht="15">
      <c r="A10" s="46" t="s">
        <v>446</v>
      </c>
      <c r="B10" s="47">
        <f t="shared" si="0"/>
        <v>1379</v>
      </c>
      <c r="C10" s="48"/>
      <c r="D10" s="49">
        <v>30</v>
      </c>
      <c r="E10" s="49">
        <v>11</v>
      </c>
      <c r="F10" s="49" t="s">
        <v>544</v>
      </c>
      <c r="G10" s="49"/>
      <c r="H10" s="50" t="str">
        <f>IF($B10="","",IF($J10="X",B10,CONCATENATE(VLOOKUP(B10,Competitors!$A$2:$I$650,3, FALSE)," ",VLOOKUP(B10,Competitors!$A$2:$I$650,2,FALSE))))</f>
        <v>Michaela Latham</v>
      </c>
      <c r="I10" s="51">
        <f t="shared" si="1"/>
        <v>2.0960648148148148E-2</v>
      </c>
      <c r="J10" t="str">
        <f t="shared" si="2"/>
        <v/>
      </c>
    </row>
    <row r="11" spans="1:10" ht="15">
      <c r="A11" s="46" t="s">
        <v>733</v>
      </c>
      <c r="B11" s="47" t="str">
        <f t="shared" si="0"/>
        <v>Pietro Saman (LFCC)</v>
      </c>
      <c r="C11" s="48"/>
      <c r="D11" s="49"/>
      <c r="E11" s="49"/>
      <c r="F11" s="49"/>
      <c r="G11" s="49" t="s">
        <v>553</v>
      </c>
      <c r="H11" s="50" t="str">
        <f>IF($B11="","",IF($J11="X",B11,CONCATENATE(VLOOKUP(B11,Competitors!$A$2:$I$650,3,FALSE)," ",VLOOKUP(B11,Competitors!$A$2:$I$650,2,FALSE))))</f>
        <v>Pietro Saman (LFCC)</v>
      </c>
      <c r="I11" s="51">
        <f t="shared" si="1"/>
        <v>0</v>
      </c>
      <c r="J11" t="str">
        <f t="shared" si="2"/>
        <v>X</v>
      </c>
    </row>
    <row r="12" spans="1:10" ht="15">
      <c r="A12" s="46" t="s">
        <v>437</v>
      </c>
      <c r="B12" s="47">
        <f t="shared" si="0"/>
        <v>1195</v>
      </c>
      <c r="C12" s="48"/>
      <c r="D12" s="49">
        <v>27</v>
      </c>
      <c r="E12" s="49">
        <v>23</v>
      </c>
      <c r="F12" s="49" t="s">
        <v>544</v>
      </c>
      <c r="G12" s="49"/>
      <c r="H12" s="50" t="str">
        <f>IF($B12="","",IF($J12="X",B12,CONCATENATE(VLOOKUP(B12,Competitors!$A$2:$I$650,3,FALSE)," ",VLOOKUP(B12,Competitors!$A$2:$I$650,2,FALSE))))</f>
        <v>Charlie Hardwicke</v>
      </c>
      <c r="I12" s="51">
        <f t="shared" si="1"/>
        <v>1.9016203703703705E-2</v>
      </c>
      <c r="J12" t="str">
        <f t="shared" si="2"/>
        <v/>
      </c>
    </row>
    <row r="13" spans="1:10" ht="15">
      <c r="A13" s="46" t="s">
        <v>443</v>
      </c>
      <c r="B13" s="47">
        <f t="shared" si="0"/>
        <v>1193</v>
      </c>
      <c r="C13" s="48"/>
      <c r="D13" s="49">
        <v>29</v>
      </c>
      <c r="E13" s="49">
        <v>34</v>
      </c>
      <c r="F13" s="49" t="s">
        <v>544</v>
      </c>
      <c r="G13" s="49"/>
      <c r="H13" s="50" t="str">
        <f>IF($B13="","",IF($J13="X",B13,CONCATENATE(VLOOKUP(B13,Competitors!$A$2:$I$650,3,FALSE)," ",VLOOKUP(B13,Competitors!$A$2:$I$650,2,FALSE))))</f>
        <v>Richard Hardwicke</v>
      </c>
      <c r="I13" s="51">
        <f t="shared" si="1"/>
        <v>2.0532407407407409E-2</v>
      </c>
      <c r="J13" t="str">
        <f t="shared" si="2"/>
        <v/>
      </c>
    </row>
    <row r="14" spans="1:10" ht="15">
      <c r="A14" s="46" t="s">
        <v>447</v>
      </c>
      <c r="B14" s="47">
        <f t="shared" si="0"/>
        <v>1194</v>
      </c>
      <c r="C14" s="48"/>
      <c r="D14" s="49">
        <v>31</v>
      </c>
      <c r="E14" s="49">
        <v>43</v>
      </c>
      <c r="F14" s="49" t="s">
        <v>544</v>
      </c>
      <c r="G14" s="49"/>
      <c r="H14" s="50" t="str">
        <f>IF($B14="","",IF($J14="X",B14,CONCATENATE(VLOOKUP(B14,Competitors!$A$2:$I$650,3,FALSE)," ",VLOOKUP(B14,Competitors!$A$2:$I$650,2,FALSE))))</f>
        <v>Alex Hardwicke</v>
      </c>
      <c r="I14" s="51">
        <f t="shared" si="1"/>
        <v>2.2025462962962962E-2</v>
      </c>
      <c r="J14" t="str">
        <f t="shared" si="2"/>
        <v/>
      </c>
    </row>
    <row r="15" spans="1:10" ht="15">
      <c r="A15" s="46" t="s">
        <v>488</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509</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432</v>
      </c>
      <c r="B17" s="47">
        <f t="shared" si="0"/>
        <v>1112</v>
      </c>
      <c r="C17" s="48"/>
      <c r="D17" s="49"/>
      <c r="E17" s="49"/>
      <c r="F17" s="49"/>
      <c r="G17" s="49" t="s">
        <v>553</v>
      </c>
      <c r="H17" s="50" t="str">
        <f>IF($B17="","",IF($J17="X",B17,CONCATENATE(VLOOKUP(B17,Competitors!$A$2:$I$650,3,FALSE)," ",VLOOKUP(B17,Competitors!$A$2:$I$650,2,FALSE))))</f>
        <v>Gary Ashwell</v>
      </c>
      <c r="I17" s="51">
        <f t="shared" si="1"/>
        <v>0</v>
      </c>
      <c r="J17" t="str">
        <f t="shared" si="2"/>
        <v/>
      </c>
    </row>
    <row r="18" spans="1:10" ht="15">
      <c r="A18" s="46" t="s">
        <v>731</v>
      </c>
      <c r="B18" s="47" t="str">
        <f t="shared" si="0"/>
        <v>Dave Tomlinson (LFCC)</v>
      </c>
      <c r="C18" s="48"/>
      <c r="D18" s="49"/>
      <c r="E18" s="49"/>
      <c r="F18" s="49"/>
      <c r="G18" s="49" t="s">
        <v>553</v>
      </c>
      <c r="H18" s="50" t="str">
        <f>IF($B18="","",IF($J18="X",B18,CONCATENATE(VLOOKUP(B18,Competitors!$A$2:$I$650,3,FALSE)," ",VLOOKUP(B18,Competitors!$A$2:$I$650,2,FALSE))))</f>
        <v>Dave Tomlinson (LFCC)</v>
      </c>
      <c r="I18" s="51">
        <f t="shared" si="1"/>
        <v>0</v>
      </c>
      <c r="J18" t="str">
        <f t="shared" si="2"/>
        <v>X</v>
      </c>
    </row>
    <row r="19" spans="1:10" ht="15">
      <c r="A19" s="46" t="s">
        <v>732</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691</v>
      </c>
      <c r="B20" s="47" t="str">
        <f t="shared" si="0"/>
        <v>Paul Akroyd (VTTA E.Mids)</v>
      </c>
      <c r="C20" s="48"/>
      <c r="D20" s="49"/>
      <c r="E20" s="49"/>
      <c r="F20" s="49"/>
      <c r="G20" s="49" t="s">
        <v>553</v>
      </c>
      <c r="H20" s="50" t="str">
        <f>IF($B20="","",IF($J20="X",B20,CONCATENATE(VLOOKUP(B20,Competitors!$A$2:$I$650,3,FALSE)," ",VLOOKUP(B20,Competitors!$A$2:$I$650,2,FALSE))))</f>
        <v>Paul Akroyd (VTTA E.Mids)</v>
      </c>
      <c r="I20" s="51">
        <f t="shared" si="1"/>
        <v>0</v>
      </c>
      <c r="J20" t="str">
        <f t="shared" si="2"/>
        <v>X</v>
      </c>
    </row>
    <row r="21" spans="1:10" ht="15">
      <c r="A21" s="46" t="s">
        <v>614</v>
      </c>
      <c r="B21" s="47">
        <f t="shared" si="0"/>
        <v>1391</v>
      </c>
      <c r="C21" s="48"/>
      <c r="D21" s="49">
        <v>25</v>
      </c>
      <c r="E21" s="49">
        <v>49</v>
      </c>
      <c r="F21" s="49" t="s">
        <v>544</v>
      </c>
      <c r="G21" s="49"/>
      <c r="H21" s="50" t="str">
        <f>IF($B21="","",IF($J21="X",B21,CONCATENATE(VLOOKUP(B21,Competitors!$A$2:$I$650,3,FALSE)," ",VLOOKUP(B21,Competitors!$A$2:$I$650,2,FALSE))))</f>
        <v>Leah Cuthbertson</v>
      </c>
      <c r="I21" s="51">
        <f t="shared" si="1"/>
        <v>1.7928240740740741E-2</v>
      </c>
      <c r="J21" t="str">
        <f t="shared" si="2"/>
        <v/>
      </c>
    </row>
    <row r="22" spans="1:10" ht="15">
      <c r="A22" s="46" t="s">
        <v>787</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592</v>
      </c>
      <c r="B23" s="47">
        <f t="shared" si="0"/>
        <v>1390</v>
      </c>
      <c r="C23" s="48"/>
      <c r="D23" s="49">
        <v>25</v>
      </c>
      <c r="E23" s="49">
        <v>28</v>
      </c>
      <c r="F23" s="49" t="s">
        <v>544</v>
      </c>
      <c r="G23" s="49"/>
      <c r="H23" s="50" t="str">
        <f>IF($B23="","",IF($J23="X",B23,CONCATENATE(VLOOKUP(B23,Competitors!$A$2:$I$650,3,FALSE)," ",VLOOKUP(B23,Competitors!$A$2:$I$650,2,FALSE))))</f>
        <v>Diego Patteri</v>
      </c>
      <c r="I23" s="51">
        <f t="shared" si="1"/>
        <v>1.7685185185185186E-2</v>
      </c>
      <c r="J23" t="str">
        <f t="shared" si="2"/>
        <v/>
      </c>
    </row>
    <row r="24" spans="1:10" ht="15">
      <c r="A24" s="46" t="s">
        <v>734</v>
      </c>
      <c r="B24" s="47" t="str">
        <f t="shared" si="0"/>
        <v>Tayyib Farook</v>
      </c>
      <c r="C24" s="48"/>
      <c r="D24" s="49"/>
      <c r="E24" s="49"/>
      <c r="F24" s="49"/>
      <c r="G24" s="49" t="s">
        <v>553</v>
      </c>
      <c r="H24" s="50" t="str">
        <f>IF($B24="","",IF($J24="X",B24,CONCATENATE(VLOOKUP(B24,Competitors!$A$2:$I$650,3,FALSE)," ",VLOOKUP(B24,Competitors!$A$2:$I$650,2,FALSE))))</f>
        <v>Tayyib Farook</v>
      </c>
      <c r="I24" s="51">
        <f t="shared" si="1"/>
        <v>0</v>
      </c>
      <c r="J24" t="str">
        <f t="shared" si="2"/>
        <v>X</v>
      </c>
    </row>
    <row r="25" spans="1:10" ht="15">
      <c r="A25" s="46" t="s">
        <v>434</v>
      </c>
      <c r="B25" s="47">
        <f t="shared" si="0"/>
        <v>1419</v>
      </c>
      <c r="C25" s="48"/>
      <c r="D25" s="49"/>
      <c r="E25" s="49"/>
      <c r="F25" s="49" t="s">
        <v>593</v>
      </c>
      <c r="G25" s="49" t="s">
        <v>553</v>
      </c>
      <c r="H25" s="50" t="str">
        <f>IF($B25="","",IF($J25="X",B25,CONCATENATE(VLOOKUP(B25,Competitors!$A$2:$I$650,3,FALSE)," ",VLOOKUP(B25,Competitors!$A$2:$I$650,2,FALSE))))</f>
        <v>Ethan Marsh</v>
      </c>
      <c r="I25" s="51">
        <f t="shared" si="1"/>
        <v>0</v>
      </c>
      <c r="J25" t="str">
        <f t="shared" si="2"/>
        <v/>
      </c>
    </row>
    <row r="26" spans="1:10" ht="15">
      <c r="A26" s="46" t="s">
        <v>629</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631</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715</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735</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653</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Event_18</v>
      </c>
    </row>
    <row r="104" spans="1:10">
      <c r="B104" t="s">
        <v>552</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 workbookViewId="1"/>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736</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511</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789</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499</v>
      </c>
      <c r="B5" s="47" t="str">
        <f t="shared" si="0"/>
        <v>Alex Whitmore (Ratae)</v>
      </c>
      <c r="C5" s="48"/>
      <c r="D5" s="49">
        <v>22</v>
      </c>
      <c r="E5" s="49">
        <v>39</v>
      </c>
      <c r="F5" s="49" t="s">
        <v>544</v>
      </c>
      <c r="G5" s="49"/>
      <c r="H5" s="50" t="str">
        <f>IF($B5="","",IF($J5="X",B5,CONCATENATE(VLOOKUP(B5,Competitors!$A$2:$I$650,3,FALSE)," ",VLOOKUP(B5,Competitors!$A$2:$I$650,2,FALSE))))</f>
        <v>Alex Whitmore (Ratae)</v>
      </c>
      <c r="I5" s="51">
        <f t="shared" si="1"/>
        <v>1.5729166666666666E-2</v>
      </c>
      <c r="J5" t="str">
        <f t="shared" si="2"/>
        <v>X</v>
      </c>
    </row>
    <row r="6" spans="1:10" ht="15">
      <c r="A6" s="46" t="s">
        <v>503</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629</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631</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715</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475</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737</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738</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441</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770</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501</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508</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500</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510</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514</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616</v>
      </c>
      <c r="B20" s="47">
        <f t="shared" si="0"/>
        <v>990</v>
      </c>
      <c r="C20" s="48"/>
      <c r="D20" s="49">
        <v>33</v>
      </c>
      <c r="E20" s="49">
        <v>39</v>
      </c>
      <c r="F20" s="49" t="s">
        <v>544</v>
      </c>
      <c r="G20" s="49"/>
      <c r="H20" s="50" t="str">
        <f>IF($B20="","",IF($J20="X",B20,CONCATENATE(VLOOKUP(B20,Competitors!$A$2:$I$650,3,FALSE)," ",VLOOKUP(B20,Competitors!$A$2:$I$650,2,FALSE))))</f>
        <v>Jen Hulme</v>
      </c>
      <c r="I20" s="51">
        <f t="shared" si="1"/>
        <v>2.3368055555555555E-2</v>
      </c>
      <c r="J20" t="str">
        <f t="shared" si="2"/>
        <v/>
      </c>
    </row>
    <row r="21" spans="1:10" ht="15">
      <c r="A21" s="46" t="s">
        <v>506</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430</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446</v>
      </c>
      <c r="B23" s="47">
        <f t="shared" si="0"/>
        <v>1379</v>
      </c>
      <c r="C23" s="48"/>
      <c r="D23" s="49">
        <v>28</v>
      </c>
      <c r="E23" s="49">
        <v>45</v>
      </c>
      <c r="F23" s="49" t="s">
        <v>544</v>
      </c>
      <c r="G23" s="49"/>
      <c r="H23" s="50" t="str">
        <f>IF($B23="","",IF($J23="X",B23,CONCATENATE(VLOOKUP(B23,Competitors!$A$2:$I$650,3,FALSE)," ",VLOOKUP(B23,Competitors!$A$2:$I$650,2,FALSE))))</f>
        <v>Michaela Latham</v>
      </c>
      <c r="I23" s="51">
        <f t="shared" si="1"/>
        <v>1.9965277777777776E-2</v>
      </c>
      <c r="J23" t="str">
        <f t="shared" si="2"/>
        <v/>
      </c>
    </row>
    <row r="24" spans="1:10" ht="15">
      <c r="A24" s="46" t="s">
        <v>730</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739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687</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628</v>
      </c>
      <c r="B27" s="47">
        <f t="shared" si="0"/>
        <v>1415</v>
      </c>
      <c r="C27" s="48"/>
      <c r="D27" s="49">
        <v>29</v>
      </c>
      <c r="E27" s="49">
        <v>9</v>
      </c>
      <c r="F27" s="49" t="s">
        <v>544</v>
      </c>
      <c r="G27" s="49"/>
      <c r="H27" s="50" t="str">
        <f>IF($B27="","",IF($J27="X",B27,CONCATENATE(VLOOKUP(B27,Competitors!$A$2:$I$650,3,FALSE)," ",VLOOKUP(B27,Competitors!$A$2:$I$650,2,FALSE))))</f>
        <v>James Aldridge</v>
      </c>
      <c r="I27" s="51">
        <f t="shared" si="1"/>
        <v>2.0243055555555556E-2</v>
      </c>
      <c r="J27" t="str">
        <f t="shared" si="2"/>
        <v/>
      </c>
    </row>
    <row r="28" spans="1:10" ht="15">
      <c r="A28" s="46" t="s">
        <v>579</v>
      </c>
      <c r="B28" s="47">
        <f t="shared" si="0"/>
        <v>1370</v>
      </c>
      <c r="C28" s="48"/>
      <c r="D28" s="49">
        <v>25</v>
      </c>
      <c r="E28" s="49">
        <v>41</v>
      </c>
      <c r="F28" s="49" t="s">
        <v>544</v>
      </c>
      <c r="G28" s="49"/>
      <c r="H28" s="50" t="str">
        <f>IF($B28="","",IF($J28="X",B28,CONCATENATE(VLOOKUP(B28,Competitors!$A$2:$I$650,3,FALSE)," ",VLOOKUP(B28,Competitors!$A$2:$I$650,2,FALSE))))</f>
        <v>Ian Aldridge</v>
      </c>
      <c r="I28" s="51">
        <f t="shared" si="1"/>
        <v>1.7835648148148149E-2</v>
      </c>
      <c r="J28" t="str">
        <f t="shared" si="2"/>
        <v/>
      </c>
    </row>
    <row r="29" spans="1:10" ht="15">
      <c r="A29" s="46" t="s">
        <v>433</v>
      </c>
      <c r="B29" s="47">
        <f t="shared" si="0"/>
        <v>1109</v>
      </c>
      <c r="C29" s="48"/>
      <c r="D29" s="49">
        <v>27</v>
      </c>
      <c r="E29" s="49">
        <v>32</v>
      </c>
      <c r="F29" s="49" t="s">
        <v>544</v>
      </c>
      <c r="G29" s="49"/>
      <c r="H29" s="50" t="str">
        <f>IF($B29="","",IF($J29="X",B29,CONCATENATE(VLOOKUP(B29,Competitors!$A$2:$I$650,3,FALSE)," ",VLOOKUP(B29,Competitors!$A$2:$I$650,2,FALSE))))</f>
        <v>Stuart Haycox</v>
      </c>
      <c r="I29" s="51">
        <f t="shared" si="1"/>
        <v>1.9120370370370371E-2</v>
      </c>
      <c r="J29" t="str">
        <f t="shared" si="2"/>
        <v/>
      </c>
    </row>
    <row r="30" spans="1:10" ht="15">
      <c r="A30" s="46" t="s">
        <v>414</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741</v>
      </c>
      <c r="B31" s="47">
        <f t="shared" si="0"/>
        <v>1200</v>
      </c>
      <c r="C31" s="48"/>
      <c r="D31" s="49">
        <v>31</v>
      </c>
      <c r="E31" s="49">
        <v>45</v>
      </c>
      <c r="F31" s="49" t="s">
        <v>544</v>
      </c>
      <c r="G31" s="49"/>
      <c r="H31" s="50" t="str">
        <f>IF($B31="","",IF($J31="X",B31,CONCATENATE(VLOOKUP(B31,Competitors!$A$2:$I$650,3,FALSE)," ",VLOOKUP(B31,Competitors!$A$2:$I$650,2,FALSE))))</f>
        <v>Jules Wilks</v>
      </c>
      <c r="I31" s="51">
        <f t="shared" si="1"/>
        <v>2.2048611111111113E-2</v>
      </c>
      <c r="J31" t="str">
        <f t="shared" si="2"/>
        <v/>
      </c>
    </row>
    <row r="32" spans="1:10" ht="15">
      <c r="A32" s="46" t="s">
        <v>505</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685</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443</v>
      </c>
      <c r="B34" s="47">
        <f t="shared" ref="B34:B97" si="3">IF(A34="","",_xlfn.XLOOKUP(A34,ClubNames,ClubNumbers,_xlfn.XLOOKUP(A34,RoundRobinRiderNames,RoundRobinRiderDecoratedNames,A34)))</f>
        <v>1193</v>
      </c>
      <c r="C34" s="48"/>
      <c r="D34" s="49">
        <v>28</v>
      </c>
      <c r="E34" s="49">
        <v>21</v>
      </c>
      <c r="F34" s="49" t="s">
        <v>544</v>
      </c>
      <c r="G34" s="49"/>
      <c r="H34" s="50" t="str">
        <f>IF($B34="","",IF($J34="X",B34,CONCATENATE(VLOOKUP(B34,Competitors!$A$2:$I$650,3,FALSE)," ",VLOOKUP(B34,Competitors!$A$2:$I$650,2,FALSE))))</f>
        <v>Richard Hardwicke</v>
      </c>
      <c r="I34" s="51">
        <f t="shared" si="1"/>
        <v>1.96875E-2</v>
      </c>
      <c r="J34" t="str">
        <f t="shared" si="2"/>
        <v/>
      </c>
    </row>
    <row r="35" spans="1:10" ht="15">
      <c r="A35" s="46" t="s">
        <v>437</v>
      </c>
      <c r="B35" s="47">
        <f t="shared" si="3"/>
        <v>1195</v>
      </c>
      <c r="C35" s="48"/>
      <c r="D35" s="49">
        <v>26</v>
      </c>
      <c r="E35" s="49">
        <v>9</v>
      </c>
      <c r="F35" s="49" t="s">
        <v>544</v>
      </c>
      <c r="G35" s="49"/>
      <c r="H35" s="50" t="str">
        <f>IF($B35="","",IF($J35="X",B35,CONCATENATE(VLOOKUP(B35,Competitors!$A$2:$I$650,3,FALSE)," ",VLOOKUP(B35,Competitors!$A$2:$I$650,2,FALSE))))</f>
        <v>Charlie Hardwicke</v>
      </c>
      <c r="I35" s="51">
        <f t="shared" si="1"/>
        <v>1.8159722222222223E-2</v>
      </c>
      <c r="J35" t="str">
        <f t="shared" si="2"/>
        <v/>
      </c>
    </row>
    <row r="36" spans="1:10" ht="15">
      <c r="A36" s="46" t="s">
        <v>636</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780</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488</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421</v>
      </c>
      <c r="B39" s="47">
        <f t="shared" si="3"/>
        <v>415</v>
      </c>
      <c r="C39" s="48"/>
      <c r="D39" s="49">
        <v>26</v>
      </c>
      <c r="E39" s="49">
        <v>1</v>
      </c>
      <c r="F39" s="49" t="s">
        <v>544</v>
      </c>
      <c r="G39" s="49"/>
      <c r="H39" s="50" t="str">
        <f>IF($B39="","",IF($J39="X",B39,CONCATENATE(VLOOKUP(B39,Competitors!$A$2:$I$650,3,FALSE)," ",VLOOKUP(B39,Competitors!$A$2:$I$650,2,FALSE))))</f>
        <v>Nik Kershaw</v>
      </c>
      <c r="I39" s="51">
        <f t="shared" si="1"/>
        <v>1.8067129629629631E-2</v>
      </c>
      <c r="J39" t="str">
        <f t="shared" si="2"/>
        <v/>
      </c>
    </row>
    <row r="40" spans="1:10" ht="15">
      <c r="A40" s="46" t="s">
        <v>689</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422</v>
      </c>
      <c r="B41" s="47">
        <f t="shared" si="3"/>
        <v>1407</v>
      </c>
      <c r="C41" s="48"/>
      <c r="D41" s="49">
        <v>25</v>
      </c>
      <c r="E41" s="49">
        <v>31</v>
      </c>
      <c r="F41" s="49" t="s">
        <v>544</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Event_19</v>
      </c>
    </row>
    <row r="104" spans="1:10">
      <c r="B104" t="s">
        <v>552</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 workbookViewId="1"/>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616</v>
      </c>
      <c r="B2" s="47">
        <f t="shared" ref="B2:B42" si="0">IF(A2="","",_xlfn.XLOOKUP(A2,ClubNames,ClubNumbers,_xlfn.XLOOKUP(A2,RoundRobinRiderNames,RoundRobinRiderDecoratedNames,A2)))</f>
        <v>990</v>
      </c>
      <c r="C2" s="47" t="s">
        <v>704</v>
      </c>
      <c r="D2" s="48"/>
      <c r="E2" s="49">
        <v>31</v>
      </c>
      <c r="F2" s="49">
        <v>16</v>
      </c>
      <c r="G2" s="49" t="s">
        <v>544</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742</v>
      </c>
      <c r="B3" s="47" t="str">
        <f t="shared" si="0"/>
        <v>Angus Gordon (Rugby RCC)</v>
      </c>
      <c r="C3" s="47" t="s">
        <v>711</v>
      </c>
      <c r="D3" s="48"/>
      <c r="E3" s="49">
        <v>28</v>
      </c>
      <c r="F3" s="49">
        <v>11</v>
      </c>
      <c r="G3" s="49" t="s">
        <v>544</v>
      </c>
      <c r="H3" s="49"/>
      <c r="I3" s="50" t="str">
        <f>IF($B3="","",IF($K3="X",B3,CONCATENATE(VLOOKUP(B3,Competitors!$A$2:$I$650,3,FALSE)," ",VLOOKUP(B3,Competitors!$A$2:$I$650,2,FALSE))))</f>
        <v>Angus Gordon (Rugby RCC)</v>
      </c>
      <c r="J3" s="51">
        <f t="shared" si="1"/>
        <v>1.9571759259259261E-2</v>
      </c>
      <c r="K3" t="str">
        <f t="shared" si="2"/>
        <v>X</v>
      </c>
    </row>
    <row r="4" spans="1:11" ht="15">
      <c r="A4" s="46" t="s">
        <v>444</v>
      </c>
      <c r="B4" s="47">
        <f t="shared" si="0"/>
        <v>1386</v>
      </c>
      <c r="C4" s="47" t="s">
        <v>705</v>
      </c>
      <c r="D4" s="48"/>
      <c r="E4" s="49">
        <v>28</v>
      </c>
      <c r="F4" s="49">
        <v>6</v>
      </c>
      <c r="G4" s="49" t="s">
        <v>544</v>
      </c>
      <c r="H4" s="49"/>
      <c r="I4" s="50" t="str">
        <f>IF($B4="","",IF($K4="X",B4,CONCATENATE(VLOOKUP(B4,Competitors!$A$2:$I$650,3,FALSE)," ",VLOOKUP(B4,Competitors!$A$2:$I$650,2,FALSE))))</f>
        <v>Mea Moore</v>
      </c>
      <c r="J4" s="51">
        <f t="shared" si="1"/>
        <v>1.951388888888889E-2</v>
      </c>
      <c r="K4" t="str">
        <f t="shared" si="2"/>
        <v/>
      </c>
    </row>
    <row r="5" spans="1:11" ht="15">
      <c r="A5" s="46" t="s">
        <v>500</v>
      </c>
      <c r="B5" s="47" t="str">
        <f t="shared" si="0"/>
        <v>Brian Lincoln (Ratae)</v>
      </c>
      <c r="C5" s="47" t="s">
        <v>706</v>
      </c>
      <c r="D5" s="48"/>
      <c r="E5" s="49">
        <v>28</v>
      </c>
      <c r="F5" s="49">
        <v>5</v>
      </c>
      <c r="G5" s="49" t="s">
        <v>544</v>
      </c>
      <c r="H5" s="49"/>
      <c r="I5" s="50" t="str">
        <f>IF($B5="","",IF($K5="X",B5,CONCATENATE(VLOOKUP(B5,Competitors!$A$2:$I$650,3,FALSE)," ",VLOOKUP(B5,Competitors!$A$2:$I$650,2,FALSE))))</f>
        <v>Brian Lincoln (Ratae)</v>
      </c>
      <c r="J5" s="51">
        <f t="shared" si="1"/>
        <v>1.9502314814814816E-2</v>
      </c>
      <c r="K5" t="str">
        <f t="shared" si="2"/>
        <v>X</v>
      </c>
    </row>
    <row r="6" spans="1:11" ht="15">
      <c r="A6" s="46" t="s">
        <v>510</v>
      </c>
      <c r="B6" s="47" t="str">
        <f t="shared" si="0"/>
        <v>Marshall Briggs (Ratae)</v>
      </c>
      <c r="C6" s="47" t="s">
        <v>707</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514</v>
      </c>
      <c r="B7" s="47" t="str">
        <f t="shared" si="0"/>
        <v>Steve Pearce (Ratae)</v>
      </c>
      <c r="C7" s="47" t="s">
        <v>703</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423</v>
      </c>
      <c r="B8" s="47">
        <f t="shared" si="0"/>
        <v>35</v>
      </c>
      <c r="C8" s="47" t="s">
        <v>708</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441</v>
      </c>
      <c r="B9" s="47">
        <f t="shared" si="0"/>
        <v>1254</v>
      </c>
      <c r="C9" s="47" t="s">
        <v>709</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579</v>
      </c>
      <c r="B10" s="47">
        <f t="shared" si="0"/>
        <v>1370</v>
      </c>
      <c r="C10" s="47" t="s">
        <v>710</v>
      </c>
      <c r="D10" s="48"/>
      <c r="E10" s="49">
        <v>25</v>
      </c>
      <c r="F10" s="49">
        <v>1</v>
      </c>
      <c r="G10" s="49" t="s">
        <v>544</v>
      </c>
      <c r="H10" s="49"/>
      <c r="I10" s="50" t="str">
        <f>IF($B10="","",IF($K10="X",B10,CONCATENATE(VLOOKUP(B10,Competitors!$A$2:$I$650,3,FALSE)," ",VLOOKUP(B10,Competitors!$A$2:$I$650,2,FALSE))))</f>
        <v>Ian Aldridge</v>
      </c>
      <c r="J10" s="51">
        <f t="shared" si="1"/>
        <v>1.7372685185185185E-2</v>
      </c>
      <c r="K10" t="str">
        <f t="shared" si="2"/>
        <v/>
      </c>
    </row>
    <row r="11" spans="1:11" ht="15">
      <c r="A11" s="46" t="s">
        <v>509</v>
      </c>
      <c r="B11" s="47" t="str">
        <f t="shared" si="0"/>
        <v>Mark Newton (Ratae)</v>
      </c>
      <c r="C11" s="47" t="s">
        <v>664</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512</v>
      </c>
      <c r="B12" s="47" t="str">
        <f t="shared" si="0"/>
        <v>Paul Eden (Ratae)</v>
      </c>
      <c r="C12" s="47" t="s">
        <v>665</v>
      </c>
      <c r="D12" s="48"/>
      <c r="E12" s="49">
        <v>30</v>
      </c>
      <c r="F12" s="49">
        <v>18</v>
      </c>
      <c r="G12" s="49" t="s">
        <v>544</v>
      </c>
      <c r="H12" s="49"/>
      <c r="I12" s="50" t="str">
        <f>IF($B12="","",IF($K12="X",B12,CONCATENATE(VLOOKUP(B12,Competitors!$A$2:$I$650,3,FALSE)," ",VLOOKUP(B12,Competitors!$A$2:$I$650,2,FALSE))))</f>
        <v>Paul Eden (Ratae)</v>
      </c>
      <c r="J12" s="51">
        <f t="shared" si="1"/>
        <v>2.1041666666666667E-2</v>
      </c>
      <c r="K12" t="str">
        <f t="shared" si="2"/>
        <v>X</v>
      </c>
    </row>
    <row r="13" spans="1:11" ht="15">
      <c r="A13" s="46" t="s">
        <v>577</v>
      </c>
      <c r="B13" s="47">
        <f t="shared" si="0"/>
        <v>1048</v>
      </c>
      <c r="C13" s="47" t="s">
        <v>666</v>
      </c>
      <c r="D13" s="48"/>
      <c r="E13" s="49">
        <v>28</v>
      </c>
      <c r="F13" s="49">
        <v>31</v>
      </c>
      <c r="G13" s="49" t="s">
        <v>544</v>
      </c>
      <c r="H13" s="49"/>
      <c r="I13" s="50" t="str">
        <f>IF($B13="","",IF($K13="X",B13,CONCATENATE(VLOOKUP(B13,Competitors!$A$2:$I$650,3,FALSE)," ",VLOOKUP(B13,Competitors!$A$2:$I$650,2,FALSE))))</f>
        <v>Andy Smith</v>
      </c>
      <c r="J13" s="51">
        <f t="shared" si="1"/>
        <v>1.9803240740740739E-2</v>
      </c>
      <c r="K13" t="str">
        <f t="shared" si="2"/>
        <v/>
      </c>
    </row>
    <row r="14" spans="1:11" ht="15">
      <c r="A14" s="46" t="s">
        <v>473</v>
      </c>
      <c r="B14" s="47" t="str">
        <f t="shared" si="0"/>
        <v>John Capel (Coalville Wheelers)</v>
      </c>
      <c r="C14" s="47" t="s">
        <v>667</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414</v>
      </c>
      <c r="B15" s="47">
        <f t="shared" si="0"/>
        <v>699</v>
      </c>
      <c r="C15" s="47" t="s">
        <v>668</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743</v>
      </c>
      <c r="B16" s="47" t="str">
        <f t="shared" si="0"/>
        <v>David Alexander (Coalville Wheelers)</v>
      </c>
      <c r="C16" s="47" t="s">
        <v>669</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475</v>
      </c>
      <c r="B17" s="47" t="str">
        <f t="shared" si="0"/>
        <v>Pamela Moore (Coalville Wheelers)</v>
      </c>
      <c r="C17" s="47" t="s">
        <v>670</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745</v>
      </c>
      <c r="B18" s="47" t="str">
        <f t="shared" si="0"/>
        <v>Steve Evans (HCRC)</v>
      </c>
      <c r="C18" s="47" t="s">
        <v>671</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446</v>
      </c>
      <c r="B19" s="47">
        <f t="shared" si="0"/>
        <v>1379</v>
      </c>
      <c r="C19" s="47" t="s">
        <v>672</v>
      </c>
      <c r="D19" s="48"/>
      <c r="E19" s="49">
        <v>28</v>
      </c>
      <c r="F19" s="49">
        <v>36</v>
      </c>
      <c r="G19" s="49" t="s">
        <v>544</v>
      </c>
      <c r="H19" s="49"/>
      <c r="I19" s="50" t="str">
        <f>IF($B19="","",IF($K19="X",B19,CONCATENATE(VLOOKUP(B19,Competitors!$A$2:$I$650,3,FALSE)," ",VLOOKUP(B19,Competitors!$A$2:$I$650,2,FALSE))))</f>
        <v>Michaela Latham</v>
      </c>
      <c r="J19" s="51">
        <f t="shared" si="1"/>
        <v>1.9861111111111111E-2</v>
      </c>
      <c r="K19" t="str">
        <f t="shared" si="2"/>
        <v/>
      </c>
    </row>
    <row r="20" spans="1:11" ht="15">
      <c r="A20" s="46" t="s">
        <v>744</v>
      </c>
      <c r="B20" s="47" t="str">
        <f t="shared" si="0"/>
        <v>Esme Shipman</v>
      </c>
      <c r="C20" s="47" t="s">
        <v>673</v>
      </c>
      <c r="D20" s="48"/>
      <c r="E20" s="49">
        <v>30</v>
      </c>
      <c r="F20" s="49">
        <v>27</v>
      </c>
      <c r="G20" s="49" t="s">
        <v>544</v>
      </c>
      <c r="H20" s="49"/>
      <c r="I20" s="50" t="str">
        <f>IF($B20="","",IF($K20="X",B20,CONCATENATE(VLOOKUP(B20,Competitors!$A$2:$I$650,3,FALSE)," ",VLOOKUP(B20,Competitors!$A$2:$I$650,2,FALSE))))</f>
        <v>Esme Shipman</v>
      </c>
      <c r="J20" s="51">
        <f t="shared" si="1"/>
        <v>2.1145833333333332E-2</v>
      </c>
      <c r="K20" t="str">
        <f t="shared" si="2"/>
        <v>X</v>
      </c>
    </row>
    <row r="21" spans="1:11" ht="15">
      <c r="A21" s="46" t="s">
        <v>506</v>
      </c>
      <c r="B21" s="47" t="str">
        <f t="shared" si="0"/>
        <v>Lesley Allden (Ratae)</v>
      </c>
      <c r="C21" s="47" t="s">
        <v>674</v>
      </c>
      <c r="D21" s="48"/>
      <c r="E21" s="49">
        <v>31</v>
      </c>
      <c r="F21" s="49">
        <v>48</v>
      </c>
      <c r="G21" s="49" t="s">
        <v>544</v>
      </c>
      <c r="H21" s="49"/>
      <c r="I21" s="50" t="str">
        <f>IF($B21="","",IF($K21="X",B21,CONCATENATE(VLOOKUP(B21,Competitors!$A$2:$I$650,3,FALSE)," ",VLOOKUP(B21,Competitors!$A$2:$I$650,2,FALSE))))</f>
        <v>Lesley Allden (Ratae)</v>
      </c>
      <c r="J21" s="51">
        <f t="shared" si="1"/>
        <v>2.2083333333333333E-2</v>
      </c>
      <c r="K21" t="str">
        <f t="shared" si="2"/>
        <v>X</v>
      </c>
    </row>
    <row r="22" spans="1:11" ht="15">
      <c r="A22" s="46" t="s">
        <v>746</v>
      </c>
      <c r="B22" s="47">
        <f t="shared" si="0"/>
        <v>1357</v>
      </c>
      <c r="C22" s="47" t="s">
        <v>675</v>
      </c>
      <c r="D22" s="48"/>
      <c r="E22" s="49">
        <v>26</v>
      </c>
      <c r="F22" s="49">
        <v>30</v>
      </c>
      <c r="G22" s="49" t="s">
        <v>544</v>
      </c>
      <c r="H22" s="49"/>
      <c r="I22" s="50" t="str">
        <f>IF($B22="","",IF($K22="X",B22,CONCATENATE(VLOOKUP(B22,Competitors!$A$2:$I$650,3,FALSE)," ",VLOOKUP(B22,Competitors!$A$2:$I$650,2,FALSE))))</f>
        <v>Ian Parker</v>
      </c>
      <c r="J22" s="51">
        <f t="shared" si="1"/>
        <v>1.8402777777777778E-2</v>
      </c>
      <c r="K22" t="str">
        <f t="shared" si="2"/>
        <v/>
      </c>
    </row>
    <row r="23" spans="1:11" ht="15">
      <c r="A23" s="46" t="s">
        <v>747</v>
      </c>
      <c r="B23" s="47" t="str">
        <f t="shared" si="0"/>
        <v>Julian Church (Worcester St. Johns CC)</v>
      </c>
      <c r="C23" s="47" t="s">
        <v>676</v>
      </c>
      <c r="D23" s="48"/>
      <c r="E23" s="49">
        <v>31</v>
      </c>
      <c r="F23" s="49">
        <v>35</v>
      </c>
      <c r="G23" s="49" t="s">
        <v>544</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749</v>
      </c>
      <c r="B24" s="47" t="str">
        <f t="shared" si="0"/>
        <v>Oliver Church (Worcester St. Johns CC)</v>
      </c>
      <c r="C24" s="47" t="s">
        <v>677</v>
      </c>
      <c r="D24" s="48"/>
      <c r="E24" s="49">
        <v>27</v>
      </c>
      <c r="F24" s="49">
        <v>0</v>
      </c>
      <c r="G24" s="49" t="s">
        <v>544</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433</v>
      </c>
      <c r="B25" s="47">
        <f t="shared" si="0"/>
        <v>1109</v>
      </c>
      <c r="C25" s="47" t="s">
        <v>678</v>
      </c>
      <c r="D25" s="48"/>
      <c r="E25" s="49"/>
      <c r="F25" s="49"/>
      <c r="G25" s="49"/>
      <c r="H25" s="49" t="s">
        <v>553</v>
      </c>
      <c r="I25" s="50" t="str">
        <f>IF($B25="","",IF($K25="X",B25,CONCATENATE(VLOOKUP(B25,Competitors!$A$2:$I$650,3,FALSE)," ",VLOOKUP(B25,Competitors!$A$2:$I$650,2,FALSE))))</f>
        <v>Stuart Haycox</v>
      </c>
      <c r="J25" s="51">
        <f t="shared" si="1"/>
        <v>0</v>
      </c>
      <c r="K25" t="str">
        <f t="shared" si="2"/>
        <v/>
      </c>
    </row>
    <row r="26" spans="1:11" ht="15">
      <c r="A26" s="46" t="s">
        <v>432</v>
      </c>
      <c r="B26" s="47">
        <f t="shared" si="0"/>
        <v>1112</v>
      </c>
      <c r="C26" s="47" t="s">
        <v>641</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488</v>
      </c>
      <c r="B27" s="47" t="str">
        <f t="shared" si="0"/>
        <v>Sam Nettel (LFCC)</v>
      </c>
      <c r="C27" s="47" t="s">
        <v>642</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592</v>
      </c>
      <c r="B28" s="47">
        <f t="shared" si="0"/>
        <v>1390</v>
      </c>
      <c r="C28" s="47" t="s">
        <v>643</v>
      </c>
      <c r="D28" s="48"/>
      <c r="E28" s="49">
        <v>23</v>
      </c>
      <c r="F28" s="49">
        <v>45</v>
      </c>
      <c r="G28" s="49" t="s">
        <v>544</v>
      </c>
      <c r="H28" s="49"/>
      <c r="I28" s="50" t="str">
        <f>IF($B28="","",IF($K28="X",B28,CONCATENATE(VLOOKUP(B28,Competitors!$A$2:$I$650,3,FALSE)," ",VLOOKUP(B28,Competitors!$A$2:$I$650,2,FALSE))))</f>
        <v>Diego Patteri</v>
      </c>
      <c r="J28" s="51">
        <f t="shared" si="1"/>
        <v>1.6493055555555556E-2</v>
      </c>
      <c r="K28" t="str">
        <f t="shared" si="2"/>
        <v/>
      </c>
    </row>
    <row r="29" spans="1:11" ht="15">
      <c r="A29" s="46" t="s">
        <v>413</v>
      </c>
      <c r="B29" s="47">
        <f t="shared" si="0"/>
        <v>989</v>
      </c>
      <c r="C29" s="47" t="s">
        <v>644</v>
      </c>
      <c r="D29" s="48"/>
      <c r="E29" s="49">
        <v>23</v>
      </c>
      <c r="F29" s="49">
        <v>9</v>
      </c>
      <c r="G29" s="49" t="s">
        <v>544</v>
      </c>
      <c r="H29" s="49"/>
      <c r="I29" s="50" t="str">
        <f>IF($B29="","",IF($K29="X",B29,CONCATENATE(VLOOKUP(B29,Competitors!$A$2:$I$650,3,FALSE)," ",VLOOKUP(B29,Competitors!$A$2:$I$650,2,FALSE))))</f>
        <v>Jason Williams</v>
      </c>
      <c r="J29" s="51">
        <f t="shared" si="1"/>
        <v>1.607638888888889E-2</v>
      </c>
      <c r="K29" t="str">
        <f t="shared" si="2"/>
        <v/>
      </c>
    </row>
    <row r="30" spans="1:11" ht="15">
      <c r="A30" s="46" t="s">
        <v>789</v>
      </c>
      <c r="B30" s="47" t="str">
        <f t="shared" si="0"/>
        <v>Evan Collett (George Fox CS) (KCC)</v>
      </c>
      <c r="C30" s="47" t="s">
        <v>645</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418</v>
      </c>
      <c r="B31" s="47">
        <f t="shared" si="0"/>
        <v>1355</v>
      </c>
      <c r="C31" s="47" t="s">
        <v>646</v>
      </c>
      <c r="D31" s="48"/>
      <c r="E31" s="49">
        <v>24</v>
      </c>
      <c r="F31" s="49">
        <v>38</v>
      </c>
      <c r="G31" s="49" t="s">
        <v>544</v>
      </c>
      <c r="H31" s="49"/>
      <c r="I31" s="50" t="str">
        <f>IF($B31="","",IF($K31="X",B31,CONCATENATE(VLOOKUP(B31,Competitors!$A$2:$I$650,3,FALSE)," ",VLOOKUP(B31,Competitors!$A$2:$I$650,2,FALSE))))</f>
        <v>Aubrey Elmer</v>
      </c>
      <c r="J31" s="51">
        <f t="shared" si="1"/>
        <v>1.7106481481481483E-2</v>
      </c>
      <c r="K31" t="str">
        <f t="shared" si="2"/>
        <v/>
      </c>
    </row>
    <row r="32" spans="1:11" ht="15">
      <c r="A32" s="46" t="s">
        <v>420</v>
      </c>
      <c r="B32" s="47">
        <f t="shared" si="0"/>
        <v>1192</v>
      </c>
      <c r="C32" s="47" t="s">
        <v>647</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429</v>
      </c>
      <c r="B33" s="47">
        <f t="shared" si="0"/>
        <v>1107</v>
      </c>
      <c r="C33" s="47" t="s">
        <v>648</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435</v>
      </c>
      <c r="B34" s="47">
        <f t="shared" si="0"/>
        <v>846</v>
      </c>
      <c r="C34" s="47" t="s">
        <v>649</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691</v>
      </c>
      <c r="B35" s="47" t="str">
        <f t="shared" si="0"/>
        <v>Paul Akroyd (VTTA E.Mids)</v>
      </c>
      <c r="C35" s="47" t="s">
        <v>650</v>
      </c>
      <c r="D35" s="48"/>
      <c r="E35" s="49"/>
      <c r="F35" s="49"/>
      <c r="G35" s="49" t="s">
        <v>544</v>
      </c>
      <c r="H35" s="49" t="s">
        <v>546</v>
      </c>
      <c r="I35" s="50" t="str">
        <f>IF($B35="","",IF($K35="X",B35,CONCATENATE(VLOOKUP(B35,Competitors!$A$2:$I$650,3,FALSE)," ",VLOOKUP(B35,Competitors!$A$2:$I$650,2,FALSE))))</f>
        <v>Paul Akroyd (VTTA E.Mids)</v>
      </c>
      <c r="J35" s="51">
        <f t="shared" si="1"/>
        <v>0</v>
      </c>
      <c r="K35" t="str">
        <f t="shared" si="2"/>
        <v>X</v>
      </c>
    </row>
    <row r="36" spans="1:11" ht="15">
      <c r="A36" s="46" t="s">
        <v>431</v>
      </c>
      <c r="B36" s="47">
        <f t="shared" si="0"/>
        <v>1403</v>
      </c>
      <c r="C36" s="47" t="s">
        <v>651</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685</v>
      </c>
      <c r="B37" s="47" t="str">
        <f t="shared" si="0"/>
        <v>Steve Walsh (LFCC)</v>
      </c>
      <c r="C37" s="47" t="s">
        <v>652</v>
      </c>
      <c r="D37" s="48"/>
      <c r="E37" s="49">
        <v>28</v>
      </c>
      <c r="F37" s="49">
        <v>25</v>
      </c>
      <c r="G37" s="49" t="s">
        <v>544</v>
      </c>
      <c r="H37" s="49"/>
      <c r="I37" s="50" t="str">
        <f>IF($B37="","",IF($K37="X",B37,CONCATENATE(VLOOKUP(B37,Competitors!$A$2:$I$650,3,FALSE)," ",VLOOKUP(B37,Competitors!$A$2:$I$650,2,FALSE))))</f>
        <v>Steve Walsh (LFCC)</v>
      </c>
      <c r="J37" s="51">
        <f t="shared" si="1"/>
        <v>1.9733796296296298E-2</v>
      </c>
      <c r="K37" t="str">
        <f t="shared" si="2"/>
        <v>X</v>
      </c>
    </row>
    <row r="38" spans="1:11" ht="15">
      <c r="A38" s="46" t="s">
        <v>437</v>
      </c>
      <c r="B38" s="47">
        <f t="shared" si="0"/>
        <v>1195</v>
      </c>
      <c r="C38" s="47" t="s">
        <v>679</v>
      </c>
      <c r="D38" s="48"/>
      <c r="E38" s="49">
        <v>25</v>
      </c>
      <c r="F38" s="49">
        <v>53</v>
      </c>
      <c r="G38" s="49" t="s">
        <v>544</v>
      </c>
      <c r="H38" s="49"/>
      <c r="I38" s="50" t="str">
        <f>IF($B38="","",IF($K38="X",B38,CONCATENATE(VLOOKUP(B38,Competitors!$A$2:$I$650,3,FALSE)," ",VLOOKUP(B38,Competitors!$A$2:$I$650,2,FALSE))))</f>
        <v>Charlie Hardwicke</v>
      </c>
      <c r="J38" s="51">
        <f t="shared" si="1"/>
        <v>1.7974537037037035E-2</v>
      </c>
      <c r="K38" t="str">
        <f t="shared" si="2"/>
        <v/>
      </c>
    </row>
    <row r="39" spans="1:11" ht="15">
      <c r="A39" s="46" t="s">
        <v>443</v>
      </c>
      <c r="B39" s="47">
        <f t="shared" si="0"/>
        <v>1193</v>
      </c>
      <c r="C39" s="47" t="s">
        <v>680</v>
      </c>
      <c r="D39" s="48"/>
      <c r="E39" s="49">
        <v>27</v>
      </c>
      <c r="F39" s="49">
        <v>34</v>
      </c>
      <c r="G39" s="49" t="s">
        <v>544</v>
      </c>
      <c r="H39" s="49"/>
      <c r="I39" s="50" t="str">
        <f>IF($B39="","",IF($K39="X",B39,CONCATENATE(VLOOKUP(B39,Competitors!$A$2:$I$650,3,FALSE)," ",VLOOKUP(B39,Competitors!$A$2:$I$650,2,FALSE))))</f>
        <v>Richard Hardwicke</v>
      </c>
      <c r="J39" s="51">
        <f t="shared" si="1"/>
        <v>1.9143518518518518E-2</v>
      </c>
      <c r="K39" t="str">
        <f t="shared" si="2"/>
        <v/>
      </c>
    </row>
    <row r="40" spans="1:11" ht="15">
      <c r="A40" s="46" t="s">
        <v>438</v>
      </c>
      <c r="B40" s="47">
        <f t="shared" si="0"/>
        <v>704</v>
      </c>
      <c r="C40" s="47" t="s">
        <v>681</v>
      </c>
      <c r="D40" s="48"/>
      <c r="E40" s="49">
        <v>27</v>
      </c>
      <c r="F40" s="49">
        <v>55</v>
      </c>
      <c r="G40" s="49" t="s">
        <v>544</v>
      </c>
      <c r="H40" s="49"/>
      <c r="I40" s="50" t="str">
        <f>IF($B40="","",IF($K40="X",B40,CONCATENATE(VLOOKUP(B40,Competitors!$A$2:$I$650,3,FALSE)," ",VLOOKUP(B40,Competitors!$A$2:$I$650,2,FALSE))))</f>
        <v>Chris Dainty</v>
      </c>
      <c r="J40" s="51">
        <f t="shared" si="1"/>
        <v>1.9386574074074073E-2</v>
      </c>
      <c r="K40" t="str">
        <f t="shared" si="2"/>
        <v/>
      </c>
    </row>
    <row r="41" spans="1:11" ht="15">
      <c r="A41" s="46" t="s">
        <v>653</v>
      </c>
      <c r="B41" s="47" t="str">
        <f t="shared" si="0"/>
        <v>Brigitte Gaillard (Ratae)</v>
      </c>
      <c r="C41" s="47" t="s">
        <v>682</v>
      </c>
      <c r="D41" s="48"/>
      <c r="E41" s="49">
        <v>29</v>
      </c>
      <c r="F41" s="49">
        <v>47</v>
      </c>
      <c r="G41" s="49" t="s">
        <v>544</v>
      </c>
      <c r="H41" s="49"/>
      <c r="I41" s="50" t="str">
        <f>IF($B41="","",IF($K41="X",B41,CONCATENATE(VLOOKUP(B41,Competitors!$A$2:$I$650,3,FALSE)," ",VLOOKUP(B41,Competitors!$A$2:$I$650,2,FALSE))))</f>
        <v>Brigitte Gaillard (Ratae)</v>
      </c>
      <c r="J41" s="51">
        <f t="shared" si="1"/>
        <v>2.0682870370370369E-2</v>
      </c>
      <c r="K41" t="str">
        <f t="shared" si="2"/>
        <v>X</v>
      </c>
    </row>
    <row r="42" spans="1:11" ht="15">
      <c r="A42" s="46" t="s">
        <v>415</v>
      </c>
      <c r="B42" s="47">
        <f t="shared" si="0"/>
        <v>1161</v>
      </c>
      <c r="C42" s="47" t="s">
        <v>683</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422</v>
      </c>
      <c r="B43" s="47">
        <f t="shared" ref="B43:B97" si="3">IF(A43="","",_xlfn.XLOOKUP(A43,ClubNames,ClubNumbers,_xlfn.XLOOKUP(A43,RoundRobinRiderNames,RoundRobinRiderDecoratedNames,A43)))</f>
        <v>1407</v>
      </c>
      <c r="C43" s="47" t="s">
        <v>717</v>
      </c>
      <c r="D43" s="48"/>
      <c r="E43" s="49">
        <v>25</v>
      </c>
      <c r="F43" s="49">
        <v>6</v>
      </c>
      <c r="G43" s="49" t="s">
        <v>544</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505</v>
      </c>
      <c r="B44" s="47" t="str">
        <f t="shared" si="3"/>
        <v>Jonathon Clarke (Ratae)</v>
      </c>
      <c r="C44" s="47" t="s">
        <v>718</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629</v>
      </c>
      <c r="B45" s="47" t="str">
        <f t="shared" si="3"/>
        <v>Jeff Jones (LFCC)</v>
      </c>
      <c r="C45" s="47" t="s">
        <v>719</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631</v>
      </c>
      <c r="B46" s="47" t="str">
        <f t="shared" si="3"/>
        <v>Simon Jones (LFCC)</v>
      </c>
      <c r="C46" s="47" t="s">
        <v>720</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715</v>
      </c>
      <c r="B47" s="47" t="str">
        <f t="shared" si="3"/>
        <v>Josh Jones (LFCC)</v>
      </c>
      <c r="C47" s="47" t="s">
        <v>721</v>
      </c>
      <c r="D47" s="48"/>
      <c r="E47" s="49">
        <v>27</v>
      </c>
      <c r="F47" s="49">
        <v>9</v>
      </c>
      <c r="G47" s="49" t="s">
        <v>544</v>
      </c>
      <c r="H47" s="49"/>
      <c r="I47" s="50" t="str">
        <f>IF($B47="","",IF($K47="X",B47,CONCATENATE(VLOOKUP(B47,Competitors!$A$2:$I$650,3,FALSE)," ",VLOOKUP(B47,Competitors!$A$2:$I$650,2,FALSE))))</f>
        <v>Josh Jones (LFCC)</v>
      </c>
      <c r="J47" s="51">
        <f t="shared" si="4"/>
        <v>1.8854166666666668E-2</v>
      </c>
      <c r="K47" t="str">
        <f t="shared" si="5"/>
        <v>X</v>
      </c>
    </row>
    <row r="48" spans="1:11" ht="15">
      <c r="A48" s="46" t="s">
        <v>501</v>
      </c>
      <c r="B48" s="47" t="str">
        <f t="shared" si="3"/>
        <v>Chris Bonsor (Ratae)</v>
      </c>
      <c r="C48" s="47" t="s">
        <v>722</v>
      </c>
      <c r="D48" s="48"/>
      <c r="E48" s="49">
        <v>25</v>
      </c>
      <c r="F48" s="49">
        <v>4</v>
      </c>
      <c r="G48" s="49" t="s">
        <v>544</v>
      </c>
      <c r="H48" s="49"/>
      <c r="I48" s="50" t="str">
        <f>IF($B48="","",IF($K48="X",B48,CONCATENATE(VLOOKUP(B48,Competitors!$A$2:$I$650,3,FALSE)," ",VLOOKUP(B48,Competitors!$A$2:$I$650,2,FALSE))))</f>
        <v>Chris Bonsor (Ratae)</v>
      </c>
      <c r="J48" s="51">
        <f t="shared" si="4"/>
        <v>1.7407407407407406E-2</v>
      </c>
      <c r="K48" t="str">
        <f t="shared" si="5"/>
        <v>X</v>
      </c>
    </row>
    <row r="49" spans="1:11" ht="15">
      <c r="A49" s="46" t="s">
        <v>750</v>
      </c>
      <c r="B49" s="47" t="str">
        <f t="shared" si="3"/>
        <v>Amy Whitmore</v>
      </c>
      <c r="C49" s="47" t="s">
        <v>723</v>
      </c>
      <c r="D49" s="48"/>
      <c r="E49" s="49">
        <v>30</v>
      </c>
      <c r="F49" s="49">
        <v>38</v>
      </c>
      <c r="G49" s="49" t="s">
        <v>544</v>
      </c>
      <c r="H49" s="49"/>
      <c r="I49" s="50" t="str">
        <f>IF($B49="","",IF($K49="X",B49,CONCATENATE(VLOOKUP(B49,Competitors!$A$2:$I$650,3,FALSE)," ",VLOOKUP(B49,Competitors!$A$2:$I$650,2,FALSE))))</f>
        <v>Amy Whitmore</v>
      </c>
      <c r="J49" s="51">
        <f t="shared" si="4"/>
        <v>2.1273148148148149E-2</v>
      </c>
      <c r="K49" t="str">
        <f t="shared" si="5"/>
        <v>X</v>
      </c>
    </row>
    <row r="50" spans="1:11" ht="15">
      <c r="A50" s="46" t="s">
        <v>751</v>
      </c>
      <c r="B50" s="47" t="str">
        <f t="shared" si="3"/>
        <v>Alice Watson</v>
      </c>
      <c r="C50" s="47" t="s">
        <v>724</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513</v>
      </c>
      <c r="B51" s="47" t="str">
        <f t="shared" si="3"/>
        <v>Sadie Murphy (Ratae)</v>
      </c>
      <c r="C51" s="47" t="s">
        <v>726</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497</v>
      </c>
      <c r="B52" s="47" t="str">
        <f t="shared" si="3"/>
        <v>Lewis Cooper (RAF Tri)</v>
      </c>
      <c r="C52" s="47" t="s">
        <v>727</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752</v>
      </c>
      <c r="B53" s="47" t="str">
        <f t="shared" si="3"/>
        <v>Andy Logie (SSVC)</v>
      </c>
      <c r="C53" s="47" t="s">
        <v>754</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499</v>
      </c>
      <c r="B54" s="47" t="str">
        <f t="shared" si="3"/>
        <v>Alex Whitmore (Ratae)</v>
      </c>
      <c r="C54" s="47" t="s">
        <v>755</v>
      </c>
      <c r="D54" s="48"/>
      <c r="E54" s="49">
        <v>21</v>
      </c>
      <c r="F54" s="49">
        <v>41</v>
      </c>
      <c r="G54" s="49" t="s">
        <v>544</v>
      </c>
      <c r="H54" s="49"/>
      <c r="I54" s="50" t="str">
        <f>IF($B54="","",IF($K54="X",B54,CONCATENATE(VLOOKUP(B54,Competitors!$A$2:$I$650,3,FALSE)," ",VLOOKUP(B54,Competitors!$A$2:$I$650,2,FALSE))))</f>
        <v>Alex Whitmore (Ratae)</v>
      </c>
      <c r="J54" s="51">
        <f t="shared" si="4"/>
        <v>1.5057870370370371E-2</v>
      </c>
      <c r="K54" t="str">
        <f t="shared" si="5"/>
        <v>X</v>
      </c>
    </row>
    <row r="55" spans="1:11" ht="15">
      <c r="A55" s="46" t="s">
        <v>756</v>
      </c>
      <c r="B55" s="47" t="str">
        <f t="shared" si="3"/>
        <v>Simon Thomas (SSVC)</v>
      </c>
      <c r="C55" s="47" t="s">
        <v>757</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508</v>
      </c>
      <c r="B56" s="47" t="str">
        <f t="shared" si="3"/>
        <v>Mark Marmoy (Ratae)</v>
      </c>
      <c r="C56" s="47" t="s">
        <v>758</v>
      </c>
      <c r="D56" s="48"/>
      <c r="E56" s="49">
        <v>26</v>
      </c>
      <c r="F56" s="49">
        <v>43</v>
      </c>
      <c r="G56" s="49" t="s">
        <v>544</v>
      </c>
      <c r="H56" s="49"/>
      <c r="I56" s="50" t="str">
        <f>IF($B56="","",IF($K56="X",B56,CONCATENATE(VLOOKUP(B56,Competitors!$A$2:$I$650,3,FALSE)," ",VLOOKUP(B56,Competitors!$A$2:$I$650,2,FALSE))))</f>
        <v>Mark Marmoy (Ratae)</v>
      </c>
      <c r="J56" s="51">
        <f t="shared" si="4"/>
        <v>1.8553240740740742E-2</v>
      </c>
      <c r="K56" t="str">
        <f t="shared" si="5"/>
        <v>X</v>
      </c>
    </row>
    <row r="57" spans="1:11" ht="15">
      <c r="A57" s="46" t="s">
        <v>410</v>
      </c>
      <c r="B57" s="47">
        <f t="shared" si="3"/>
        <v>747</v>
      </c>
      <c r="C57" s="47" t="s">
        <v>759</v>
      </c>
      <c r="D57" s="48"/>
      <c r="E57" s="49"/>
      <c r="F57" s="49"/>
      <c r="G57" s="49"/>
      <c r="H57" s="49" t="s">
        <v>553</v>
      </c>
      <c r="I57" s="50" t="str">
        <f>IF($B57="","",IF($K57="X",B57,CONCATENATE(VLOOKUP(B57,Competitors!$A$2:$I$650,3,FALSE)," ",VLOOKUP(B57,Competitors!$A$2:$I$650,2,FALSE))))</f>
        <v>James Moore</v>
      </c>
      <c r="J57" s="51">
        <f t="shared" si="4"/>
        <v>0</v>
      </c>
      <c r="K57" t="str">
        <f t="shared" si="5"/>
        <v/>
      </c>
    </row>
    <row r="58" spans="1:11" ht="15">
      <c r="A58" s="46" t="s">
        <v>421</v>
      </c>
      <c r="B58" s="47">
        <f t="shared" si="3"/>
        <v>415</v>
      </c>
      <c r="C58" s="47" t="s">
        <v>760</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412</v>
      </c>
      <c r="B59" s="47">
        <f t="shared" si="3"/>
        <v>1144</v>
      </c>
      <c r="C59" s="47" t="s">
        <v>761</v>
      </c>
      <c r="D59" s="48"/>
      <c r="E59" s="49">
        <v>23</v>
      </c>
      <c r="F59" s="49">
        <v>11</v>
      </c>
      <c r="G59" s="49" t="s">
        <v>544</v>
      </c>
      <c r="H59" s="49"/>
      <c r="I59" s="50" t="str">
        <f>IF($B59="","",IF($K59="X",B59,CONCATENATE(VLOOKUP(B59,Competitors!$A$2:$I$650,3,FALSE)," ",VLOOKUP(B59,Competitors!$A$2:$I$650,2,FALSE))))</f>
        <v>Jamie Kershaw</v>
      </c>
      <c r="J59" s="51">
        <f t="shared" si="4"/>
        <v>1.6099537037037037E-2</v>
      </c>
      <c r="K59" t="str">
        <f t="shared" si="5"/>
        <v/>
      </c>
    </row>
    <row r="60" spans="1:11" ht="15">
      <c r="A60" s="46" t="s">
        <v>716</v>
      </c>
      <c r="B60" s="47" t="str">
        <f t="shared" si="3"/>
        <v>David Mead (M.I. Racing)</v>
      </c>
      <c r="C60" s="47" t="s">
        <v>762</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482</v>
      </c>
      <c r="B61" s="47" t="str">
        <f t="shared" si="3"/>
        <v>Colin Parkinson (SWRC) (HCRC)</v>
      </c>
      <c r="C61" s="47" t="s">
        <v>763</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551</v>
      </c>
      <c r="D103" t="str" cm="1">
        <f t="array" aca="1" ref="D103" ca="1">MID(CELL("filename",B1),FIND("]",CELL("filename",B1))+1,255)</f>
        <v>Event_20</v>
      </c>
    </row>
    <row r="104" spans="1:11">
      <c r="B104" t="s">
        <v>552</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444</v>
      </c>
      <c r="B2" s="47">
        <f t="shared" ref="B2:B33" si="0">IF(A2="","",_xlfn.XLOOKUP(A2,ClubNames,ClubNumbers,_xlfn.XLOOKUP(A2,RoundRobinRiderNames,RoundRobinRiderDecoratedNames,A2)))</f>
        <v>1386</v>
      </c>
      <c r="C2" s="48"/>
      <c r="D2" s="49">
        <v>29</v>
      </c>
      <c r="E2" s="49">
        <v>32</v>
      </c>
      <c r="F2" s="65" t="s">
        <v>544</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616</v>
      </c>
      <c r="B3" s="47">
        <f t="shared" si="0"/>
        <v>990</v>
      </c>
      <c r="C3" s="48"/>
      <c r="D3" s="49">
        <v>34</v>
      </c>
      <c r="E3" s="49">
        <v>44</v>
      </c>
      <c r="F3" s="49" t="s">
        <v>544</v>
      </c>
      <c r="G3" s="49"/>
      <c r="H3" s="50" t="str">
        <f>IF($B3="","",IF($J3="X",B3,CONCATENATE(VLOOKUP(B3,Competitors!$A$2:$I$650,3,FALSE)," ",VLOOKUP(B3,Competitors!$A$2:$I$650,2,FALSE))))</f>
        <v>Jen Hulme</v>
      </c>
      <c r="I3" s="51">
        <f t="shared" si="1"/>
        <v>2.4120370370370372E-2</v>
      </c>
      <c r="J3" t="str">
        <f t="shared" si="2"/>
        <v/>
      </c>
    </row>
    <row r="4" spans="1:10" ht="15">
      <c r="A4" s="46" t="s">
        <v>507</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769</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500</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579</v>
      </c>
      <c r="B7" s="47">
        <f t="shared" si="0"/>
        <v>1370</v>
      </c>
      <c r="C7" s="48"/>
      <c r="D7" s="49">
        <v>25</v>
      </c>
      <c r="E7" s="49">
        <v>34</v>
      </c>
      <c r="F7" s="65" t="s">
        <v>544</v>
      </c>
      <c r="G7" s="49"/>
      <c r="H7" s="50" t="str">
        <f>IF($B7="","",IF($J7="X",B7,CONCATENATE(VLOOKUP(B7,Competitors!$A$2:$I$650,3,FALSE)," ",VLOOKUP(B7,Competitors!$A$2:$I$650,2,FALSE))))</f>
        <v>Ian Aldridge</v>
      </c>
      <c r="I7" s="51">
        <f t="shared" si="1"/>
        <v>1.7754629629629631E-2</v>
      </c>
      <c r="J7" t="str">
        <f t="shared" si="2"/>
        <v/>
      </c>
    </row>
    <row r="8" spans="1:10" ht="15">
      <c r="A8" s="60" t="s">
        <v>460</v>
      </c>
      <c r="B8" s="47">
        <f t="shared" si="0"/>
        <v>7</v>
      </c>
      <c r="C8" s="48"/>
      <c r="D8" s="49">
        <v>32</v>
      </c>
      <c r="E8" s="49">
        <v>48</v>
      </c>
      <c r="F8" s="65" t="s">
        <v>544</v>
      </c>
      <c r="G8" s="49"/>
      <c r="H8" s="50" t="str">
        <f>IF($B8="","",IF($J8="X",B8,CONCATENATE(VLOOKUP(B8,Competitors!$A$2:$I$650,3,FALSE)," ",VLOOKUP(B8,Competitors!$A$2:$I$650,2,FALSE))))</f>
        <v>Vic Barnett</v>
      </c>
      <c r="I8" s="51">
        <f t="shared" si="1"/>
        <v>2.2777777777777779E-2</v>
      </c>
      <c r="J8" t="str">
        <f t="shared" si="2"/>
        <v/>
      </c>
    </row>
    <row r="9" spans="1:10" ht="15">
      <c r="A9" s="46" t="s">
        <v>780</v>
      </c>
      <c r="B9" s="47" t="str">
        <f t="shared" si="0"/>
        <v>Geoff Stanbridge (Fenland Clarion) (Ratae)</v>
      </c>
      <c r="C9" s="48"/>
      <c r="D9" s="49"/>
      <c r="E9" s="49"/>
      <c r="F9" s="65" t="s">
        <v>544</v>
      </c>
      <c r="G9" s="49" t="s">
        <v>557</v>
      </c>
      <c r="H9" s="50" t="str">
        <f>IF($B9="","",IF($J9="X",B9,CONCATENATE(VLOOKUP(B9,Competitors!$A$2:$I$650,3,FALSE)," ",VLOOKUP(B9,Competitors!$A$2:$I$650,2,FALSE))))</f>
        <v>Geoff Stanbridge (Fenland Clarion) (Ratae)</v>
      </c>
      <c r="I9" s="51">
        <f t="shared" si="1"/>
        <v>0</v>
      </c>
      <c r="J9" t="str">
        <f t="shared" si="2"/>
        <v>X</v>
      </c>
    </row>
    <row r="10" spans="1:10" ht="15">
      <c r="A10" s="46" t="s">
        <v>510</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511</v>
      </c>
      <c r="B11" s="47" t="str">
        <f t="shared" si="0"/>
        <v>Natalie Harris (Ratae)</v>
      </c>
      <c r="C11" s="48"/>
      <c r="D11" s="49">
        <v>33</v>
      </c>
      <c r="E11" s="49">
        <v>23</v>
      </c>
      <c r="F11" s="65" t="s">
        <v>544</v>
      </c>
      <c r="G11" s="49"/>
      <c r="H11" s="50" t="str">
        <f>IF($B11="","",IF($J11="X",B11,CONCATENATE(VLOOKUP(B11,Competitors!$A$2:$I$650,3,FALSE)," ",VLOOKUP(B11,Competitors!$A$2:$I$650,2,FALSE))))</f>
        <v>Natalie Harris (Ratae)</v>
      </c>
      <c r="I11" s="51">
        <f t="shared" si="1"/>
        <v>2.3182870370370371E-2</v>
      </c>
      <c r="J11" t="str">
        <f t="shared" si="2"/>
        <v>X</v>
      </c>
    </row>
    <row r="12" spans="1:10" ht="15">
      <c r="A12" s="46" t="s">
        <v>514</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446</v>
      </c>
      <c r="B13" s="47">
        <f t="shared" si="0"/>
        <v>1379</v>
      </c>
      <c r="C13" s="48"/>
      <c r="D13" s="49">
        <v>29</v>
      </c>
      <c r="E13" s="49">
        <v>16</v>
      </c>
      <c r="F13" s="65" t="s">
        <v>544</v>
      </c>
      <c r="G13" s="49"/>
      <c r="H13" s="50" t="str">
        <f>IF($B13="","",IF($J13="X",B13,CONCATENATE(VLOOKUP(B13,Competitors!$A$2:$I$650,3,FALSE)," ",VLOOKUP(B13,Competitors!$A$2:$I$650,2,FALSE))))</f>
        <v>Michaela Latham</v>
      </c>
      <c r="I13" s="51">
        <f t="shared" si="1"/>
        <v>2.0324074074074074E-2</v>
      </c>
      <c r="J13" t="str">
        <f t="shared" si="2"/>
        <v/>
      </c>
    </row>
    <row r="14" spans="1:10" ht="15">
      <c r="A14" s="46" t="s">
        <v>730</v>
      </c>
      <c r="B14" s="47" t="str">
        <f t="shared" si="0"/>
        <v>Eric Fullerton (LFCC)</v>
      </c>
      <c r="C14" s="48"/>
      <c r="D14" s="49">
        <v>31</v>
      </c>
      <c r="E14" s="49">
        <v>8</v>
      </c>
      <c r="F14" s="65" t="s">
        <v>544</v>
      </c>
      <c r="G14" s="49"/>
      <c r="H14" s="50" t="str">
        <f>IF($B14="","",IF($J14="X",B14,CONCATENATE(VLOOKUP(B14,Competitors!$A$2:$I$650,3,FALSE)," ",VLOOKUP(B14,Competitors!$A$2:$I$650,2,FALSE))))</f>
        <v>Eric Fullerton (LFCC)</v>
      </c>
      <c r="I14" s="51">
        <f t="shared" si="1"/>
        <v>2.162037037037037E-2</v>
      </c>
      <c r="J14" t="str">
        <f t="shared" si="2"/>
        <v>X</v>
      </c>
    </row>
    <row r="15" spans="1:10" ht="15">
      <c r="A15" s="46" t="s">
        <v>770</v>
      </c>
      <c r="B15" s="47" t="str">
        <f t="shared" si="0"/>
        <v>Sally Richards (Ratae)</v>
      </c>
      <c r="C15" s="48"/>
      <c r="D15" s="49"/>
      <c r="E15" s="49"/>
      <c r="F15" s="49"/>
      <c r="G15" s="49" t="s">
        <v>557</v>
      </c>
      <c r="H15" s="50" t="str">
        <f>IF($B15="","",IF($J15="X",B15,CONCATENATE(VLOOKUP(B15,Competitors!$A$2:$I$650,3,FALSE)," ",VLOOKUP(B15,Competitors!$A$2:$I$650,2,FALSE))))</f>
        <v>Sally Richards (Ratae)</v>
      </c>
      <c r="I15" s="51">
        <f t="shared" si="1"/>
        <v>0</v>
      </c>
      <c r="J15" t="str">
        <f t="shared" si="2"/>
        <v>X</v>
      </c>
    </row>
    <row r="16" spans="1:10" ht="15">
      <c r="A16" s="46" t="s">
        <v>577</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457</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447</v>
      </c>
      <c r="B18" s="47">
        <f t="shared" si="0"/>
        <v>1194</v>
      </c>
      <c r="C18" s="48"/>
      <c r="D18" s="49">
        <v>30</v>
      </c>
      <c r="E18" s="49">
        <v>53</v>
      </c>
      <c r="F18" s="65" t="s">
        <v>544</v>
      </c>
      <c r="G18" s="49"/>
      <c r="H18" s="50" t="str">
        <f>IF($B18="","",IF($J18="X",B18,CONCATENATE(VLOOKUP(B18,Competitors!$A$2:$I$650,3,FALSE)," ",VLOOKUP(B18,Competitors!$A$2:$I$650,2,FALSE))))</f>
        <v>Alex Hardwicke</v>
      </c>
      <c r="I18" s="51">
        <f t="shared" si="1"/>
        <v>2.1446759259259259E-2</v>
      </c>
      <c r="J18" t="str">
        <f t="shared" si="2"/>
        <v/>
      </c>
    </row>
    <row r="19" spans="1:10" ht="15">
      <c r="A19" s="46" t="s">
        <v>443</v>
      </c>
      <c r="B19" s="47">
        <f t="shared" si="0"/>
        <v>1193</v>
      </c>
      <c r="C19" s="48"/>
      <c r="D19" s="49">
        <v>29</v>
      </c>
      <c r="E19" s="49">
        <v>22</v>
      </c>
      <c r="F19" s="65" t="s">
        <v>544</v>
      </c>
      <c r="G19" s="49"/>
      <c r="H19" s="50" t="str">
        <f>IF($B19="","",IF($J19="X",B19,CONCATENATE(VLOOKUP(B19,Competitors!$A$2:$I$650,3,FALSE)," ",VLOOKUP(B19,Competitors!$A$2:$I$650,2,FALSE))))</f>
        <v>Richard Hardwicke</v>
      </c>
      <c r="I19" s="51">
        <f t="shared" si="1"/>
        <v>2.0393518518518519E-2</v>
      </c>
      <c r="J19" t="str">
        <f t="shared" si="2"/>
        <v/>
      </c>
    </row>
    <row r="20" spans="1:10" ht="15">
      <c r="A20" s="46" t="s">
        <v>431</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437</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411</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422</v>
      </c>
      <c r="B23" s="47">
        <f t="shared" si="0"/>
        <v>1407</v>
      </c>
      <c r="C23" s="48"/>
      <c r="D23" s="49"/>
      <c r="E23" s="49"/>
      <c r="F23" s="65" t="s">
        <v>544</v>
      </c>
      <c r="G23" s="49" t="s">
        <v>553</v>
      </c>
      <c r="H23" s="50" t="str">
        <f>IF($B23="","",IF($J23="X",B23,CONCATENATE(VLOOKUP(B23,Competitors!$A$2:$I$650,3,FALSE)," ",VLOOKUP(B23,Competitors!$A$2:$I$650,2,FALSE))))</f>
        <v>Colin Dobson</v>
      </c>
      <c r="I23" s="51">
        <f t="shared" si="1"/>
        <v>0</v>
      </c>
      <c r="J23" t="str">
        <f t="shared" si="2"/>
        <v/>
      </c>
    </row>
    <row r="24" spans="1:10" ht="15">
      <c r="A24" s="60" t="s">
        <v>509</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789</v>
      </c>
      <c r="B25" s="47" t="str">
        <f t="shared" si="0"/>
        <v>Evan Collett (George Fox CS) (KCC)</v>
      </c>
      <c r="C25" s="48"/>
      <c r="D25" s="49">
        <v>25</v>
      </c>
      <c r="E25" s="49">
        <v>26</v>
      </c>
      <c r="F25" s="65" t="s">
        <v>544</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486</v>
      </c>
      <c r="B26" s="47" t="str">
        <f t="shared" si="0"/>
        <v>Matt Finch (LFCC)</v>
      </c>
      <c r="C26" s="48"/>
      <c r="D26" s="49">
        <v>31</v>
      </c>
      <c r="E26" s="49">
        <v>3</v>
      </c>
      <c r="F26" s="65" t="s">
        <v>544</v>
      </c>
      <c r="G26" s="49"/>
      <c r="H26" s="50" t="str">
        <f>IF($B26="","",IF($J26="X",B26,CONCATENATE(VLOOKUP(B26,Competitors!$A$2:$I$650,3,FALSE)," ",VLOOKUP(B26,Competitors!$A$2:$I$650,2,FALSE))))</f>
        <v>Matt Finch (LFCC)</v>
      </c>
      <c r="I26" s="51">
        <f t="shared" si="1"/>
        <v>2.1562499999999998E-2</v>
      </c>
      <c r="J26" t="str">
        <f t="shared" si="2"/>
        <v>X</v>
      </c>
    </row>
    <row r="27" spans="1:10" ht="15">
      <c r="A27" s="46" t="s">
        <v>429</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440</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592</v>
      </c>
      <c r="B29" s="47">
        <f t="shared" si="0"/>
        <v>1390</v>
      </c>
      <c r="C29" s="48"/>
      <c r="D29" s="49">
        <v>24</v>
      </c>
      <c r="E29" s="49">
        <v>32</v>
      </c>
      <c r="F29" s="65" t="s">
        <v>544</v>
      </c>
      <c r="G29" s="49"/>
      <c r="H29" s="50" t="str">
        <f>IF($B29="","",IF($J29="X",B29,CONCATENATE(VLOOKUP(B29,Competitors!$A$2:$I$650,3,FALSE)," ",VLOOKUP(B29,Competitors!$A$2:$I$650,2,FALSE))))</f>
        <v>Diego Patteri</v>
      </c>
      <c r="I29" s="51">
        <f t="shared" si="1"/>
        <v>1.7037037037037038E-2</v>
      </c>
      <c r="J29" t="str">
        <f t="shared" si="2"/>
        <v/>
      </c>
    </row>
    <row r="30" spans="1:10" ht="15">
      <c r="A30" s="46" t="s">
        <v>691</v>
      </c>
      <c r="B30" s="47" t="str">
        <f t="shared" si="0"/>
        <v>Paul Akroyd (VTTA E.Mids)</v>
      </c>
      <c r="C30" s="48"/>
      <c r="D30" s="49">
        <v>27</v>
      </c>
      <c r="E30" s="49">
        <v>36</v>
      </c>
      <c r="F30" s="65" t="s">
        <v>544</v>
      </c>
      <c r="G30" s="49"/>
      <c r="H30" s="50" t="str">
        <f>IF($B30="","",IF($J30="X",B30,CONCATENATE(VLOOKUP(B30,Competitors!$A$2:$I$650,3,FALSE)," ",VLOOKUP(B30,Competitors!$A$2:$I$650,2,FALSE))))</f>
        <v>Paul Akroyd (VTTA E.Mids)</v>
      </c>
      <c r="I30" s="51">
        <f t="shared" si="1"/>
        <v>1.9166666666666665E-2</v>
      </c>
      <c r="J30" t="str">
        <f t="shared" si="2"/>
        <v>X</v>
      </c>
    </row>
    <row r="31" spans="1:10" ht="15">
      <c r="A31" s="60" t="s">
        <v>614</v>
      </c>
      <c r="B31" s="47">
        <f t="shared" si="0"/>
        <v>1391</v>
      </c>
      <c r="C31" s="48"/>
      <c r="D31" s="49">
        <v>24</v>
      </c>
      <c r="E31" s="49">
        <v>48</v>
      </c>
      <c r="F31" s="65" t="s">
        <v>544</v>
      </c>
      <c r="G31" s="49"/>
      <c r="H31" s="50" t="str">
        <f>IF($B31="","",IF($J31="X",B31,CONCATENATE(VLOOKUP(B31,Competitors!$A$2:$I$650,3,FALSE)," ",VLOOKUP(B31,Competitors!$A$2:$I$650,2,FALSE))))</f>
        <v>Leah Cuthbertson</v>
      </c>
      <c r="I31" s="51">
        <f t="shared" si="1"/>
        <v>1.7222222222222222E-2</v>
      </c>
      <c r="J31" t="str">
        <f t="shared" si="2"/>
        <v/>
      </c>
    </row>
    <row r="32" spans="1:10" ht="15">
      <c r="A32" s="60" t="s">
        <v>685</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436</v>
      </c>
      <c r="B33" s="47">
        <f t="shared" si="0"/>
        <v>203</v>
      </c>
      <c r="C33" s="48"/>
      <c r="D33" s="49"/>
      <c r="E33" s="49"/>
      <c r="F33" s="49"/>
      <c r="G33" s="49" t="s">
        <v>553</v>
      </c>
      <c r="H33" s="50" t="str">
        <f>IF($B33="","",IF($J33="X",B33,CONCATENATE(VLOOKUP(B33,Competitors!$A$2:$I$650,3,FALSE)," ",VLOOKUP(B33,Competitors!$A$2:$I$650,2,FALSE))))</f>
        <v>Adrian Killworth</v>
      </c>
      <c r="I33" s="51">
        <f t="shared" si="1"/>
        <v>0</v>
      </c>
      <c r="J33" t="str">
        <f t="shared" si="2"/>
        <v/>
      </c>
    </row>
    <row r="34" spans="1:10" ht="15">
      <c r="A34" s="46" t="s">
        <v>512</v>
      </c>
      <c r="B34" s="47" t="str">
        <f t="shared" ref="B34:B97" si="3">IF(A34="","",_xlfn.XLOOKUP(A34,ClubNames,ClubNumbers,_xlfn.XLOOKUP(A34,RoundRobinRiderNames,RoundRobinRiderDecoratedNames,A34)))</f>
        <v>Paul Eden (Ratae)</v>
      </c>
      <c r="C34" s="48"/>
      <c r="D34" s="49">
        <v>31</v>
      </c>
      <c r="E34" s="49">
        <v>59</v>
      </c>
      <c r="F34" s="65" t="s">
        <v>544</v>
      </c>
      <c r="G34" s="49"/>
      <c r="H34" s="50" t="str">
        <f>IF($B34="","",IF($J34="X",B34,CONCATENATE(VLOOKUP(B34,Competitors!$A$2:$I$650,3,FALSE)," ",VLOOKUP(B34,Competitors!$A$2:$I$650,2,FALSE))))</f>
        <v>Paul Eden (Ratae)</v>
      </c>
      <c r="I34" s="51">
        <f t="shared" si="1"/>
        <v>2.2210648148148149E-2</v>
      </c>
      <c r="J34" t="str">
        <f t="shared" si="2"/>
        <v>X</v>
      </c>
    </row>
    <row r="35" spans="1:10" ht="15">
      <c r="A35" s="60" t="s">
        <v>438</v>
      </c>
      <c r="B35" s="47">
        <f t="shared" si="3"/>
        <v>704</v>
      </c>
      <c r="C35" s="48"/>
      <c r="D35" s="49">
        <v>29</v>
      </c>
      <c r="E35" s="49">
        <v>39</v>
      </c>
      <c r="F35" s="49" t="s">
        <v>544</v>
      </c>
      <c r="G35" s="49"/>
      <c r="H35" s="50" t="str">
        <f>IF($B35="","",IF($J35="X",B35,CONCATENATE(VLOOKUP(B35,Competitors!$A$2:$I$650,3,FALSE)," ",VLOOKUP(B35,Competitors!$A$2:$I$650,2,FALSE))))</f>
        <v>Chris Dainty</v>
      </c>
      <c r="I35" s="51">
        <f t="shared" si="1"/>
        <v>2.0590277777777777E-2</v>
      </c>
      <c r="J35" t="str">
        <f t="shared" si="2"/>
        <v/>
      </c>
    </row>
    <row r="36" spans="1:10" ht="15">
      <c r="A36" s="46" t="s">
        <v>421</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423</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432</v>
      </c>
      <c r="B38" s="47">
        <f t="shared" si="3"/>
        <v>1112</v>
      </c>
      <c r="C38" s="48"/>
      <c r="D38" s="49"/>
      <c r="E38" s="49"/>
      <c r="F38" s="65" t="s">
        <v>544</v>
      </c>
      <c r="G38" s="49" t="s">
        <v>553</v>
      </c>
      <c r="H38" s="50" t="str">
        <f>IF($B38="","",IF($J38="X",B38,CONCATENATE(VLOOKUP(B38,Competitors!$A$2:$I$650,3,FALSE)," ",VLOOKUP(B38,Competitors!$A$2:$I$650,2,FALSE))))</f>
        <v>Gary Ashwell</v>
      </c>
      <c r="I38" s="51">
        <f t="shared" si="1"/>
        <v>0</v>
      </c>
      <c r="J38" t="str">
        <f t="shared" si="2"/>
        <v/>
      </c>
    </row>
    <row r="39" spans="1:10" ht="15">
      <c r="A39" s="46" t="s">
        <v>412</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420</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414</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413</v>
      </c>
      <c r="B42" s="47">
        <f t="shared" si="3"/>
        <v>989</v>
      </c>
      <c r="C42" s="48"/>
      <c r="D42" s="49">
        <v>25</v>
      </c>
      <c r="E42" s="49">
        <v>4</v>
      </c>
      <c r="F42" s="49" t="s">
        <v>544</v>
      </c>
      <c r="G42" s="49"/>
      <c r="H42" s="50" t="str">
        <f>IF($B42="","",IF($J42="X",B42,CONCATENATE(VLOOKUP(B42,Competitors!$A$2:$I$650,3,FALSE)," ",VLOOKUP(B42,Competitors!$A$2:$I$650,2,FALSE))))</f>
        <v>Jason Williams</v>
      </c>
      <c r="I42" s="51">
        <f t="shared" si="1"/>
        <v>1.7407407407407406E-2</v>
      </c>
      <c r="J42" t="str">
        <f t="shared" si="2"/>
        <v/>
      </c>
    </row>
    <row r="43" spans="1:10" ht="15">
      <c r="A43" s="46" t="s">
        <v>488</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501</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410</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620</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Event_21</v>
      </c>
    </row>
    <row r="104" spans="1:10">
      <c r="B104" t="s">
        <v>552</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579</v>
      </c>
      <c r="B2" s="47">
        <f t="shared" ref="B2:B33" si="0">IF(A2="","",_xlfn.XLOOKUP(A2,ClubNames,ClubNumbers,_xlfn.XLOOKUP(A2,RoundRobinRiderNames,RoundRobinRiderDecoratedNames,A2)))</f>
        <v>1370</v>
      </c>
      <c r="C2" s="59"/>
      <c r="D2" s="59">
        <v>25</v>
      </c>
      <c r="E2" s="59">
        <v>18</v>
      </c>
      <c r="F2" s="65" t="s">
        <v>544</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414</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443</v>
      </c>
      <c r="B4" s="47">
        <f t="shared" si="0"/>
        <v>1193</v>
      </c>
      <c r="C4" s="59"/>
      <c r="D4" s="59">
        <v>30</v>
      </c>
      <c r="E4" s="59">
        <v>27</v>
      </c>
      <c r="F4" s="49" t="s">
        <v>544</v>
      </c>
      <c r="G4" s="59"/>
      <c r="H4" s="50" t="str">
        <f>IF($B4="","",IF($J4="X",B4,CONCATENATE(VLOOKUP(B4,Competitors!$A$2:$I$650,3,FALSE)," ",VLOOKUP(B4,Competitors!$A$2:$I$650,2,FALSE))))</f>
        <v>Richard Hardwicke</v>
      </c>
      <c r="I4" s="51">
        <f t="shared" si="1"/>
        <v>2.1145833333333332E-2</v>
      </c>
      <c r="J4" t="str">
        <f t="shared" si="2"/>
        <v/>
      </c>
    </row>
    <row r="5" spans="1:10" ht="15">
      <c r="A5" s="46" t="s">
        <v>523</v>
      </c>
      <c r="B5" s="47" t="str">
        <f t="shared" si="0"/>
        <v>Lynne Wilkinson-Scofield (RFW)</v>
      </c>
      <c r="C5" s="59"/>
      <c r="D5" s="59"/>
      <c r="E5" s="59"/>
      <c r="F5" s="49"/>
      <c r="G5" s="59" t="s">
        <v>553</v>
      </c>
      <c r="H5" s="50" t="str">
        <f>IF($B5="","",IF($J5="X",B5,CONCATENATE(VLOOKUP(B5,Competitors!$A$2:$I$650,3,FALSE)," ",VLOOKUP(B5,Competitors!$A$2:$I$650,2,FALSE))))</f>
        <v>Lynne Wilkinson-Scofield (RFW)</v>
      </c>
      <c r="I5" s="51">
        <f t="shared" si="1"/>
        <v>0</v>
      </c>
      <c r="J5" t="str">
        <f t="shared" si="2"/>
        <v>X</v>
      </c>
    </row>
    <row r="6" spans="1:10" ht="15">
      <c r="A6" s="46" t="s">
        <v>771</v>
      </c>
      <c r="B6" s="47" t="str">
        <f t="shared" si="0"/>
        <v>Joseph Hyde (Numplumz)</v>
      </c>
      <c r="C6" s="59"/>
      <c r="D6" s="59">
        <v>27</v>
      </c>
      <c r="E6" s="59">
        <v>50</v>
      </c>
      <c r="F6" s="49" t="s">
        <v>544</v>
      </c>
      <c r="G6" s="59"/>
      <c r="H6" s="50" t="str">
        <f>IF($B6="","",IF($J6="X",B6,CONCATENATE(VLOOKUP(B6,Competitors!$A$2:$I$650,3,FALSE)," ",VLOOKUP(B6,Competitors!$A$2:$I$650,2,FALSE))))</f>
        <v>Joseph Hyde (Numplumz)</v>
      </c>
      <c r="I6" s="51">
        <f t="shared" si="1"/>
        <v>1.9328703703703702E-2</v>
      </c>
      <c r="J6" t="str">
        <f t="shared" si="2"/>
        <v>X</v>
      </c>
    </row>
    <row r="7" spans="1:10" ht="15">
      <c r="A7" s="46" t="s">
        <v>616</v>
      </c>
      <c r="B7" s="47">
        <f t="shared" si="0"/>
        <v>990</v>
      </c>
      <c r="C7" s="59"/>
      <c r="D7" s="59">
        <v>34</v>
      </c>
      <c r="E7" s="59">
        <v>50</v>
      </c>
      <c r="F7" s="65" t="s">
        <v>544</v>
      </c>
      <c r="G7" s="59"/>
      <c r="H7" s="50" t="str">
        <f>IF($B7="","",IF($J7="X",B7,CONCATENATE(VLOOKUP(B7,Competitors!$A$2:$I$650,3,FALSE)," ",VLOOKUP(B7,Competitors!$A$2:$I$650,2,FALSE))))</f>
        <v>Jen Hulme</v>
      </c>
      <c r="I7" s="51">
        <f t="shared" si="1"/>
        <v>2.4189814814814813E-2</v>
      </c>
      <c r="J7" t="str">
        <f t="shared" si="2"/>
        <v/>
      </c>
    </row>
    <row r="8" spans="1:10" ht="15">
      <c r="A8" s="46" t="s">
        <v>444</v>
      </c>
      <c r="B8" s="47">
        <f t="shared" si="0"/>
        <v>1386</v>
      </c>
      <c r="C8" s="59"/>
      <c r="D8" s="59">
        <v>30</v>
      </c>
      <c r="E8" s="59">
        <v>28</v>
      </c>
      <c r="F8" s="65" t="s">
        <v>544</v>
      </c>
      <c r="G8" s="59"/>
      <c r="H8" s="50" t="str">
        <f>IF($B8="","",IF($J8="X",B8,CONCATENATE(VLOOKUP(B8,Competitors!$A$2:$I$650,3,FALSE)," ",VLOOKUP(B8,Competitors!$A$2:$I$650,2,FALSE))))</f>
        <v>Mea Moore</v>
      </c>
      <c r="I8" s="51">
        <f t="shared" si="1"/>
        <v>2.1157407407407406E-2</v>
      </c>
      <c r="J8" t="str">
        <f t="shared" si="2"/>
        <v/>
      </c>
    </row>
    <row r="9" spans="1:10" ht="15">
      <c r="A9" s="46" t="s">
        <v>773</v>
      </c>
      <c r="B9" s="47" t="str">
        <f t="shared" si="0"/>
        <v>Peter Cowler (Wellingborough AC)</v>
      </c>
      <c r="C9" s="59"/>
      <c r="D9" s="59">
        <v>25</v>
      </c>
      <c r="E9" s="59">
        <v>33</v>
      </c>
      <c r="F9" s="65" t="s">
        <v>544</v>
      </c>
      <c r="G9" s="59"/>
      <c r="H9" s="50" t="str">
        <f>IF($B9="","",IF($J9="X",B9,CONCATENATE(VLOOKUP(B9,Competitors!$A$2:$I$650,3,FALSE)," ",VLOOKUP(B9,Competitors!$A$2:$I$650,2,FALSE))))</f>
        <v>Peter Cowler (Wellingborough AC)</v>
      </c>
      <c r="I9" s="51">
        <f t="shared" si="1"/>
        <v>1.7743055555555557E-2</v>
      </c>
      <c r="J9" t="str">
        <f t="shared" si="2"/>
        <v>X</v>
      </c>
    </row>
    <row r="10" spans="1:10" ht="15">
      <c r="A10" s="46" t="s">
        <v>410</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653</v>
      </c>
      <c r="B11" s="47" t="str">
        <f t="shared" si="0"/>
        <v>Brigitte Gaillard (Ratae)</v>
      </c>
      <c r="C11" s="59"/>
      <c r="D11" s="59">
        <v>32</v>
      </c>
      <c r="E11" s="59">
        <v>42</v>
      </c>
      <c r="F11" s="65" t="s">
        <v>544</v>
      </c>
      <c r="G11" s="59"/>
      <c r="H11" s="50" t="str">
        <f>IF($B11="","",IF($J11="X",B11,CONCATENATE(VLOOKUP(B11,Competitors!$A$2:$I$650,3,FALSE)," ",VLOOKUP(B11,Competitors!$A$2:$I$650,2,FALSE))))</f>
        <v>Brigitte Gaillard (Ratae)</v>
      </c>
      <c r="I11" s="51">
        <f t="shared" si="1"/>
        <v>2.2708333333333334E-2</v>
      </c>
      <c r="J11" t="str">
        <f t="shared" si="2"/>
        <v>X</v>
      </c>
    </row>
    <row r="12" spans="1:10" ht="15">
      <c r="A12" s="46" t="s">
        <v>780</v>
      </c>
      <c r="B12" s="47" t="str">
        <f t="shared" si="0"/>
        <v>Geoff Stanbridge (Fenland Clarion) (Ratae)</v>
      </c>
      <c r="C12" s="59"/>
      <c r="D12" s="59"/>
      <c r="E12" s="59"/>
      <c r="F12" s="65" t="s">
        <v>544</v>
      </c>
      <c r="G12" s="59" t="s">
        <v>553</v>
      </c>
      <c r="H12" s="50" t="str">
        <f>IF($B12="","",IF($J12="X",B12,CONCATENATE(VLOOKUP(B12,Competitors!$A$2:$I$650,3,FALSE)," ",VLOOKUP(B12,Competitors!$A$2:$I$650,2,FALSE))))</f>
        <v>Geoff Stanbridge (Fenland Clarion) (Ratae)</v>
      </c>
      <c r="I12" s="51">
        <f t="shared" si="1"/>
        <v>0</v>
      </c>
      <c r="J12" t="str">
        <f t="shared" si="2"/>
        <v>X</v>
      </c>
    </row>
    <row r="13" spans="1:10" ht="15">
      <c r="A13" s="46" t="s">
        <v>431</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459</v>
      </c>
      <c r="B14" s="47">
        <f t="shared" si="0"/>
        <v>742</v>
      </c>
      <c r="C14" s="59"/>
      <c r="D14" s="59">
        <v>36</v>
      </c>
      <c r="E14" s="59">
        <v>25</v>
      </c>
      <c r="F14" s="65" t="s">
        <v>544</v>
      </c>
      <c r="G14" s="59"/>
      <c r="H14" s="50" t="str">
        <f>IF($B14="","",IF($J14="X",B14,CONCATENATE(VLOOKUP(B14,Competitors!$A$2:$I$650,3,FALSE)," ",VLOOKUP(B14,Competitors!$A$2:$I$650,2,FALSE))))</f>
        <v>Claire Moore</v>
      </c>
      <c r="I14" s="51">
        <f t="shared" si="1"/>
        <v>2.5289351851851851E-2</v>
      </c>
      <c r="J14" t="str">
        <f t="shared" si="2"/>
        <v/>
      </c>
    </row>
    <row r="15" spans="1:10" ht="15">
      <c r="A15" s="46" t="s">
        <v>435</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451</v>
      </c>
      <c r="B16" s="47">
        <f t="shared" si="0"/>
        <v>1244</v>
      </c>
      <c r="C16" s="59"/>
      <c r="D16" s="59">
        <v>31</v>
      </c>
      <c r="E16" s="59">
        <v>29</v>
      </c>
      <c r="F16" s="65" t="s">
        <v>544</v>
      </c>
      <c r="G16" s="59"/>
      <c r="H16" s="50" t="str">
        <f>IF($B16="","",IF($J16="X",B16,CONCATENATE(VLOOKUP(B16,Competitors!$A$2:$I$650,3,FALSE)," ",VLOOKUP(B16,Competitors!$A$2:$I$650,2,FALSE))))</f>
        <v>Steven Latham</v>
      </c>
      <c r="I16" s="51">
        <f t="shared" si="1"/>
        <v>2.1863425925925925E-2</v>
      </c>
      <c r="J16" t="str">
        <f t="shared" si="2"/>
        <v/>
      </c>
    </row>
    <row r="17" spans="1:10" ht="15">
      <c r="A17" s="46" t="s">
        <v>501</v>
      </c>
      <c r="B17" s="47" t="str">
        <f t="shared" si="0"/>
        <v>Chris Bonsor (Ratae)</v>
      </c>
      <c r="C17" s="59"/>
      <c r="D17" s="59"/>
      <c r="E17" s="59"/>
      <c r="F17" s="65"/>
      <c r="G17" s="59" t="s">
        <v>553</v>
      </c>
      <c r="H17" s="50" t="str">
        <f>IF($B17="","",IF($J17="X",B17,CONCATENATE(VLOOKUP(B17,Competitors!$A$2:$I$650,3,FALSE)," ",VLOOKUP(B17,Competitors!$A$2:$I$650,2,FALSE))))</f>
        <v>Chris Bonsor (Ratae)</v>
      </c>
      <c r="I17" s="51">
        <f t="shared" si="1"/>
        <v>0</v>
      </c>
      <c r="J17" t="str">
        <f t="shared" si="2"/>
        <v>X</v>
      </c>
    </row>
    <row r="18" spans="1:10" ht="15">
      <c r="A18" s="46" t="s">
        <v>460</v>
      </c>
      <c r="B18" s="47">
        <f t="shared" si="0"/>
        <v>7</v>
      </c>
      <c r="C18" s="59"/>
      <c r="D18" s="59">
        <v>32</v>
      </c>
      <c r="E18" s="59">
        <v>26</v>
      </c>
      <c r="F18" s="65" t="s">
        <v>544</v>
      </c>
      <c r="G18" s="59"/>
      <c r="H18" s="50" t="str">
        <f>IF($B18="","",IF($J18="X",B18,CONCATENATE(VLOOKUP(B18,Competitors!$A$2:$I$650,3,FALSE)," ",VLOOKUP(B18,Competitors!$A$2:$I$650,2,FALSE))))</f>
        <v>Vic Barnett</v>
      </c>
      <c r="I18" s="51">
        <f t="shared" si="1"/>
        <v>2.252314814814815E-2</v>
      </c>
      <c r="J18" t="str">
        <f t="shared" si="2"/>
        <v/>
      </c>
    </row>
    <row r="19" spans="1:10" ht="15">
      <c r="A19" s="46" t="s">
        <v>446</v>
      </c>
      <c r="B19" s="47">
        <f t="shared" si="0"/>
        <v>1379</v>
      </c>
      <c r="C19" s="59"/>
      <c r="D19" s="59">
        <v>30</v>
      </c>
      <c r="E19" s="59">
        <v>44</v>
      </c>
      <c r="F19" s="65" t="s">
        <v>544</v>
      </c>
      <c r="G19" s="59"/>
      <c r="H19" s="50" t="str">
        <f>IF($B19="","",IF($J19="X",B19,CONCATENATE(VLOOKUP(B19,Competitors!$A$2:$I$650,3,FALSE)," ",VLOOKUP(B19,Competitors!$A$2:$I$650,2,FALSE))))</f>
        <v>Michaela Latham</v>
      </c>
      <c r="I19" s="51">
        <f t="shared" si="1"/>
        <v>2.1342592592592594E-2</v>
      </c>
      <c r="J19" t="str">
        <f t="shared" si="2"/>
        <v/>
      </c>
    </row>
    <row r="20" spans="1:10" ht="15">
      <c r="A20" s="46" t="s">
        <v>437</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458</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420</v>
      </c>
      <c r="B22" s="47">
        <f t="shared" si="0"/>
        <v>1192</v>
      </c>
      <c r="C22" s="59"/>
      <c r="D22" s="59"/>
      <c r="E22" s="59"/>
      <c r="F22" s="65"/>
      <c r="G22" s="59" t="s">
        <v>553</v>
      </c>
      <c r="H22" s="50" t="str">
        <f>IF($B22="","",IF($J22="X",B22,CONCATENATE(VLOOKUP(B22,Competitors!$A$2:$I$650,3,FALSE)," ",VLOOKUP(B22,Competitors!$A$2:$I$650,2,FALSE))))</f>
        <v>Dale Norris</v>
      </c>
      <c r="I22" s="51">
        <f t="shared" si="1"/>
        <v>0</v>
      </c>
      <c r="J22" t="str">
        <f t="shared" si="2"/>
        <v/>
      </c>
    </row>
    <row r="23" spans="1:10" ht="15">
      <c r="A23" s="46" t="s">
        <v>512</v>
      </c>
      <c r="B23" s="47" t="str">
        <f t="shared" si="0"/>
        <v>Paul Eden (Ratae)</v>
      </c>
      <c r="C23" s="59"/>
      <c r="D23" s="59">
        <v>33</v>
      </c>
      <c r="E23" s="59">
        <v>42</v>
      </c>
      <c r="F23" s="65" t="s">
        <v>544</v>
      </c>
      <c r="G23" s="59"/>
      <c r="H23" s="50" t="str">
        <f>IF($B23="","",IF($J23="X",B23,CONCATENATE(VLOOKUP(B23,Competitors!$A$2:$I$650,3,FALSE)," ",VLOOKUP(B23,Competitors!$A$2:$I$650,2,FALSE))))</f>
        <v>Paul Eden (Ratae)</v>
      </c>
      <c r="I23" s="51">
        <f t="shared" si="1"/>
        <v>2.3402777777777779E-2</v>
      </c>
      <c r="J23" t="str">
        <f t="shared" si="2"/>
        <v>X</v>
      </c>
    </row>
    <row r="24" spans="1:10" ht="15">
      <c r="A24" s="46" t="s">
        <v>775</v>
      </c>
      <c r="B24" s="47">
        <f t="shared" si="0"/>
        <v>1428</v>
      </c>
      <c r="C24" s="59"/>
      <c r="D24" s="59">
        <v>26</v>
      </c>
      <c r="E24" s="59">
        <v>10</v>
      </c>
      <c r="F24" s="65" t="s">
        <v>544</v>
      </c>
      <c r="G24" s="59"/>
      <c r="H24" s="50" t="str">
        <f>IF($B24="","",IF($J24="X",B24,CONCATENATE(VLOOKUP(B24,Competitors!$A$2:$I$650,3,FALSE)," ",VLOOKUP(B24,Competitors!$A$2:$I$650,2,FALSE))))</f>
        <v>Oliver Voice</v>
      </c>
      <c r="I24" s="51">
        <f t="shared" si="1"/>
        <v>1.8171296296296297E-2</v>
      </c>
      <c r="J24" t="str">
        <f t="shared" si="2"/>
        <v/>
      </c>
    </row>
    <row r="25" spans="1:10" ht="15">
      <c r="A25" s="46" t="s">
        <v>588</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479</v>
      </c>
      <c r="B26" s="47">
        <f t="shared" si="0"/>
        <v>1348</v>
      </c>
      <c r="C26" s="59"/>
      <c r="D26" s="59">
        <v>27</v>
      </c>
      <c r="E26" s="59">
        <v>25</v>
      </c>
      <c r="F26" s="65" t="s">
        <v>544</v>
      </c>
      <c r="G26" s="59"/>
      <c r="H26" s="50" t="str">
        <f>IF($B26="","",IF($J26="X",B26,CONCATENATE(VLOOKUP(B26,Competitors!$A$2:$I$650,3,FALSE)," ",VLOOKUP(B26,Competitors!$A$2:$I$650,2,FALSE))))</f>
        <v>Lydia Baxter</v>
      </c>
      <c r="I26" s="51">
        <f t="shared" si="1"/>
        <v>1.9039351851851852E-2</v>
      </c>
      <c r="J26" t="str">
        <f t="shared" si="2"/>
        <v/>
      </c>
    </row>
    <row r="27" spans="1:10" ht="15">
      <c r="A27" s="46" t="s">
        <v>776</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577</v>
      </c>
      <c r="B28" s="47">
        <f t="shared" si="0"/>
        <v>1048</v>
      </c>
      <c r="C28" s="59"/>
      <c r="D28" s="59">
        <v>31</v>
      </c>
      <c r="E28" s="59">
        <v>10</v>
      </c>
      <c r="F28" s="65" t="s">
        <v>544</v>
      </c>
      <c r="G28" s="59"/>
      <c r="H28" s="50" t="str">
        <f>IF($B28="","",IF($J28="X",B28,CONCATENATE(VLOOKUP(B28,Competitors!$A$2:$I$650,3,FALSE)," ",VLOOKUP(B28,Competitors!$A$2:$I$650,2,FALSE))))</f>
        <v>Andy Smith</v>
      </c>
      <c r="I28" s="51">
        <f t="shared" si="1"/>
        <v>2.1643518518518517E-2</v>
      </c>
      <c r="J28" t="str">
        <f t="shared" si="2"/>
        <v/>
      </c>
    </row>
    <row r="29" spans="1:10" ht="15">
      <c r="A29" s="46" t="s">
        <v>685</v>
      </c>
      <c r="B29" s="47" t="str">
        <f t="shared" si="0"/>
        <v>Steve Walsh (LFCC)</v>
      </c>
      <c r="C29" s="59"/>
      <c r="D29" s="59"/>
      <c r="E29" s="59"/>
      <c r="F29" s="65" t="s">
        <v>544</v>
      </c>
      <c r="G29" s="59" t="s">
        <v>553</v>
      </c>
      <c r="H29" s="50" t="str">
        <f>IF($B29="","",IF($J29="X",B29,CONCATENATE(VLOOKUP(B29,Competitors!$A$2:$I$650,3,FALSE)," ",VLOOKUP(B29,Competitors!$A$2:$I$650,2,FALSE))))</f>
        <v>Steve Walsh (LFCC)</v>
      </c>
      <c r="I29" s="51">
        <f t="shared" si="1"/>
        <v>0</v>
      </c>
      <c r="J29" t="str">
        <f t="shared" si="2"/>
        <v>X</v>
      </c>
    </row>
    <row r="30" spans="1:10" ht="15">
      <c r="A30" s="46" t="s">
        <v>777</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429</v>
      </c>
      <c r="B31" s="47">
        <f t="shared" si="0"/>
        <v>1107</v>
      </c>
      <c r="C31" s="59"/>
      <c r="D31" s="59">
        <v>28</v>
      </c>
      <c r="E31" s="59">
        <v>3</v>
      </c>
      <c r="F31" s="65" t="s">
        <v>544</v>
      </c>
      <c r="G31" s="59"/>
      <c r="H31" s="50" t="str">
        <f>IF($B31="","",IF($J31="X",B31,CONCATENATE(VLOOKUP(B31,Competitors!$A$2:$I$650,3,FALSE)," ",VLOOKUP(B31,Competitors!$A$2:$I$650,2,FALSE))))</f>
        <v>Milly Pinnock</v>
      </c>
      <c r="I31" s="51">
        <f t="shared" si="1"/>
        <v>1.9479166666666665E-2</v>
      </c>
      <c r="J31" t="str">
        <f t="shared" si="2"/>
        <v/>
      </c>
    </row>
    <row r="32" spans="1:10" ht="15">
      <c r="A32" s="46" t="s">
        <v>418</v>
      </c>
      <c r="B32" s="47">
        <f t="shared" si="0"/>
        <v>1355</v>
      </c>
      <c r="C32" s="59"/>
      <c r="D32" s="59">
        <v>25</v>
      </c>
      <c r="E32" s="59">
        <v>16</v>
      </c>
      <c r="F32" s="65" t="s">
        <v>544</v>
      </c>
      <c r="G32" s="59"/>
      <c r="H32" s="50" t="str">
        <f>IF($B32="","",IF($J32="X",B32,CONCATENATE(VLOOKUP(B32,Competitors!$A$2:$I$650,3,FALSE)," ",VLOOKUP(B32,Competitors!$A$2:$I$650,2,FALSE))))</f>
        <v>Aubrey Elmer</v>
      </c>
      <c r="I32" s="51">
        <f t="shared" si="1"/>
        <v>1.7546296296296296E-2</v>
      </c>
      <c r="J32" t="str">
        <f t="shared" si="2"/>
        <v/>
      </c>
    </row>
    <row r="33" spans="1:10" ht="15">
      <c r="A33" s="46" t="s">
        <v>447</v>
      </c>
      <c r="B33" s="47">
        <f t="shared" si="0"/>
        <v>1194</v>
      </c>
      <c r="C33" s="59"/>
      <c r="D33" s="59">
        <v>30</v>
      </c>
      <c r="E33" s="59">
        <v>55</v>
      </c>
      <c r="F33" s="49" t="s">
        <v>544</v>
      </c>
      <c r="G33" s="59"/>
      <c r="H33" s="50" t="str">
        <f>IF($B33="","",IF($J33="X",B33,CONCATENATE(VLOOKUP(B33,Competitors!$A$2:$I$650,3,FALSE)," ",VLOOKUP(B33,Competitors!$A$2:$I$650,2,FALSE))))</f>
        <v>Alex Hardwicke</v>
      </c>
      <c r="I33" s="51">
        <f t="shared" si="1"/>
        <v>2.1469907407407406E-2</v>
      </c>
      <c r="J33" t="str">
        <f t="shared" si="2"/>
        <v/>
      </c>
    </row>
    <row r="34" spans="1:10" ht="15">
      <c r="A34" s="46" t="s">
        <v>413</v>
      </c>
      <c r="B34" s="47">
        <f t="shared" ref="B34:B97" si="3">IF(A34="","",_xlfn.XLOOKUP(A34,ClubNames,ClubNumbers,_xlfn.XLOOKUP(A34,RoundRobinRiderNames,RoundRobinRiderDecoratedNames,A34)))</f>
        <v>989</v>
      </c>
      <c r="C34" s="59"/>
      <c r="D34" s="59">
        <v>24</v>
      </c>
      <c r="E34" s="59">
        <v>20</v>
      </c>
      <c r="F34" s="65" t="s">
        <v>544</v>
      </c>
      <c r="G34" s="59"/>
      <c r="H34" s="50" t="str">
        <f>IF($B34="","",IF($J34="X",B34,CONCATENATE(VLOOKUP(B34,Competitors!$A$2:$I$650,3,FALSE)," ",VLOOKUP(B34,Competitors!$A$2:$I$650,2,FALSE))))</f>
        <v>Jason Williams</v>
      </c>
      <c r="I34" s="51">
        <f t="shared" si="1"/>
        <v>1.6898148148148148E-2</v>
      </c>
      <c r="J34" t="str">
        <f t="shared" si="2"/>
        <v/>
      </c>
    </row>
    <row r="35" spans="1:10" ht="15">
      <c r="A35" s="46" t="s">
        <v>730</v>
      </c>
      <c r="B35" s="47" t="str">
        <f t="shared" si="3"/>
        <v>Eric Fullerton (LFCC)</v>
      </c>
      <c r="C35" s="59"/>
      <c r="D35" s="59">
        <v>31</v>
      </c>
      <c r="E35" s="59">
        <v>37</v>
      </c>
      <c r="F35" s="49" t="s">
        <v>544</v>
      </c>
      <c r="G35" s="59"/>
      <c r="H35" s="50" t="str">
        <f>IF($B35="","",IF($J35="X",B35,CONCATENATE(VLOOKUP(B35,Competitors!$A$2:$I$650,3,FALSE)," ",VLOOKUP(B35,Competitors!$A$2:$I$650,2,FALSE))))</f>
        <v>Eric Fullerton (LFCC)</v>
      </c>
      <c r="I35" s="51">
        <f t="shared" si="1"/>
        <v>2.1956018518518517E-2</v>
      </c>
      <c r="J35" t="str">
        <f t="shared" si="2"/>
        <v>X</v>
      </c>
    </row>
    <row r="36" spans="1:10" ht="15">
      <c r="A36" s="46" t="s">
        <v>421</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789</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618</v>
      </c>
      <c r="B38" s="47" t="str">
        <f t="shared" si="3"/>
        <v>Ian Bird (KCC)</v>
      </c>
      <c r="C38" s="59"/>
      <c r="D38" s="59">
        <v>29</v>
      </c>
      <c r="E38" s="59">
        <v>35</v>
      </c>
      <c r="F38" s="65" t="s">
        <v>544</v>
      </c>
      <c r="G38" s="59"/>
      <c r="H38" s="50" t="str">
        <f>IF($B38="","",IF($J38="X",B38,CONCATENATE(VLOOKUP(B38,Competitors!$A$2:$I$650,3,FALSE)," ",VLOOKUP(B38,Competitors!$A$2:$I$650,2,FALSE))))</f>
        <v>Ian Bird (KCC)</v>
      </c>
      <c r="I38" s="51">
        <f t="shared" si="1"/>
        <v>2.0543981481481483E-2</v>
      </c>
      <c r="J38" t="str">
        <f t="shared" si="2"/>
        <v>X</v>
      </c>
    </row>
    <row r="39" spans="1:10" ht="15">
      <c r="A39" s="46" t="s">
        <v>509</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422</v>
      </c>
      <c r="B40" s="47">
        <f t="shared" si="3"/>
        <v>1407</v>
      </c>
      <c r="C40" s="59"/>
      <c r="D40" s="59">
        <v>25</v>
      </c>
      <c r="E40" s="59">
        <v>52</v>
      </c>
      <c r="F40" s="49" t="s">
        <v>544</v>
      </c>
      <c r="G40" s="59"/>
      <c r="H40" s="50" t="str">
        <f>IF($B40="","",IF($J40="X",B40,CONCATENATE(VLOOKUP(B40,Competitors!$A$2:$I$650,3,FALSE)," ",VLOOKUP(B40,Competitors!$A$2:$I$650,2,FALSE))))</f>
        <v>Colin Dobson</v>
      </c>
      <c r="I40" s="51">
        <f t="shared" si="1"/>
        <v>1.7962962962962962E-2</v>
      </c>
      <c r="J40" t="str">
        <f t="shared" si="2"/>
        <v/>
      </c>
    </row>
    <row r="41" spans="1:10" ht="15">
      <c r="A41" s="46" t="s">
        <v>778</v>
      </c>
      <c r="B41" s="47" t="str">
        <f t="shared" si="3"/>
        <v>Sarah Hollis</v>
      </c>
      <c r="C41" s="59"/>
      <c r="D41" s="59">
        <v>30</v>
      </c>
      <c r="E41" s="59">
        <v>13</v>
      </c>
      <c r="F41" s="49" t="s">
        <v>544</v>
      </c>
      <c r="G41" s="59"/>
      <c r="H41" s="50" t="str">
        <f>IF($B41="","",IF($J41="X",B41,CONCATENATE(VLOOKUP(B41,Competitors!$A$2:$I$650,3,FALSE)," ",VLOOKUP(B41,Competitors!$A$2:$I$650,2,FALSE))))</f>
        <v>Sarah Hollis</v>
      </c>
      <c r="I41" s="51">
        <f t="shared" si="1"/>
        <v>2.0983796296296296E-2</v>
      </c>
      <c r="J41" t="str">
        <f t="shared" si="2"/>
        <v>X</v>
      </c>
    </row>
    <row r="42" spans="1:10" ht="15">
      <c r="A42" s="46" t="s">
        <v>628</v>
      </c>
      <c r="B42" s="47">
        <f t="shared" si="3"/>
        <v>1415</v>
      </c>
      <c r="C42" s="59"/>
      <c r="D42" s="59">
        <v>27</v>
      </c>
      <c r="E42" s="59">
        <v>45</v>
      </c>
      <c r="F42" s="49" t="s">
        <v>544</v>
      </c>
      <c r="G42" s="59"/>
      <c r="H42" s="50" t="str">
        <f>IF($B42="","",IF($J42="X",B42,CONCATENATE(VLOOKUP(B42,Competitors!$A$2:$I$650,3,FALSE)," ",VLOOKUP(B42,Competitors!$A$2:$I$650,2,FALSE))))</f>
        <v>James Aldridge</v>
      </c>
      <c r="I42" s="51">
        <f t="shared" si="1"/>
        <v>1.9270833333333334E-2</v>
      </c>
      <c r="J42" t="str">
        <f t="shared" si="2"/>
        <v/>
      </c>
    </row>
    <row r="43" spans="1:10" ht="15">
      <c r="A43" s="46" t="s">
        <v>779</v>
      </c>
      <c r="B43" s="47" t="str">
        <f t="shared" si="3"/>
        <v>Neil McDonald</v>
      </c>
      <c r="C43" s="59"/>
      <c r="D43" s="59">
        <v>30</v>
      </c>
      <c r="E43" s="59">
        <v>28</v>
      </c>
      <c r="F43" s="49" t="s">
        <v>544</v>
      </c>
      <c r="G43" s="59"/>
      <c r="H43" s="50" t="str">
        <f>IF($B43="","",IF($J43="X",B43,CONCATENATE(VLOOKUP(B43,Competitors!$A$2:$I$650,3,FALSE)," ",VLOOKUP(B43,Competitors!$A$2:$I$650,2,FALSE))))</f>
        <v>Neil McDonald</v>
      </c>
      <c r="I43" s="51">
        <f t="shared" si="1"/>
        <v>2.1157407407407406E-2</v>
      </c>
      <c r="J43" t="str">
        <f t="shared" si="2"/>
        <v>X</v>
      </c>
    </row>
    <row r="44" spans="1:10" ht="15">
      <c r="A44" s="46" t="s">
        <v>452</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488</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Event_22</v>
      </c>
    </row>
    <row r="104" spans="1:10">
      <c r="B104" t="s">
        <v>552</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 workbookViewId="1"/>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f t="shared" ref="B2:B33" si="0">IF(A2="","",_xlfn.XLOOKUP(A2,ClubNames,ClubNumbers,_xlfn.XLOOKUP(A2,RoundRobinRiderNames,RoundRobinRiderDecoratedNames,A2)))</f>
        <v>990</v>
      </c>
      <c r="C2" s="48"/>
      <c r="D2" s="49">
        <v>34</v>
      </c>
      <c r="E2" s="49">
        <v>51</v>
      </c>
      <c r="F2" s="49" t="s">
        <v>544</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514</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499</v>
      </c>
      <c r="B4" s="47" t="str">
        <f t="shared" si="0"/>
        <v>Alex Whitmore (Ratae)</v>
      </c>
      <c r="C4" s="48"/>
      <c r="D4" s="49">
        <v>23</v>
      </c>
      <c r="E4" s="49">
        <v>30</v>
      </c>
      <c r="F4" s="49" t="s">
        <v>544</v>
      </c>
      <c r="G4" s="49"/>
      <c r="H4" s="50" t="str">
        <f>IF($B4="","",IF($J4="X",B4,CONCATENATE(VLOOKUP(B4,Competitors!$A$2:$I$650,3,FALSE)," ",VLOOKUP(B4,Competitors!$A$2:$I$650,2,FALSE))))</f>
        <v>Alex Whitmore (Ratae)</v>
      </c>
      <c r="I4" s="51">
        <f t="shared" si="1"/>
        <v>1.6319444444444445E-2</v>
      </c>
      <c r="J4" t="str">
        <f t="shared" si="2"/>
        <v>X</v>
      </c>
    </row>
    <row r="5" spans="1:10" ht="15">
      <c r="A5" s="46" t="s">
        <v>730</v>
      </c>
      <c r="B5" s="47" t="str">
        <f t="shared" si="0"/>
        <v>Eric Fullerton (LFCC)</v>
      </c>
      <c r="C5" s="48"/>
      <c r="D5" s="49">
        <v>30</v>
      </c>
      <c r="E5" s="49">
        <v>44</v>
      </c>
      <c r="F5" s="49" t="s">
        <v>544</v>
      </c>
      <c r="G5" s="49"/>
      <c r="H5" s="50" t="str">
        <f>IF($B5="","",IF($J5="X",B5,CONCATENATE(VLOOKUP(B5,Competitors!$A$2:$I$650,3,FALSE)," ",VLOOKUP(B5,Competitors!$A$2:$I$650,2,FALSE))))</f>
        <v>Eric Fullerton (LFCC)</v>
      </c>
      <c r="I5" s="51">
        <f t="shared" si="1"/>
        <v>2.1342592592592594E-2</v>
      </c>
      <c r="J5" t="str">
        <f t="shared" si="2"/>
        <v>X</v>
      </c>
    </row>
    <row r="6" spans="1:10" ht="15">
      <c r="A6" s="46" t="s">
        <v>429</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782</v>
      </c>
      <c r="B7" s="47" t="str">
        <f t="shared" si="0"/>
        <v>Liv Bent</v>
      </c>
      <c r="C7" s="48"/>
      <c r="D7" s="49">
        <v>28</v>
      </c>
      <c r="E7" s="49">
        <v>7</v>
      </c>
      <c r="F7" s="49" t="s">
        <v>544</v>
      </c>
      <c r="G7" s="49"/>
      <c r="H7" s="50" t="str">
        <f>IF($B7="","",IF($J7="X",B7,CONCATENATE(VLOOKUP(B7,Competitors!$A$2:$I$650,3,FALSE)," ",VLOOKUP(B7,Competitors!$A$2:$I$650,2,FALSE))))</f>
        <v>Liv Bent</v>
      </c>
      <c r="I7" s="51">
        <f t="shared" si="1"/>
        <v>1.9525462962962963E-2</v>
      </c>
      <c r="J7" t="str">
        <f t="shared" si="2"/>
        <v>X</v>
      </c>
    </row>
    <row r="8" spans="1:10" ht="15">
      <c r="A8" s="46" t="s">
        <v>783</v>
      </c>
      <c r="B8" s="47" t="str">
        <f t="shared" si="0"/>
        <v>Matthew McNamee (LRC)</v>
      </c>
      <c r="C8" s="48"/>
      <c r="D8" s="49">
        <v>28</v>
      </c>
      <c r="E8" s="49">
        <v>39</v>
      </c>
      <c r="F8" s="49" t="s">
        <v>544</v>
      </c>
      <c r="G8" s="49"/>
      <c r="H8" s="50" t="str">
        <f>IF($B8="","",IF($J8="X",B8,CONCATENATE(VLOOKUP(B8,Competitors!$A$2:$I$650,3,FALSE)," ",VLOOKUP(B8,Competitors!$A$2:$I$650,2,FALSE))))</f>
        <v>Matthew McNamee (LRC)</v>
      </c>
      <c r="I8" s="51">
        <f t="shared" si="1"/>
        <v>1.9895833333333335E-2</v>
      </c>
      <c r="J8" t="str">
        <f t="shared" si="2"/>
        <v>X</v>
      </c>
    </row>
    <row r="9" spans="1:10" ht="15">
      <c r="A9" s="46" t="s">
        <v>784</v>
      </c>
      <c r="B9" s="47" t="str">
        <f t="shared" si="0"/>
        <v>Max Wren (MOCC)</v>
      </c>
      <c r="C9" s="48"/>
      <c r="D9" s="49">
        <v>25</v>
      </c>
      <c r="E9" s="49">
        <v>44</v>
      </c>
      <c r="F9" s="49" t="s">
        <v>544</v>
      </c>
      <c r="G9" s="49"/>
      <c r="H9" s="50" t="str">
        <f>IF($B9="","",IF($J9="X",B9,CONCATENATE(VLOOKUP(B9,Competitors!$A$2:$I$650,3,FALSE)," ",VLOOKUP(B9,Competitors!$A$2:$I$650,2,FALSE))))</f>
        <v>Max Wren (MOCC)</v>
      </c>
      <c r="I9" s="51">
        <f t="shared" si="1"/>
        <v>1.787037037037037E-2</v>
      </c>
      <c r="J9" t="str">
        <f t="shared" si="2"/>
        <v>X</v>
      </c>
    </row>
    <row r="10" spans="1:10" ht="15">
      <c r="A10" s="46" t="s">
        <v>579</v>
      </c>
      <c r="B10" s="47">
        <f t="shared" si="0"/>
        <v>1370</v>
      </c>
      <c r="C10" s="48"/>
      <c r="D10" s="49">
        <v>25</v>
      </c>
      <c r="E10" s="49">
        <v>34</v>
      </c>
      <c r="F10" s="49" t="s">
        <v>544</v>
      </c>
      <c r="G10" s="49"/>
      <c r="H10" s="50" t="str">
        <f>IF($B10="","",IF($J10="X",B10,CONCATENATE(VLOOKUP(B10,Competitors!$A$2:$I$650,3, FALSE)," ",VLOOKUP(B10,Competitors!$A$2:$I$650,2,FALSE))))</f>
        <v>Ian Aldridge</v>
      </c>
      <c r="I10" s="51">
        <f t="shared" si="1"/>
        <v>1.7754629629629631E-2</v>
      </c>
      <c r="J10" t="str">
        <f t="shared" si="2"/>
        <v/>
      </c>
    </row>
    <row r="11" spans="1:10" ht="15">
      <c r="A11" s="46" t="s">
        <v>422</v>
      </c>
      <c r="B11" s="47">
        <f t="shared" si="0"/>
        <v>1407</v>
      </c>
      <c r="C11" s="48"/>
      <c r="D11" s="49">
        <v>26</v>
      </c>
      <c r="E11" s="49">
        <v>11</v>
      </c>
      <c r="F11" s="49" t="s">
        <v>544</v>
      </c>
      <c r="G11" s="49"/>
      <c r="H11" s="50" t="str">
        <f>IF($B11="","",IF($J11="X",B11,CONCATENATE(VLOOKUP(B11,Competitors!$A$2:$I$650,3,FALSE)," ",VLOOKUP(B11,Competitors!$A$2:$I$650,2,FALSE))))</f>
        <v>Colin Dobson</v>
      </c>
      <c r="I11" s="51">
        <f t="shared" si="1"/>
        <v>1.818287037037037E-2</v>
      </c>
      <c r="J11" t="str">
        <f t="shared" si="2"/>
        <v/>
      </c>
    </row>
    <row r="12" spans="1:10" ht="15">
      <c r="A12" s="46" t="s">
        <v>785</v>
      </c>
      <c r="B12" s="47" t="str">
        <f t="shared" si="0"/>
        <v>Matt Law (LFCC)</v>
      </c>
      <c r="C12" s="48"/>
      <c r="D12" s="49">
        <v>26</v>
      </c>
      <c r="E12" s="49">
        <v>25</v>
      </c>
      <c r="F12" s="49" t="s">
        <v>544</v>
      </c>
      <c r="G12" s="49"/>
      <c r="H12" s="50" t="str">
        <f>IF($B12="","",IF($J12="X",B12,CONCATENATE(VLOOKUP(B12,Competitors!$A$2:$I$650,3,FALSE)," ",VLOOKUP(B12,Competitors!$A$2:$I$650,2,FALSE))))</f>
        <v>Matt Law (LFCC)</v>
      </c>
      <c r="I12" s="51">
        <f t="shared" si="1"/>
        <v>1.8344907407407407E-2</v>
      </c>
      <c r="J12" t="str">
        <f t="shared" si="2"/>
        <v>X</v>
      </c>
    </row>
    <row r="13" spans="1:10" ht="15">
      <c r="A13" s="46" t="s">
        <v>412</v>
      </c>
      <c r="B13" s="47">
        <f t="shared" si="0"/>
        <v>1144</v>
      </c>
      <c r="C13" s="48"/>
      <c r="D13" s="49">
        <v>24</v>
      </c>
      <c r="E13" s="49">
        <v>1</v>
      </c>
      <c r="F13" s="49" t="s">
        <v>544</v>
      </c>
      <c r="G13" s="49"/>
      <c r="H13" s="50" t="str">
        <f>IF($B13="","",IF($J13="X",B13,CONCATENATE(VLOOKUP(B13,Competitors!$A$2:$I$650,3,FALSE)," ",VLOOKUP(B13,Competitors!$A$2:$I$650,2,FALSE))))</f>
        <v>Jamie Kershaw</v>
      </c>
      <c r="I13" s="51">
        <f t="shared" si="1"/>
        <v>1.667824074074074E-2</v>
      </c>
      <c r="J13" t="str">
        <f t="shared" si="2"/>
        <v/>
      </c>
    </row>
    <row r="14" spans="1:10" ht="15">
      <c r="A14" s="46" t="s">
        <v>629</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631</v>
      </c>
      <c r="B15" s="47" t="str">
        <f t="shared" si="0"/>
        <v>Simon Jones (LFCC)</v>
      </c>
      <c r="C15" s="48"/>
      <c r="D15" s="49">
        <v>29</v>
      </c>
      <c r="E15" s="49">
        <v>45</v>
      </c>
      <c r="F15" s="49" t="s">
        <v>544</v>
      </c>
      <c r="G15" s="49"/>
      <c r="H15" s="50" t="str">
        <f>IF($B15="","",IF($J15="X",B15,CONCATENATE(VLOOKUP(B15,Competitors!$A$2:$I$650,3,FALSE)," ",VLOOKUP(B15,Competitors!$A$2:$I$650,2,FALSE))))</f>
        <v>Simon Jones (LFCC)</v>
      </c>
      <c r="I15" s="51">
        <f t="shared" si="1"/>
        <v>2.0659722222222222E-2</v>
      </c>
      <c r="J15" t="str">
        <f t="shared" si="2"/>
        <v>X</v>
      </c>
    </row>
    <row r="16" spans="1:10" ht="15">
      <c r="A16" s="46" t="s">
        <v>715</v>
      </c>
      <c r="B16" s="47" t="str">
        <f t="shared" si="0"/>
        <v>Josh Jones (LFCC)</v>
      </c>
      <c r="C16" s="48"/>
      <c r="D16" s="49">
        <v>28</v>
      </c>
      <c r="E16" s="49">
        <v>43</v>
      </c>
      <c r="F16" s="49" t="s">
        <v>544</v>
      </c>
      <c r="G16" s="49"/>
      <c r="H16" s="50" t="str">
        <f>IF($B16="","",IF($J16="X",B16,CONCATENATE(VLOOKUP(B16,Competitors!$A$2:$I$650,3,FALSE)," ",VLOOKUP(B16,Competitors!$A$2:$I$650,2,FALSE))))</f>
        <v>Josh Jones (LFCC)</v>
      </c>
      <c r="I16" s="51">
        <f t="shared" si="1"/>
        <v>1.9942129629629629E-2</v>
      </c>
      <c r="J16" t="str">
        <f t="shared" si="2"/>
        <v>X</v>
      </c>
    </row>
    <row r="17" spans="1:10" ht="15">
      <c r="A17" s="46" t="s">
        <v>510</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592</v>
      </c>
      <c r="B18" s="47">
        <f t="shared" si="0"/>
        <v>1390</v>
      </c>
      <c r="C18" s="48"/>
      <c r="D18" s="49">
        <v>25</v>
      </c>
      <c r="E18" s="49">
        <v>26</v>
      </c>
      <c r="F18" s="49" t="s">
        <v>544</v>
      </c>
      <c r="G18" s="49"/>
      <c r="H18" s="50" t="str">
        <f>IF($B18="","",IF($J18="X",B18,CONCATENATE(VLOOKUP(B18,Competitors!$A$2:$I$650,3,FALSE)," ",VLOOKUP(B18,Competitors!$A$2:$I$650,2,FALSE))))</f>
        <v>Diego Patteri</v>
      </c>
      <c r="I18" s="51">
        <f t="shared" si="1"/>
        <v>1.7662037037037039E-2</v>
      </c>
      <c r="J18" t="str">
        <f t="shared" si="2"/>
        <v/>
      </c>
    </row>
    <row r="19" spans="1:10" ht="15">
      <c r="A19" s="46" t="s">
        <v>492</v>
      </c>
      <c r="B19" s="47" t="str">
        <f t="shared" si="0"/>
        <v>Chris Booth (MOCC)</v>
      </c>
      <c r="C19" s="48"/>
      <c r="D19" s="49">
        <v>25</v>
      </c>
      <c r="E19" s="49">
        <v>37</v>
      </c>
      <c r="F19" s="49" t="s">
        <v>544</v>
      </c>
      <c r="G19" s="49"/>
      <c r="H19" s="50" t="str">
        <f>IF($B19="","",IF($J19="X",B19,CONCATENATE(VLOOKUP(B19,Competitors!$A$2:$I$650,3,FALSE)," ",VLOOKUP(B19,Competitors!$A$2:$I$650,2,FALSE))))</f>
        <v>Chris Booth (MOCC)</v>
      </c>
      <c r="I19" s="51">
        <f t="shared" si="1"/>
        <v>1.7789351851851851E-2</v>
      </c>
      <c r="J19" t="str">
        <f t="shared" si="2"/>
        <v>X</v>
      </c>
    </row>
    <row r="20" spans="1:10" ht="15">
      <c r="A20" s="46" t="s">
        <v>486</v>
      </c>
      <c r="B20" s="47" t="str">
        <f t="shared" si="0"/>
        <v>Matt Finch (LFCC)</v>
      </c>
      <c r="C20" s="48"/>
      <c r="D20" s="49">
        <v>30</v>
      </c>
      <c r="E20" s="49">
        <v>16</v>
      </c>
      <c r="F20" s="49" t="s">
        <v>544</v>
      </c>
      <c r="G20" s="49"/>
      <c r="H20" s="50" t="str">
        <f>IF($B20="","",IF($J20="X",B20,CONCATENATE(VLOOKUP(B20,Competitors!$A$2:$I$650,3,FALSE)," ",VLOOKUP(B20,Competitors!$A$2:$I$650,2,FALSE))))</f>
        <v>Matt Finch (LFCC)</v>
      </c>
      <c r="I20" s="51">
        <f t="shared" si="1"/>
        <v>2.101851851851852E-2</v>
      </c>
      <c r="J20" t="str">
        <f t="shared" si="2"/>
        <v>X</v>
      </c>
    </row>
    <row r="21" spans="1:10" ht="15">
      <c r="A21" s="46" t="s">
        <v>451</v>
      </c>
      <c r="B21" s="47">
        <f t="shared" si="0"/>
        <v>1244</v>
      </c>
      <c r="C21" s="48"/>
      <c r="D21" s="49">
        <v>30</v>
      </c>
      <c r="E21" s="49">
        <v>31</v>
      </c>
      <c r="F21" s="49" t="s">
        <v>544</v>
      </c>
      <c r="G21" s="49"/>
      <c r="H21" s="50" t="str">
        <f>IF($B21="","",IF($J21="X",B21,CONCATENATE(VLOOKUP(B21,Competitors!$A$2:$I$650,3,FALSE)," ",VLOOKUP(B21,Competitors!$A$2:$I$650,2,FALSE))))</f>
        <v>Steven Latham</v>
      </c>
      <c r="I21" s="51">
        <f t="shared" si="1"/>
        <v>2.119212962962963E-2</v>
      </c>
      <c r="J21" t="str">
        <f t="shared" si="2"/>
        <v/>
      </c>
    </row>
    <row r="22" spans="1:10" ht="15">
      <c r="A22" s="46" t="s">
        <v>446</v>
      </c>
      <c r="B22" s="47">
        <f t="shared" si="0"/>
        <v>1379</v>
      </c>
      <c r="C22" s="48"/>
      <c r="D22" s="49">
        <v>29</v>
      </c>
      <c r="E22" s="49">
        <v>51</v>
      </c>
      <c r="F22" s="49" t="s">
        <v>544</v>
      </c>
      <c r="G22" s="49"/>
      <c r="H22" s="50" t="str">
        <f>IF($B22="","",IF($J22="X",B22,CONCATENATE(VLOOKUP(B22,Competitors!$A$2:$I$650,3,FALSE)," ",VLOOKUP(B22,Competitors!$A$2:$I$650,2,FALSE))))</f>
        <v>Michaela Latham</v>
      </c>
      <c r="I22" s="51">
        <f t="shared" si="1"/>
        <v>2.0729166666666667E-2</v>
      </c>
      <c r="J22" t="str">
        <f t="shared" si="2"/>
        <v/>
      </c>
    </row>
    <row r="23" spans="1:10" ht="15">
      <c r="A23" s="46" t="s">
        <v>501</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614</v>
      </c>
      <c r="B24" s="47">
        <f t="shared" si="0"/>
        <v>1391</v>
      </c>
      <c r="C24" s="48"/>
      <c r="D24" s="49">
        <v>25</v>
      </c>
      <c r="E24" s="49">
        <v>4</v>
      </c>
      <c r="F24" s="49" t="s">
        <v>544</v>
      </c>
      <c r="G24" s="49"/>
      <c r="H24" s="50" t="str">
        <f>IF($B24="","",IF($J24="X",B24,CONCATENATE(VLOOKUP(B24,Competitors!$A$2:$I$650,3,FALSE)," ",VLOOKUP(B24,Competitors!$A$2:$I$650,2,FALSE))))</f>
        <v>Leah Cuthbertson</v>
      </c>
      <c r="I24" s="51">
        <f t="shared" si="1"/>
        <v>1.7407407407407406E-2</v>
      </c>
      <c r="J24" t="str">
        <f t="shared" si="2"/>
        <v/>
      </c>
    </row>
    <row r="25" spans="1:10" ht="15">
      <c r="A25" s="46" t="s">
        <v>421</v>
      </c>
      <c r="B25" s="47">
        <f t="shared" si="0"/>
        <v>415</v>
      </c>
      <c r="C25" s="48"/>
      <c r="D25" s="49">
        <v>26</v>
      </c>
      <c r="E25" s="49">
        <v>29</v>
      </c>
      <c r="F25" s="49" t="s">
        <v>544</v>
      </c>
      <c r="G25" s="49"/>
      <c r="H25" s="50" t="str">
        <f>IF($B25="","",IF($J25="X",B25,CONCATENATE(VLOOKUP(B25,Competitors!$A$2:$I$650,3,FALSE)," ",VLOOKUP(B25,Competitors!$A$2:$I$650,2,FALSE))))</f>
        <v>Nik Kershaw</v>
      </c>
      <c r="I25" s="51">
        <f t="shared" si="1"/>
        <v>1.8391203703703705E-2</v>
      </c>
      <c r="J25" t="str">
        <f t="shared" si="2"/>
        <v/>
      </c>
    </row>
    <row r="26" spans="1:10" ht="15">
      <c r="A26" s="46" t="s">
        <v>786</v>
      </c>
      <c r="B26" s="47" t="str">
        <f t="shared" si="0"/>
        <v>Daniel Town (Beeston CC)</v>
      </c>
      <c r="C26" s="48"/>
      <c r="D26" s="49">
        <v>24</v>
      </c>
      <c r="E26" s="49">
        <v>2</v>
      </c>
      <c r="F26" s="49" t="s">
        <v>544</v>
      </c>
      <c r="G26" s="49"/>
      <c r="H26" s="50" t="str">
        <f>IF($B26="","",IF($J26="X",B26,CONCATENATE(VLOOKUP(B26,Competitors!$A$2:$I$650,3,FALSE)," ",VLOOKUP(B26,Competitors!$A$2:$I$650,2,FALSE))))</f>
        <v>Daniel Town (Beeston CC)</v>
      </c>
      <c r="I26" s="51">
        <f t="shared" si="1"/>
        <v>1.6689814814814814E-2</v>
      </c>
      <c r="J26" t="str">
        <f t="shared" si="2"/>
        <v>X</v>
      </c>
    </row>
    <row r="27" spans="1:10" ht="15">
      <c r="A27" s="46" t="s">
        <v>469</v>
      </c>
      <c r="B27" s="47">
        <f t="shared" si="0"/>
        <v>1288</v>
      </c>
      <c r="C27" s="48"/>
      <c r="D27" s="49">
        <v>24</v>
      </c>
      <c r="E27" s="49">
        <v>17</v>
      </c>
      <c r="F27" s="49" t="s">
        <v>544</v>
      </c>
      <c r="G27" s="49"/>
      <c r="H27" s="50" t="str">
        <f>IF($B27="","",IF($J27="X",B27,CONCATENATE(VLOOKUP(B27,Competitors!$A$2:$I$650,3,FALSE)," ",VLOOKUP(B27,Competitors!$A$2:$I$650,2,FALSE))))</f>
        <v>Tyler Dyson</v>
      </c>
      <c r="I27" s="51">
        <f t="shared" si="1"/>
        <v>1.6863425925925928E-2</v>
      </c>
      <c r="J27" t="str">
        <f t="shared" si="2"/>
        <v/>
      </c>
    </row>
    <row r="28" spans="1:10" ht="15">
      <c r="A28" s="46" t="s">
        <v>787</v>
      </c>
      <c r="B28" s="47" t="str">
        <f t="shared" si="0"/>
        <v>Harriet Hughes (Beeston CC) (LFCC)</v>
      </c>
      <c r="C28" s="48"/>
      <c r="D28" s="49">
        <v>29</v>
      </c>
      <c r="E28" s="49">
        <v>26</v>
      </c>
      <c r="F28" s="49" t="s">
        <v>544</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435</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789</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413</v>
      </c>
      <c r="B31" s="47">
        <f t="shared" si="0"/>
        <v>989</v>
      </c>
      <c r="C31" s="48"/>
      <c r="D31" s="49">
        <v>25</v>
      </c>
      <c r="E31" s="49">
        <v>1</v>
      </c>
      <c r="F31" s="49" t="s">
        <v>544</v>
      </c>
      <c r="G31" s="49"/>
      <c r="H31" s="50" t="str">
        <f>IF($B31="","",IF($J31="X",B31,CONCATENATE(VLOOKUP(B31,Competitors!$A$2:$I$650,3,FALSE)," ",VLOOKUP(B31,Competitors!$A$2:$I$650,2,FALSE))))</f>
        <v>Jason Williams</v>
      </c>
      <c r="I31" s="51">
        <f t="shared" si="1"/>
        <v>1.7372685185185185E-2</v>
      </c>
      <c r="J31" t="str">
        <f t="shared" si="2"/>
        <v/>
      </c>
    </row>
    <row r="32" spans="1:10" ht="15">
      <c r="A32" s="46" t="s">
        <v>488</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414</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420</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Event_23</v>
      </c>
    </row>
    <row r="104" spans="1:10">
      <c r="B104" t="s">
        <v>552</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 workbookViewId="1"/>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628</v>
      </c>
      <c r="B2" s="47">
        <f t="shared" ref="B2:B33" si="0">IF(A2="","",_xlfn.XLOOKUP(A2,ClubNames,ClubNumbers,_xlfn.XLOOKUP(A2,RoundRobinRiderNames,RoundRobinRiderDecoratedNames,A2)))</f>
        <v>1415</v>
      </c>
      <c r="C2" s="48"/>
      <c r="D2" s="49">
        <v>27</v>
      </c>
      <c r="E2" s="49">
        <v>54</v>
      </c>
      <c r="F2" s="49" t="s">
        <v>544</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444</v>
      </c>
      <c r="B3" s="47">
        <f t="shared" si="0"/>
        <v>1386</v>
      </c>
      <c r="C3" s="48"/>
      <c r="D3" s="49">
        <v>30</v>
      </c>
      <c r="E3" s="49">
        <v>8</v>
      </c>
      <c r="F3" s="49" t="s">
        <v>544</v>
      </c>
      <c r="G3" s="49"/>
      <c r="H3" s="50" t="str">
        <f>IF($B3="","",IF($J3="X",B3,CONCATENATE(VLOOKUP(B3,Competitors!$A$2:$I$650,3,FALSE)," ",VLOOKUP(B3,Competitors!$A$2:$I$650,2,FALSE))))</f>
        <v>Mea Moore</v>
      </c>
      <c r="I3" s="51">
        <f t="shared" si="1"/>
        <v>2.0925925925925924E-2</v>
      </c>
      <c r="J3" t="str">
        <f t="shared" si="2"/>
        <v/>
      </c>
    </row>
    <row r="4" spans="1:10" ht="15">
      <c r="A4" s="46" t="s">
        <v>459</v>
      </c>
      <c r="B4" s="47">
        <f t="shared" si="0"/>
        <v>742</v>
      </c>
      <c r="C4" s="48"/>
      <c r="D4" s="49">
        <v>34</v>
      </c>
      <c r="E4" s="49">
        <v>53</v>
      </c>
      <c r="F4" s="49" t="s">
        <v>544</v>
      </c>
      <c r="G4" s="49"/>
      <c r="H4" s="50" t="str">
        <f>IF($B4="","",IF($J4="X",B4,CONCATENATE(VLOOKUP(B4,Competitors!$A$2:$I$650,3,FALSE)," ",VLOOKUP(B4,Competitors!$A$2:$I$650,2,FALSE))))</f>
        <v>Claire Moore</v>
      </c>
      <c r="I4" s="51">
        <f t="shared" si="1"/>
        <v>2.4224537037037037E-2</v>
      </c>
      <c r="J4" t="str">
        <f t="shared" si="2"/>
        <v/>
      </c>
    </row>
    <row r="5" spans="1:10" ht="15">
      <c r="A5" s="46" t="s">
        <v>579</v>
      </c>
      <c r="B5" s="47">
        <f t="shared" si="0"/>
        <v>1370</v>
      </c>
      <c r="C5" s="48"/>
      <c r="D5" s="49">
        <v>25</v>
      </c>
      <c r="E5" s="49">
        <v>29</v>
      </c>
      <c r="F5" s="49" t="s">
        <v>544</v>
      </c>
      <c r="G5" s="49"/>
      <c r="H5" s="50" t="str">
        <f>IF($B5="","",IF($J5="X",B5,CONCATENATE(VLOOKUP(B5,Competitors!$A$2:$I$650,3,FALSE)," ",VLOOKUP(B5,Competitors!$A$2:$I$650,2,FALSE))))</f>
        <v>Ian Aldridge</v>
      </c>
      <c r="I5" s="51">
        <f t="shared" si="1"/>
        <v>1.7696759259259259E-2</v>
      </c>
      <c r="J5" t="str">
        <f t="shared" si="2"/>
        <v/>
      </c>
    </row>
    <row r="6" spans="1:10" ht="15">
      <c r="A6" s="46" t="s">
        <v>616</v>
      </c>
      <c r="B6" s="47">
        <f t="shared" si="0"/>
        <v>990</v>
      </c>
      <c r="C6" s="48"/>
      <c r="D6" s="49">
        <v>34</v>
      </c>
      <c r="E6" s="49">
        <v>50</v>
      </c>
      <c r="F6" s="49" t="s">
        <v>544</v>
      </c>
      <c r="G6" s="49"/>
      <c r="H6" s="50" t="str">
        <f>IF($B6="","",IF($J6="X",B6,CONCATENATE(VLOOKUP(B6,Competitors!$A$2:$I$650,3,FALSE)," ",VLOOKUP(B6,Competitors!$A$2:$I$650,2,FALSE))))</f>
        <v>Jen Hulme</v>
      </c>
      <c r="I6" s="51">
        <f t="shared" si="1"/>
        <v>2.4189814814814813E-2</v>
      </c>
      <c r="J6" t="str">
        <f t="shared" si="2"/>
        <v/>
      </c>
    </row>
    <row r="7" spans="1:10" ht="15">
      <c r="A7" s="46" t="s">
        <v>793</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730</v>
      </c>
      <c r="B8" s="47" t="str">
        <f t="shared" si="0"/>
        <v>Eric Fullerton (LFCC)</v>
      </c>
      <c r="C8" s="48"/>
      <c r="D8" s="49">
        <v>31</v>
      </c>
      <c r="E8" s="49">
        <v>32</v>
      </c>
      <c r="F8" s="49" t="s">
        <v>544</v>
      </c>
      <c r="G8" s="49"/>
      <c r="H8" s="50" t="str">
        <f>IF($B8="","",IF($J8="X",B8,CONCATENATE(VLOOKUP(B8,Competitors!$A$2:$I$650,3,FALSE)," ",VLOOKUP(B8,Competitors!$A$2:$I$650,2,FALSE))))</f>
        <v>Eric Fullerton (LFCC)</v>
      </c>
      <c r="I8" s="51">
        <f t="shared" si="1"/>
        <v>2.1898148148148149E-2</v>
      </c>
      <c r="J8" t="str">
        <f t="shared" si="2"/>
        <v>X</v>
      </c>
    </row>
    <row r="9" spans="1:10" ht="15">
      <c r="A9" s="46" t="s">
        <v>451</v>
      </c>
      <c r="B9" s="47">
        <f t="shared" si="0"/>
        <v>1244</v>
      </c>
      <c r="C9" s="48"/>
      <c r="D9" s="49"/>
      <c r="E9" s="49"/>
      <c r="F9" s="49" t="s">
        <v>544</v>
      </c>
      <c r="G9" s="49" t="s">
        <v>553</v>
      </c>
      <c r="H9" s="50" t="str">
        <f>IF($B9="","",IF($J9="X",B9,CONCATENATE(VLOOKUP(B9,Competitors!$A$2:$I$650,3,FALSE)," ",VLOOKUP(B9,Competitors!$A$2:$I$650,2,FALSE))))</f>
        <v>Steven Latham</v>
      </c>
      <c r="I9" s="51">
        <f t="shared" si="1"/>
        <v>0</v>
      </c>
      <c r="J9" t="str">
        <f t="shared" si="2"/>
        <v/>
      </c>
    </row>
    <row r="10" spans="1:10" ht="15">
      <c r="A10" s="46" t="s">
        <v>446</v>
      </c>
      <c r="B10" s="47">
        <f t="shared" si="0"/>
        <v>1379</v>
      </c>
      <c r="C10" s="48"/>
      <c r="D10" s="49"/>
      <c r="E10" s="49"/>
      <c r="F10" s="49" t="s">
        <v>544</v>
      </c>
      <c r="G10" s="49" t="s">
        <v>553</v>
      </c>
      <c r="H10" s="50" t="str">
        <f>IF($B10="","",IF($J10="X",B10,CONCATENATE(VLOOKUP(B10,Competitors!$A$2:$I$650,3, FALSE)," ",VLOOKUP(B10,Competitors!$A$2:$I$650,2,FALSE))))</f>
        <v>Michaela Latham</v>
      </c>
      <c r="I10" s="51">
        <f t="shared" si="1"/>
        <v>0</v>
      </c>
      <c r="J10" t="str">
        <f t="shared" si="2"/>
        <v/>
      </c>
    </row>
    <row r="11" spans="1:10" ht="15">
      <c r="A11" s="46" t="s">
        <v>685</v>
      </c>
      <c r="B11" s="47" t="str">
        <f t="shared" si="0"/>
        <v>Steve Walsh (LFCC)</v>
      </c>
      <c r="C11" s="48"/>
      <c r="D11" s="49">
        <v>30</v>
      </c>
      <c r="E11" s="49">
        <v>27</v>
      </c>
      <c r="F11" s="49" t="s">
        <v>544</v>
      </c>
      <c r="G11" s="49"/>
      <c r="H11" s="50" t="str">
        <f>IF($B11="","",IF($J11="X",B11,CONCATENATE(VLOOKUP(B11,Competitors!$A$2:$I$650,3,FALSE)," ",VLOOKUP(B11,Competitors!$A$2:$I$650,2,FALSE))))</f>
        <v>Steve Walsh (LFCC)</v>
      </c>
      <c r="I11" s="51">
        <f t="shared" si="1"/>
        <v>2.1145833333333332E-2</v>
      </c>
      <c r="J11" t="str">
        <f t="shared" si="2"/>
        <v>X</v>
      </c>
    </row>
    <row r="12" spans="1:10" ht="15">
      <c r="A12" s="46" t="s">
        <v>618</v>
      </c>
      <c r="B12" s="47" t="str">
        <f t="shared" si="0"/>
        <v>Ian Bird (KCC)</v>
      </c>
      <c r="C12" s="48"/>
      <c r="D12" s="49">
        <v>30</v>
      </c>
      <c r="E12" s="49">
        <v>17</v>
      </c>
      <c r="F12" s="49" t="s">
        <v>544</v>
      </c>
      <c r="G12" s="49"/>
      <c r="H12" s="50" t="str">
        <f>IF($B12="","",IF($J12="X",B12,CONCATENATE(VLOOKUP(B12,Competitors!$A$2:$I$650,3,FALSE)," ",VLOOKUP(B12,Competitors!$A$2:$I$650,2,FALSE))))</f>
        <v>Ian Bird (KCC)</v>
      </c>
      <c r="I12" s="51">
        <f t="shared" si="1"/>
        <v>2.1030092592592593E-2</v>
      </c>
      <c r="J12" t="str">
        <f t="shared" si="2"/>
        <v>X</v>
      </c>
    </row>
    <row r="13" spans="1:10" ht="15">
      <c r="A13" s="46" t="s">
        <v>526</v>
      </c>
      <c r="B13" s="47" t="str">
        <f t="shared" si="0"/>
        <v>Paul Ryan (RFW)</v>
      </c>
      <c r="C13" s="48"/>
      <c r="D13" s="49">
        <v>31</v>
      </c>
      <c r="E13" s="49">
        <v>22</v>
      </c>
      <c r="F13" s="49" t="s">
        <v>544</v>
      </c>
      <c r="G13" s="49"/>
      <c r="H13" s="50" t="str">
        <f>IF($B13="","",IF($J13="X",B13,CONCATENATE(VLOOKUP(B13,Competitors!$A$2:$I$650,3,FALSE)," ",VLOOKUP(B13,Competitors!$A$2:$I$650,2,FALSE))))</f>
        <v>Paul Ryan (RFW)</v>
      </c>
      <c r="I13" s="51">
        <f t="shared" si="1"/>
        <v>2.1782407407407407E-2</v>
      </c>
      <c r="J13" t="str">
        <f t="shared" si="2"/>
        <v>X</v>
      </c>
    </row>
    <row r="14" spans="1:10" ht="15">
      <c r="A14" s="46" t="s">
        <v>430</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746</v>
      </c>
      <c r="B15" s="47">
        <f t="shared" si="0"/>
        <v>1357</v>
      </c>
      <c r="C15" s="48"/>
      <c r="D15" s="49">
        <v>28</v>
      </c>
      <c r="E15" s="49">
        <v>53</v>
      </c>
      <c r="F15" s="49" t="s">
        <v>544</v>
      </c>
      <c r="G15" s="49"/>
      <c r="H15" s="50" t="str">
        <f>IF($B15="","",IF($J15="X",B15,CONCATENATE(VLOOKUP(B15,Competitors!$A$2:$I$650,3,FALSE)," ",VLOOKUP(B15,Competitors!$A$2:$I$650,2,FALSE))))</f>
        <v>Ian Parker</v>
      </c>
      <c r="I15" s="51">
        <f t="shared" si="1"/>
        <v>2.0057870370370372E-2</v>
      </c>
      <c r="J15" t="str">
        <f t="shared" si="2"/>
        <v/>
      </c>
    </row>
    <row r="16" spans="1:10" ht="15">
      <c r="A16" s="46" t="s">
        <v>775</v>
      </c>
      <c r="B16" s="47">
        <f t="shared" si="0"/>
        <v>1428</v>
      </c>
      <c r="C16" s="48"/>
      <c r="D16" s="49">
        <v>26</v>
      </c>
      <c r="E16" s="49">
        <v>36</v>
      </c>
      <c r="F16" s="49" t="s">
        <v>544</v>
      </c>
      <c r="G16" s="49"/>
      <c r="H16" s="50" t="str">
        <f>IF($B16="","",IF($J16="X",B16,CONCATENATE(VLOOKUP(B16,Competitors!$A$2:$I$650,3,FALSE)," ",VLOOKUP(B16,Competitors!$A$2:$I$650,2,FALSE))))</f>
        <v>Oliver Voice</v>
      </c>
      <c r="I16" s="51">
        <f t="shared" si="1"/>
        <v>1.8472222222222223E-2</v>
      </c>
      <c r="J16" t="str">
        <f t="shared" si="2"/>
        <v/>
      </c>
    </row>
    <row r="17" spans="1:10" ht="15">
      <c r="A17" s="46" t="s">
        <v>520</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422</v>
      </c>
      <c r="B18" s="47">
        <f t="shared" si="0"/>
        <v>1407</v>
      </c>
      <c r="C18" s="48"/>
      <c r="D18" s="49">
        <v>26</v>
      </c>
      <c r="E18" s="49">
        <v>53</v>
      </c>
      <c r="F18" s="49" t="s">
        <v>544</v>
      </c>
      <c r="G18" s="49"/>
      <c r="H18" s="50" t="str">
        <f>IF($B18="","",IF($J18="X",B18,CONCATENATE(VLOOKUP(B18,Competitors!$A$2:$I$650,3,FALSE)," ",VLOOKUP(B18,Competitors!$A$2:$I$650,2,FALSE))))</f>
        <v>Colin Dobson</v>
      </c>
      <c r="I18" s="51">
        <f t="shared" si="1"/>
        <v>1.8668981481481481E-2</v>
      </c>
      <c r="J18" t="str">
        <f t="shared" si="2"/>
        <v/>
      </c>
    </row>
    <row r="19" spans="1:10" ht="15">
      <c r="A19" s="46" t="s">
        <v>501</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421</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426</v>
      </c>
      <c r="B21" s="47">
        <f t="shared" si="0"/>
        <v>1055</v>
      </c>
      <c r="C21" s="48"/>
      <c r="D21" s="49">
        <v>26</v>
      </c>
      <c r="E21" s="49">
        <v>57</v>
      </c>
      <c r="F21" s="49" t="s">
        <v>544</v>
      </c>
      <c r="G21" s="49"/>
      <c r="H21" s="50" t="str">
        <f>IF($B21="","",IF($J21="X",B21,CONCATENATE(VLOOKUP(B21,Competitors!$A$2:$I$650,3,FALSE)," ",VLOOKUP(B21,Competitors!$A$2:$I$650,2,FALSE))))</f>
        <v>Austin Smith</v>
      </c>
      <c r="I21" s="51">
        <f t="shared" si="1"/>
        <v>1.8715277777777779E-2</v>
      </c>
      <c r="J21" t="str">
        <f t="shared" si="2"/>
        <v/>
      </c>
    </row>
    <row r="22" spans="1:10" ht="15">
      <c r="A22" s="46" t="s">
        <v>429</v>
      </c>
      <c r="B22" s="47">
        <f t="shared" si="0"/>
        <v>1107</v>
      </c>
      <c r="C22" s="48"/>
      <c r="D22" s="49">
        <v>27</v>
      </c>
      <c r="E22" s="49">
        <v>50</v>
      </c>
      <c r="F22" s="49" t="s">
        <v>544</v>
      </c>
      <c r="G22" s="49"/>
      <c r="H22" s="50" t="str">
        <f>IF($B22="","",IF($J22="X",B22,CONCATENATE(VLOOKUP(B22,Competitors!$A$2:$I$650,3,FALSE)," ",VLOOKUP(B22,Competitors!$A$2:$I$650,2,FALSE))))</f>
        <v>Milly Pinnock</v>
      </c>
      <c r="I22" s="51">
        <f t="shared" si="1"/>
        <v>1.9328703703703702E-2</v>
      </c>
      <c r="J22" t="str">
        <f t="shared" si="2"/>
        <v/>
      </c>
    </row>
    <row r="23" spans="1:10" ht="15">
      <c r="A23" s="46" t="s">
        <v>590</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576</v>
      </c>
      <c r="B24" s="47">
        <f t="shared" si="0"/>
        <v>741</v>
      </c>
      <c r="C24" s="48"/>
      <c r="D24" s="49">
        <v>25</v>
      </c>
      <c r="E24" s="49">
        <v>17</v>
      </c>
      <c r="F24" s="49" t="s">
        <v>544</v>
      </c>
      <c r="G24" s="49"/>
      <c r="H24" s="50" t="str">
        <f>IF($B24="","",IF($J24="X",B24,CONCATENATE(VLOOKUP(B24,Competitors!$A$2:$I$650,3,FALSE)," ",VLOOKUP(B24,Competitors!$A$2:$I$650,2,FALSE))))</f>
        <v>Rob Moore</v>
      </c>
      <c r="I24" s="51">
        <f t="shared" si="1"/>
        <v>1.755787037037037E-2</v>
      </c>
      <c r="J24" t="str">
        <f t="shared" si="2"/>
        <v/>
      </c>
    </row>
    <row r="25" spans="1:10" ht="15">
      <c r="A25" s="46" t="s">
        <v>418</v>
      </c>
      <c r="B25" s="47">
        <f t="shared" si="0"/>
        <v>1355</v>
      </c>
      <c r="C25" s="48"/>
      <c r="D25" s="49">
        <v>24</v>
      </c>
      <c r="E25" s="49">
        <v>50</v>
      </c>
      <c r="F25" s="49" t="s">
        <v>544</v>
      </c>
      <c r="G25" s="49"/>
      <c r="H25" s="50" t="str">
        <f>IF($B25="","",IF($J25="X",B25,CONCATENATE(VLOOKUP(B25,Competitors!$A$2:$I$650,3,FALSE)," ",VLOOKUP(B25,Competitors!$A$2:$I$650,2,FALSE))))</f>
        <v>Aubrey Elmer</v>
      </c>
      <c r="I25" s="51">
        <f t="shared" si="1"/>
        <v>1.7245370370370369E-2</v>
      </c>
      <c r="J25" t="str">
        <f t="shared" si="2"/>
        <v/>
      </c>
    </row>
    <row r="26" spans="1:10" ht="15">
      <c r="A26" s="46" t="s">
        <v>412</v>
      </c>
      <c r="B26" s="47">
        <f t="shared" si="0"/>
        <v>1144</v>
      </c>
      <c r="C26" s="48"/>
      <c r="D26" s="49">
        <v>24</v>
      </c>
      <c r="E26" s="49">
        <v>11</v>
      </c>
      <c r="F26" s="49" t="s">
        <v>544</v>
      </c>
      <c r="G26" s="49"/>
      <c r="H26" s="50" t="str">
        <f>IF($B26="","",IF($J26="X",B26,CONCATENATE(VLOOKUP(B26,Competitors!$A$2:$I$650,3,FALSE)," ",VLOOKUP(B26,Competitors!$A$2:$I$650,2,FALSE))))</f>
        <v>Jamie Kershaw</v>
      </c>
      <c r="I26" s="51">
        <f t="shared" si="1"/>
        <v>1.6793981481481483E-2</v>
      </c>
      <c r="J26" t="str">
        <f t="shared" si="2"/>
        <v/>
      </c>
    </row>
    <row r="27" spans="1:10" ht="15">
      <c r="A27" s="46" t="s">
        <v>614</v>
      </c>
      <c r="B27" s="47">
        <f t="shared" si="0"/>
        <v>1391</v>
      </c>
      <c r="C27" s="48"/>
      <c r="D27" s="49">
        <v>25</v>
      </c>
      <c r="E27" s="49">
        <v>41</v>
      </c>
      <c r="F27" s="49" t="s">
        <v>544</v>
      </c>
      <c r="G27" s="49"/>
      <c r="H27" s="50" t="str">
        <f>IF($B27="","",IF($J27="X",B27,CONCATENATE(VLOOKUP(B27,Competitors!$A$2:$I$650,3,FALSE)," ",VLOOKUP(B27,Competitors!$A$2:$I$650,2,FALSE))))</f>
        <v>Leah Cuthbertson</v>
      </c>
      <c r="I27" s="51">
        <f t="shared" si="1"/>
        <v>1.7835648148148149E-2</v>
      </c>
      <c r="J27" t="str">
        <f t="shared" si="2"/>
        <v/>
      </c>
    </row>
    <row r="28" spans="1:10" ht="15">
      <c r="A28" s="46" t="s">
        <v>794</v>
      </c>
      <c r="B28" s="47" t="str">
        <f t="shared" si="0"/>
        <v>Simon Addy (RFW)</v>
      </c>
      <c r="C28" s="48"/>
      <c r="D28" s="49">
        <v>27</v>
      </c>
      <c r="E28" s="49">
        <v>2</v>
      </c>
      <c r="F28" s="49" t="s">
        <v>544</v>
      </c>
      <c r="G28" s="49"/>
      <c r="H28" s="50" t="str">
        <f>IF($B28="","",IF($J28="X",B28,CONCATENATE(VLOOKUP(B28,Competitors!$A$2:$I$650,3,FALSE)," ",VLOOKUP(B28,Competitors!$A$2:$I$650,2,FALSE))))</f>
        <v>Simon Addy (RFW)</v>
      </c>
      <c r="I28" s="51">
        <f t="shared" si="1"/>
        <v>1.8773148148148146E-2</v>
      </c>
      <c r="J28" t="str">
        <f t="shared" si="2"/>
        <v>X</v>
      </c>
    </row>
    <row r="29" spans="1:10" ht="15">
      <c r="A29" s="46" t="s">
        <v>413</v>
      </c>
      <c r="B29" s="47">
        <f t="shared" si="0"/>
        <v>989</v>
      </c>
      <c r="C29" s="48"/>
      <c r="D29" s="49">
        <v>24</v>
      </c>
      <c r="E29" s="49">
        <v>59</v>
      </c>
      <c r="F29" s="49" t="s">
        <v>544</v>
      </c>
      <c r="G29" s="49"/>
      <c r="H29" s="50" t="str">
        <f>IF($B29="","",IF($J29="X",B29,CONCATENATE(VLOOKUP(B29,Competitors!$A$2:$I$650,3,FALSE)," ",VLOOKUP(B29,Competitors!$A$2:$I$650,2,FALSE))))</f>
        <v>Jason Williams</v>
      </c>
      <c r="I29" s="51">
        <f t="shared" si="1"/>
        <v>1.7349537037037038E-2</v>
      </c>
      <c r="J29" t="str">
        <f t="shared" si="2"/>
        <v/>
      </c>
    </row>
    <row r="30" spans="1:10" ht="15">
      <c r="A30" s="60" t="s">
        <v>797</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492</v>
      </c>
      <c r="B31" s="47" t="str">
        <f t="shared" si="0"/>
        <v>Chris Booth (MOCC)</v>
      </c>
      <c r="C31" s="48"/>
      <c r="D31" s="49"/>
      <c r="E31" s="49"/>
      <c r="F31" s="49"/>
      <c r="G31" s="49" t="s">
        <v>553</v>
      </c>
      <c r="H31" s="50" t="str">
        <f>IF($B31="","",IF($J31="X",B31,CONCATENATE(VLOOKUP(B31,Competitors!$A$2:$I$650,3,FALSE)," ",VLOOKUP(B31,Competitors!$A$2:$I$650,2,FALSE))))</f>
        <v>Chris Booth (MOCC)</v>
      </c>
      <c r="I31" s="51">
        <f t="shared" si="1"/>
        <v>0</v>
      </c>
      <c r="J31" t="str">
        <f t="shared" si="2"/>
        <v>X</v>
      </c>
    </row>
    <row r="32" spans="1:10" ht="15">
      <c r="A32" s="46" t="s">
        <v>524</v>
      </c>
      <c r="B32" s="47" t="str">
        <f t="shared" si="0"/>
        <v>Michael Carter (RFW)</v>
      </c>
      <c r="C32" s="48"/>
      <c r="D32" s="49">
        <v>27</v>
      </c>
      <c r="E32" s="49">
        <v>2</v>
      </c>
      <c r="F32" s="49" t="s">
        <v>544</v>
      </c>
      <c r="G32" s="49"/>
      <c r="H32" s="50" t="str">
        <f>IF($B32="","",IF($J32="X",B32,CONCATENATE(VLOOKUP(B32,Competitors!$A$2:$I$650,3,FALSE)," ",VLOOKUP(B32,Competitors!$A$2:$I$650,2,FALSE))))</f>
        <v>Michael Carter (RFW)</v>
      </c>
      <c r="I32" s="51">
        <f t="shared" si="1"/>
        <v>1.8773148148148146E-2</v>
      </c>
      <c r="J32" t="str">
        <f t="shared" si="2"/>
        <v>X</v>
      </c>
    </row>
    <row r="33" spans="1:10" ht="15">
      <c r="A33" s="46" t="s">
        <v>589</v>
      </c>
      <c r="B33" s="47" t="str">
        <f t="shared" si="0"/>
        <v>Alex Barrowman (RFW)</v>
      </c>
      <c r="C33" s="48"/>
      <c r="D33" s="49">
        <v>24</v>
      </c>
      <c r="E33" s="49">
        <v>20</v>
      </c>
      <c r="F33" s="49" t="s">
        <v>544</v>
      </c>
      <c r="G33" s="49"/>
      <c r="H33" s="50" t="str">
        <f>IF($B33="","",IF($J33="X",B33,CONCATENATE(VLOOKUP(B33,Competitors!$A$2:$I$650,3,FALSE)," ",VLOOKUP(B33,Competitors!$A$2:$I$650,2,FALSE))))</f>
        <v>Alex Barrowman (RFW)</v>
      </c>
      <c r="I33" s="51">
        <f t="shared" si="1"/>
        <v>1.6898148148148148E-2</v>
      </c>
      <c r="J33" t="str">
        <f t="shared" si="2"/>
        <v>X</v>
      </c>
    </row>
    <row r="34" spans="1:10" ht="15">
      <c r="A34" s="46" t="s">
        <v>414</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625</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411</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517</v>
      </c>
      <c r="B37" s="47" t="str">
        <f t="shared" si="3"/>
        <v>Chris Fowler (RFW)</v>
      </c>
      <c r="C37" s="48"/>
      <c r="D37" s="49">
        <v>24</v>
      </c>
      <c r="E37" s="49">
        <v>24</v>
      </c>
      <c r="F37" s="49" t="s">
        <v>544</v>
      </c>
      <c r="G37" s="49"/>
      <c r="H37" s="50" t="str">
        <f>IF($B37="","",IF($J37="X",B37,CONCATENATE(VLOOKUP(B37,Competitors!$A$2:$I$650,3,FALSE)," ",VLOOKUP(B37,Competitors!$A$2:$I$650,2,FALSE))))</f>
        <v>Chris Fowler (RFW)</v>
      </c>
      <c r="I37" s="51">
        <f t="shared" si="1"/>
        <v>1.6944444444444446E-2</v>
      </c>
      <c r="J37" t="str">
        <f t="shared" si="2"/>
        <v>X</v>
      </c>
    </row>
    <row r="38" spans="1:10" ht="15">
      <c r="A38" s="46" t="s">
        <v>509</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795</v>
      </c>
      <c r="B39" s="47" t="str">
        <f t="shared" si="3"/>
        <v>Michael Weaver (RFW)</v>
      </c>
      <c r="C39" s="48"/>
      <c r="D39" s="49">
        <v>24</v>
      </c>
      <c r="E39" s="49">
        <v>37</v>
      </c>
      <c r="F39" s="49" t="s">
        <v>544</v>
      </c>
      <c r="G39" s="49"/>
      <c r="H39" s="50" t="str">
        <f>IF($B39="","",IF($J39="X",B39,CONCATENATE(VLOOKUP(B39,Competitors!$A$2:$I$650,3,FALSE)," ",VLOOKUP(B39,Competitors!$A$2:$I$650,2,FALSE))))</f>
        <v>Michael Weaver (RFW)</v>
      </c>
      <c r="I39" s="51">
        <f t="shared" si="1"/>
        <v>1.7094907407407406E-2</v>
      </c>
      <c r="J39" t="str">
        <f t="shared" si="2"/>
        <v>X</v>
      </c>
    </row>
    <row r="40" spans="1:10" ht="15">
      <c r="A40" s="46" t="s">
        <v>457</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796</v>
      </c>
      <c r="B41" s="47" t="str">
        <f t="shared" si="3"/>
        <v>Patrick Price (Portsmouth North End CC)`</v>
      </c>
      <c r="C41" s="48"/>
      <c r="D41" s="49"/>
      <c r="E41" s="49"/>
      <c r="F41" s="49" t="s">
        <v>544</v>
      </c>
      <c r="G41" s="49" t="s">
        <v>553</v>
      </c>
      <c r="H41" s="50" t="str">
        <f>IF($B41="","",IF($J41="X",B41,CONCATENATE(VLOOKUP(B41,Competitors!$A$2:$I$650,3,FALSE)," ",VLOOKUP(B41,Competitors!$A$2:$I$650,2,FALSE))))</f>
        <v>Patrick Price (Portsmouth North End CC)`</v>
      </c>
      <c r="I41" s="51">
        <f t="shared" si="1"/>
        <v>0</v>
      </c>
      <c r="J41" t="str">
        <f t="shared" si="2"/>
        <v>X</v>
      </c>
    </row>
    <row r="42" spans="1:10" ht="15">
      <c r="A42" s="46" t="s">
        <v>415</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626</v>
      </c>
      <c r="B43" s="47" t="str">
        <f t="shared" si="3"/>
        <v>Pete Bradshaw (RFW)</v>
      </c>
      <c r="C43" s="48"/>
      <c r="D43" s="49">
        <v>25</v>
      </c>
      <c r="E43" s="49">
        <v>11</v>
      </c>
      <c r="F43" s="49" t="s">
        <v>544</v>
      </c>
      <c r="G43" s="49"/>
      <c r="H43" s="50" t="str">
        <f>IF($B43="","",IF($J43="X",B43,CONCATENATE(VLOOKUP(B43,Competitors!$A$2:$I$650,3,FALSE)," ",VLOOKUP(B43,Competitors!$A$2:$I$650,2,FALSE))))</f>
        <v>Pete Bradshaw (RFW)</v>
      </c>
      <c r="I43" s="51">
        <f t="shared" si="1"/>
        <v>1.7488425925925925E-2</v>
      </c>
      <c r="J43" t="str">
        <f t="shared" si="2"/>
        <v>X</v>
      </c>
    </row>
    <row r="44" spans="1:10" ht="15">
      <c r="A44" s="46" t="s">
        <v>410</v>
      </c>
      <c r="B44" s="47">
        <f t="shared" si="3"/>
        <v>747</v>
      </c>
      <c r="C44" s="48"/>
      <c r="D44" s="49">
        <v>24</v>
      </c>
      <c r="E44" s="49">
        <v>35</v>
      </c>
      <c r="F44" s="49" t="s">
        <v>544</v>
      </c>
      <c r="G44" s="49"/>
      <c r="H44" s="50" t="str">
        <f>IF($B44="","",IF($J44="X",B44,CONCATENATE(VLOOKUP(B44,Competitors!$A$2:$I$650,3,FALSE)," ",VLOOKUP(B44,Competitors!$A$2:$I$650,2,FALSE))))</f>
        <v>James Moore</v>
      </c>
      <c r="I44" s="51">
        <f t="shared" si="1"/>
        <v>1.7071759259259259E-2</v>
      </c>
      <c r="J44" t="str">
        <f t="shared" si="2"/>
        <v/>
      </c>
    </row>
    <row r="45" spans="1:10" ht="15">
      <c r="A45" s="60" t="s">
        <v>515</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420</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512</v>
      </c>
      <c r="B47" s="47" t="str">
        <f t="shared" si="3"/>
        <v>Paul Eden (Ratae)</v>
      </c>
      <c r="C47" s="48"/>
      <c r="D47" s="49">
        <v>33</v>
      </c>
      <c r="E47" s="49">
        <v>12</v>
      </c>
      <c r="F47" s="49" t="s">
        <v>544</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Event_24</v>
      </c>
    </row>
    <row r="104" spans="1:10">
      <c r="B104" t="s">
        <v>552</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 workbookViewId="1"/>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f t="shared" ref="B2:B33" si="0">IF(A2="","",_xlfn.XLOOKUP(A2,ClubNames,ClubNumbers,_xlfn.XLOOKUP(A2,RoundRobinRiderNames,RoundRobinRiderDecoratedNames,A2)))</f>
        <v>558</v>
      </c>
      <c r="C2" s="48"/>
      <c r="D2" s="49"/>
      <c r="E2" s="49"/>
      <c r="F2" s="65" t="s">
        <v>799</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628</v>
      </c>
      <c r="B3" s="47">
        <f t="shared" si="0"/>
        <v>1415</v>
      </c>
      <c r="C3" s="48"/>
      <c r="D3" s="49"/>
      <c r="E3" s="49"/>
      <c r="F3" s="65" t="s">
        <v>799</v>
      </c>
      <c r="G3" s="49"/>
      <c r="H3" s="50" t="str">
        <f>IF($B3="","",IF($J3="X",B3,CONCATENATE(VLOOKUP(B3,Competitors!$A$2:$I$650,3,FALSE)," ",VLOOKUP(B3,Competitors!$A$2:$I$650,2,FALSE))))</f>
        <v>James Aldridge</v>
      </c>
      <c r="I3" s="51">
        <f t="shared" si="1"/>
        <v>0</v>
      </c>
      <c r="J3" t="str">
        <f t="shared" si="2"/>
        <v/>
      </c>
    </row>
    <row r="4" spans="1:10" ht="15">
      <c r="A4" s="46" t="s">
        <v>579</v>
      </c>
      <c r="B4" s="47">
        <f t="shared" si="0"/>
        <v>1370</v>
      </c>
      <c r="C4" s="48"/>
      <c r="D4" s="49"/>
      <c r="E4" s="49"/>
      <c r="F4" s="65" t="s">
        <v>799</v>
      </c>
      <c r="G4" s="49"/>
      <c r="H4" s="50" t="str">
        <f>IF($B4="","",IF($J4="X",B4,CONCATENATE(VLOOKUP(B4,Competitors!$A$2:$I$650,3,FALSE)," ",VLOOKUP(B4,Competitors!$A$2:$I$650,2,FALSE))))</f>
        <v>Ian Aldridge</v>
      </c>
      <c r="I4" s="51">
        <f t="shared" si="1"/>
        <v>0</v>
      </c>
      <c r="J4" t="str">
        <f t="shared" si="2"/>
        <v/>
      </c>
    </row>
    <row r="5" spans="1:10" ht="15">
      <c r="A5" s="46" t="s">
        <v>443</v>
      </c>
      <c r="B5" s="47">
        <f t="shared" si="0"/>
        <v>1193</v>
      </c>
      <c r="C5" s="48"/>
      <c r="D5" s="49"/>
      <c r="E5" s="49"/>
      <c r="F5" s="65" t="s">
        <v>799</v>
      </c>
      <c r="G5" s="49"/>
      <c r="H5" s="50" t="str">
        <f>IF($B5="","",IF($J5="X",B5,CONCATENATE(VLOOKUP(B5,Competitors!$A$2:$I$650,3,FALSE)," ",VLOOKUP(B5,Competitors!$A$2:$I$650,2,FALSE))))</f>
        <v>Richard Hardwicke</v>
      </c>
      <c r="I5" s="51">
        <f t="shared" si="1"/>
        <v>0</v>
      </c>
      <c r="J5" t="str">
        <f t="shared" si="2"/>
        <v/>
      </c>
    </row>
    <row r="6" spans="1:10" ht="15">
      <c r="A6" s="46" t="s">
        <v>437</v>
      </c>
      <c r="B6" s="47">
        <f t="shared" si="0"/>
        <v>1195</v>
      </c>
      <c r="C6" s="48"/>
      <c r="D6" s="49"/>
      <c r="E6" s="49"/>
      <c r="F6" s="65" t="s">
        <v>799</v>
      </c>
      <c r="G6" s="49"/>
      <c r="H6" s="50" t="str">
        <f>IF($B6="","",IF($J6="X",B6,CONCATENATE(VLOOKUP(B6,Competitors!$A$2:$I$650,3,FALSE)," ",VLOOKUP(B6,Competitors!$A$2:$I$650,2,FALSE))))</f>
        <v>Charlie Hardwicke</v>
      </c>
      <c r="I6" s="51">
        <f t="shared" si="1"/>
        <v>0</v>
      </c>
      <c r="J6" t="str">
        <f t="shared" si="2"/>
        <v/>
      </c>
    </row>
    <row r="7" spans="1:10" ht="15">
      <c r="A7" s="46" t="s">
        <v>446</v>
      </c>
      <c r="B7" s="47">
        <f t="shared" si="0"/>
        <v>1379</v>
      </c>
      <c r="C7" s="48"/>
      <c r="D7" s="49"/>
      <c r="E7" s="49"/>
      <c r="F7" s="65" t="s">
        <v>799</v>
      </c>
      <c r="G7" s="49"/>
      <c r="H7" s="50" t="str">
        <f>IF($B7="","",IF($J7="X",B7,CONCATENATE(VLOOKUP(B7,Competitors!$A$2:$I$650,3,FALSE)," ",VLOOKUP(B7,Competitors!$A$2:$I$650,2,FALSE))))</f>
        <v>Michaela Latham</v>
      </c>
      <c r="I7" s="51">
        <f t="shared" si="1"/>
        <v>0</v>
      </c>
      <c r="J7" t="str">
        <f t="shared" si="2"/>
        <v/>
      </c>
    </row>
    <row r="8" spans="1:10" ht="15">
      <c r="A8" s="46" t="s">
        <v>744</v>
      </c>
      <c r="B8" s="47" t="str">
        <f t="shared" si="0"/>
        <v>Esme Shipman</v>
      </c>
      <c r="C8" s="48"/>
      <c r="D8" s="49"/>
      <c r="E8" s="49"/>
      <c r="F8" s="65" t="s">
        <v>799</v>
      </c>
      <c r="G8" s="49"/>
      <c r="H8" s="50" t="str">
        <f>IF($B8="","",IF($J8="X",B8,CONCATENATE(VLOOKUP(B8,Competitors!$A$2:$I$650,3,FALSE)," ",VLOOKUP(B8,Competitors!$A$2:$I$650,2,FALSE))))</f>
        <v>Esme Shipman</v>
      </c>
      <c r="I8" s="51">
        <f t="shared" si="1"/>
        <v>0</v>
      </c>
      <c r="J8" t="str">
        <f t="shared" si="2"/>
        <v>X</v>
      </c>
    </row>
    <row r="9" spans="1:10" ht="15">
      <c r="A9" s="46" t="s">
        <v>798</v>
      </c>
      <c r="B9" s="47" t="str">
        <f t="shared" si="0"/>
        <v>Simon Haywood</v>
      </c>
      <c r="C9" s="48"/>
      <c r="D9" s="49"/>
      <c r="E9" s="49"/>
      <c r="F9" s="65" t="s">
        <v>799</v>
      </c>
      <c r="G9" s="49"/>
      <c r="H9" s="50" t="str">
        <f>IF($B9="","",IF($J9="X",B9,CONCATENATE(VLOOKUP(B9,Competitors!$A$2:$I$650,3,FALSE)," ",VLOOKUP(B9,Competitors!$A$2:$I$650,2,FALSE))))</f>
        <v>Simon Haywood</v>
      </c>
      <c r="I9" s="51">
        <f t="shared" si="1"/>
        <v>0</v>
      </c>
      <c r="J9" t="str">
        <f t="shared" si="2"/>
        <v>X</v>
      </c>
    </row>
    <row r="10" spans="1:10" ht="15">
      <c r="A10" s="46" t="s">
        <v>418</v>
      </c>
      <c r="B10" s="47">
        <f t="shared" si="0"/>
        <v>1355</v>
      </c>
      <c r="C10" s="48"/>
      <c r="D10" s="49"/>
      <c r="E10" s="49"/>
      <c r="F10" s="65" t="s">
        <v>799</v>
      </c>
      <c r="G10" s="49"/>
      <c r="H10" s="50" t="str">
        <f>IF($B10="","",IF($J10="X",B10,CONCATENATE(VLOOKUP(B10,Competitors!$A$2:$I$650,3, FALSE)," ",VLOOKUP(B10,Competitors!$A$2:$I$650,2,FALSE))))</f>
        <v>Aubrey Elmer</v>
      </c>
      <c r="I10" s="51">
        <f t="shared" si="1"/>
        <v>0</v>
      </c>
      <c r="J10" t="str">
        <f t="shared" si="2"/>
        <v/>
      </c>
    </row>
    <row r="11" spans="1:10" ht="15">
      <c r="A11" s="46" t="s">
        <v>422</v>
      </c>
      <c r="B11" s="47">
        <f t="shared" si="0"/>
        <v>1407</v>
      </c>
      <c r="C11" s="48"/>
      <c r="D11" s="49"/>
      <c r="E11" s="49"/>
      <c r="F11" s="65" t="s">
        <v>799</v>
      </c>
      <c r="G11" s="49"/>
      <c r="H11" s="50" t="str">
        <f>IF($B11="","",IF($J11="X",B11,CONCATENATE(VLOOKUP(B11,Competitors!$A$2:$I$650,3,FALSE)," ",VLOOKUP(B11,Competitors!$A$2:$I$650,2,FALSE))))</f>
        <v>Colin Dobson</v>
      </c>
      <c r="I11" s="51">
        <f t="shared" si="1"/>
        <v>0</v>
      </c>
      <c r="J11" t="str">
        <f t="shared" si="2"/>
        <v/>
      </c>
    </row>
    <row r="12" spans="1:10" ht="15">
      <c r="A12" s="46" t="s">
        <v>442</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429</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432</v>
      </c>
      <c r="B14" s="47">
        <f t="shared" si="0"/>
        <v>1112</v>
      </c>
      <c r="C14" s="48"/>
      <c r="D14" s="49"/>
      <c r="E14" s="49"/>
      <c r="F14" s="65" t="s">
        <v>799</v>
      </c>
      <c r="G14" s="49"/>
      <c r="H14" s="50" t="str">
        <f>IF($B14="","",IF($J14="X",B14,CONCATENATE(VLOOKUP(B14,Competitors!$A$2:$I$650,3,FALSE)," ",VLOOKUP(B14,Competitors!$A$2:$I$650,2,FALSE))))</f>
        <v>Gary Ashwell</v>
      </c>
      <c r="I14" s="51">
        <f t="shared" si="1"/>
        <v>0</v>
      </c>
      <c r="J14" t="str">
        <f t="shared" si="2"/>
        <v/>
      </c>
    </row>
    <row r="15" spans="1:10" ht="15">
      <c r="A15" s="60" t="s">
        <v>436</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464</v>
      </c>
      <c r="B16" s="47" t="str">
        <f t="shared" si="0"/>
        <v>Carl Dyson (Aerologic)</v>
      </c>
      <c r="C16" s="48"/>
      <c r="D16" s="49"/>
      <c r="E16" s="49"/>
      <c r="F16" s="65" t="s">
        <v>799</v>
      </c>
      <c r="G16" s="49"/>
      <c r="H16" s="50" t="str">
        <f>IF($B16="","",IF($J16="X",B16,CONCATENATE(VLOOKUP(B16,Competitors!$A$2:$I$650,3,FALSE)," ",VLOOKUP(B16,Competitors!$A$2:$I$650,2,FALSE))))</f>
        <v>Carl Dyson (Aerologic)</v>
      </c>
      <c r="I16" s="51">
        <f t="shared" si="1"/>
        <v>0</v>
      </c>
      <c r="J16" t="str">
        <f t="shared" si="2"/>
        <v>X</v>
      </c>
    </row>
    <row r="17" spans="1:10" ht="15">
      <c r="A17" s="60" t="s">
        <v>413</v>
      </c>
      <c r="B17" s="47">
        <f t="shared" si="0"/>
        <v>989</v>
      </c>
      <c r="C17" s="48"/>
      <c r="D17" s="49"/>
      <c r="E17" s="49"/>
      <c r="F17" s="65" t="s">
        <v>799</v>
      </c>
      <c r="G17" s="49"/>
      <c r="H17" s="50" t="str">
        <f>IF($B17="","",IF($J17="X",B17,CONCATENATE(VLOOKUP(B17,Competitors!$A$2:$I$650,3,FALSE)," ",VLOOKUP(B17,Competitors!$A$2:$I$650,2,FALSE))))</f>
        <v>Jason Williams</v>
      </c>
      <c r="I17" s="51">
        <f t="shared" si="1"/>
        <v>0</v>
      </c>
      <c r="J17" t="str">
        <f t="shared" si="2"/>
        <v/>
      </c>
    </row>
    <row r="18" spans="1:10" ht="15">
      <c r="A18" s="60" t="s">
        <v>509</v>
      </c>
      <c r="B18" s="47" t="str">
        <f t="shared" si="0"/>
        <v>Mark Newton (Ratae)</v>
      </c>
      <c r="C18" s="48"/>
      <c r="D18" s="49"/>
      <c r="E18" s="49"/>
      <c r="F18" s="65" t="s">
        <v>799</v>
      </c>
      <c r="G18" s="49"/>
      <c r="H18" s="50" t="str">
        <f>IF($B18="","",IF($J18="X",B18,CONCATENATE(VLOOKUP(B18,Competitors!$A$2:$I$650,3,FALSE)," ",VLOOKUP(B18,Competitors!$A$2:$I$650,2,FALSE))))</f>
        <v>Mark Newton (Ratae)</v>
      </c>
      <c r="I18" s="51">
        <f t="shared" si="1"/>
        <v>0</v>
      </c>
      <c r="J18" t="str">
        <f t="shared" si="2"/>
        <v>X</v>
      </c>
    </row>
    <row r="19" spans="1:10" ht="15">
      <c r="A19" s="60" t="s">
        <v>414</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Event_25</v>
      </c>
    </row>
    <row r="104" spans="1:10">
      <c r="B104" t="s">
        <v>552</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K104"/>
  <sheetViews>
    <sheetView topLeftCell="A32" workbookViewId="0">
      <selection activeCell="B41" sqref="B41"/>
    </sheetView>
    <sheetView tabSelected="1" topLeftCell="A27" workbookViewId="1">
      <selection activeCell="A54" sqref="A54"/>
    </sheetView>
  </sheetViews>
  <sheetFormatPr defaultColWidth="9.1328125" defaultRowHeight="12.75"/>
  <cols>
    <col min="1" max="1" width="37.46484375" bestFit="1" customWidth="1"/>
    <col min="2" max="2" width="49.6640625" bestFit="1" customWidth="1"/>
    <col min="3" max="4" width="4.796875" customWidth="1"/>
    <col min="5" max="5" width="6.265625" bestFit="1" customWidth="1"/>
    <col min="6" max="7" width="11.1328125" customWidth="1"/>
    <col min="8" max="8" width="25.132812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587</v>
      </c>
      <c r="B2" s="47" t="str">
        <f t="shared" ref="B2:B33" si="0">IF(A2="","",_xlfn.XLOOKUP(A2,ClubNames,ClubNumbers,_xlfn.XLOOKUP(A2,RoundRobinRiderNames,RoundRobinRiderDecoratedNames,A2)))</f>
        <v>Steve Wickham (RFW)</v>
      </c>
      <c r="C2" s="48"/>
      <c r="D2" s="49">
        <v>4</v>
      </c>
      <c r="E2" s="49">
        <v>49.39</v>
      </c>
      <c r="F2" s="49" t="s">
        <v>544</v>
      </c>
      <c r="G2" s="49"/>
      <c r="H2" s="50" t="str">
        <f>IF($B2="","",IF($J2="X",B2,CONCATENATE(VLOOKUP(B2,Competitors!$A$2:$I$650,3,FALSE)," ",VLOOKUP(B2,Competitors!$A$2:$I$650,2,FALSE))))</f>
        <v>Steve Wickham (RFW)</v>
      </c>
      <c r="I2" s="51">
        <f t="shared" ref="I2:I33" si="1">IF(LEFT($F2,1)="D",UPPER($F2),(C2*3600+D2*60+E2)/86400)</f>
        <v>3.3494212962962961E-3</v>
      </c>
      <c r="J2" t="str">
        <f t="shared" ref="J2:J33" si="2">IF(OR(B2="",ISNUMBER(B2)),"","X")</f>
        <v>X</v>
      </c>
      <c r="K2">
        <v>1</v>
      </c>
    </row>
    <row r="3" spans="1:11" ht="15">
      <c r="A3" s="46" t="s">
        <v>616</v>
      </c>
      <c r="B3" s="47">
        <f t="shared" si="0"/>
        <v>990</v>
      </c>
      <c r="C3" s="48"/>
      <c r="D3" s="49">
        <v>6</v>
      </c>
      <c r="E3" s="49">
        <v>26.95</v>
      </c>
      <c r="F3" s="49" t="s">
        <v>544</v>
      </c>
      <c r="G3" s="49"/>
      <c r="H3" s="50" t="str">
        <f>IF($B3="","",IF($J3="X",B3,CONCATENATE(VLOOKUP(B3,Competitors!$A$2:$I$650,3,FALSE)," ",VLOOKUP(B3,Competitors!$A$2:$I$650,2,FALSE))))</f>
        <v>Jen Hulme</v>
      </c>
      <c r="I3" s="51">
        <f t="shared" si="1"/>
        <v>4.4785879629629629E-3</v>
      </c>
      <c r="J3" t="str">
        <f t="shared" si="2"/>
        <v/>
      </c>
      <c r="K3">
        <v>2</v>
      </c>
    </row>
    <row r="4" spans="1:11" ht="15">
      <c r="A4" s="46" t="s">
        <v>804</v>
      </c>
      <c r="B4" s="47" t="str">
        <f t="shared" si="0"/>
        <v>James Belton (KCC)</v>
      </c>
      <c r="C4" s="48"/>
      <c r="D4" s="49">
        <v>5</v>
      </c>
      <c r="E4" s="49">
        <v>56.76</v>
      </c>
      <c r="F4" s="49" t="s">
        <v>544</v>
      </c>
      <c r="G4" s="49"/>
      <c r="H4" s="50" t="str">
        <f>IF($B4="","",IF($J4="X",B4,CONCATENATE(VLOOKUP(B4,Competitors!$A$2:$I$650,3,FALSE)," ",VLOOKUP(B4,Competitors!$A$2:$I$650,2,FALSE))))</f>
        <v>James Belton (KCC)</v>
      </c>
      <c r="I4" s="51">
        <f t="shared" si="1"/>
        <v>4.1291666666666664E-3</v>
      </c>
      <c r="J4" t="str">
        <f t="shared" si="2"/>
        <v>X</v>
      </c>
      <c r="K4">
        <v>3</v>
      </c>
    </row>
    <row r="5" spans="1:11" ht="15">
      <c r="A5" s="46" t="s">
        <v>805</v>
      </c>
      <c r="B5" s="47" t="str">
        <f t="shared" si="0"/>
        <v>Ruth Dempsey (RFW)</v>
      </c>
      <c r="C5" s="48"/>
      <c r="D5" s="49">
        <v>4</v>
      </c>
      <c r="E5" s="49">
        <v>17.53</v>
      </c>
      <c r="F5" s="49" t="s">
        <v>544</v>
      </c>
      <c r="G5" s="49"/>
      <c r="H5" s="50" t="str">
        <f>IF($B5="","",IF($J5="X",B5,CONCATENATE(VLOOKUP(B5,Competitors!$A$2:$I$650,3, FALSE)," ",VLOOKUP(B5,Competitors!$A$2:$I$650,2,FALSE))))</f>
        <v>Ruth Dempsey (RFW)</v>
      </c>
      <c r="I5" s="51">
        <f t="shared" si="1"/>
        <v>2.9806712962962959E-3</v>
      </c>
      <c r="J5" t="str">
        <f t="shared" si="2"/>
        <v>X</v>
      </c>
      <c r="K5">
        <v>4</v>
      </c>
    </row>
    <row r="6" spans="1:11" ht="15">
      <c r="A6" s="46" t="s">
        <v>545</v>
      </c>
      <c r="B6" s="47">
        <f t="shared" si="0"/>
        <v>1385</v>
      </c>
      <c r="C6" s="48"/>
      <c r="D6" s="49">
        <v>4</v>
      </c>
      <c r="E6" s="49">
        <v>31.88</v>
      </c>
      <c r="F6" s="49" t="s">
        <v>544</v>
      </c>
      <c r="G6" s="49"/>
      <c r="H6" s="50" t="str">
        <f>IF($B6="","",IF($J6="X",B6,CONCATENATE(VLOOKUP(B6,Competitors!$A$2:$I$650,3,FALSE)," ",VLOOKUP(B6,Competitors!$A$2:$I$650,2,FALSE))))</f>
        <v>Miles Marr</v>
      </c>
      <c r="I6" s="51">
        <f t="shared" si="1"/>
        <v>3.1467592592592593E-3</v>
      </c>
      <c r="J6" t="str">
        <f t="shared" si="2"/>
        <v/>
      </c>
      <c r="K6">
        <v>5</v>
      </c>
    </row>
    <row r="7" spans="1:11" ht="15">
      <c r="A7" s="46" t="s">
        <v>818</v>
      </c>
      <c r="B7" s="47" t="str">
        <f t="shared" si="0"/>
        <v>Tajvinder Badh (KCC)</v>
      </c>
      <c r="C7" s="48"/>
      <c r="D7" s="49"/>
      <c r="E7" s="49"/>
      <c r="F7" s="49" t="s">
        <v>544</v>
      </c>
      <c r="G7" s="49" t="s">
        <v>553</v>
      </c>
      <c r="H7" s="50" t="str">
        <f>IF($B7="","",IF($J7="X",B7,CONCATENATE(VLOOKUP(B7,Competitors!$A$2:$I$650,3,FALSE)," ",VLOOKUP(B7,Competitors!$A$2:$I$650,2,FALSE))))</f>
        <v>Tajvinder Badh (KCC)</v>
      </c>
      <c r="I7" s="51">
        <f t="shared" si="1"/>
        <v>0</v>
      </c>
      <c r="J7" t="str">
        <f t="shared" si="2"/>
        <v>X</v>
      </c>
      <c r="K7">
        <v>6</v>
      </c>
    </row>
    <row r="8" spans="1:11" ht="15">
      <c r="A8" s="46" t="s">
        <v>817</v>
      </c>
      <c r="B8" s="47" t="str">
        <f t="shared" si="0"/>
        <v>Shay Dempsey (RFW)</v>
      </c>
      <c r="C8" s="48"/>
      <c r="D8" s="49">
        <v>4</v>
      </c>
      <c r="E8" s="49">
        <v>33.76</v>
      </c>
      <c r="F8" s="49" t="s">
        <v>544</v>
      </c>
      <c r="G8" s="49"/>
      <c r="H8" s="50" t="str">
        <f>IF($B8="","",IF($J8="X",B8,CONCATENATE(VLOOKUP(B8,Competitors!$A$2:$I$650,3,FALSE)," ",VLOOKUP(B8,Competitors!$A$2:$I$650,2,FALSE))))</f>
        <v>Shay Dempsey (RFW)</v>
      </c>
      <c r="I8" s="51">
        <f t="shared" si="1"/>
        <v>3.1685185185185184E-3</v>
      </c>
      <c r="J8" t="str">
        <f t="shared" si="2"/>
        <v>X</v>
      </c>
      <c r="K8">
        <v>7</v>
      </c>
    </row>
    <row r="9" spans="1:11" ht="15">
      <c r="A9" s="46" t="s">
        <v>746</v>
      </c>
      <c r="B9" s="47">
        <f t="shared" si="0"/>
        <v>1357</v>
      </c>
      <c r="C9" s="48"/>
      <c r="D9" s="49">
        <v>4</v>
      </c>
      <c r="E9" s="49">
        <v>41.39</v>
      </c>
      <c r="F9" s="49" t="s">
        <v>544</v>
      </c>
      <c r="G9" s="49"/>
      <c r="H9" s="50" t="str">
        <f>IF($B9="","",IF($J9="X",B9,CONCATENATE(VLOOKUP(B9,Competitors!$A$2:$I$650,3,FALSE)," ",VLOOKUP(B9,Competitors!$A$2:$I$650,2,FALSE))))</f>
        <v>Ian Parker</v>
      </c>
      <c r="I9" s="51">
        <f t="shared" si="1"/>
        <v>3.2568287037037036E-3</v>
      </c>
      <c r="J9" t="str">
        <f t="shared" si="2"/>
        <v/>
      </c>
      <c r="K9">
        <v>8</v>
      </c>
    </row>
    <row r="10" spans="1:11" ht="15">
      <c r="A10" s="46" t="s">
        <v>801</v>
      </c>
      <c r="B10" s="47" t="str">
        <f t="shared" si="0"/>
        <v>Damian Ciesielski (KCC)</v>
      </c>
      <c r="C10" s="48"/>
      <c r="D10" s="49">
        <v>3</v>
      </c>
      <c r="E10" s="49">
        <v>56.95</v>
      </c>
      <c r="F10" s="49" t="s">
        <v>544</v>
      </c>
      <c r="G10" s="49"/>
      <c r="H10" s="50" t="str">
        <f>IF($B10="","",IF($J10="X",B10,CONCATENATE(VLOOKUP(B10,Competitors!$A$2:$I$650,3,FALSE)," ",VLOOKUP(B10,Competitors!$A$2:$I$650,2,FALSE))))</f>
        <v>Damian Ciesielski (KCC)</v>
      </c>
      <c r="I10" s="51">
        <f t="shared" si="1"/>
        <v>2.7424768518518518E-3</v>
      </c>
      <c r="J10" t="str">
        <f t="shared" si="2"/>
        <v>X</v>
      </c>
      <c r="K10">
        <v>9</v>
      </c>
    </row>
    <row r="11" spans="1:11" ht="15">
      <c r="A11" s="46" t="s">
        <v>519</v>
      </c>
      <c r="B11" s="47" t="str">
        <f t="shared" si="0"/>
        <v>David Hill (RFW)</v>
      </c>
      <c r="C11" s="48"/>
      <c r="D11" s="49">
        <v>5</v>
      </c>
      <c r="E11" s="49">
        <v>24.32</v>
      </c>
      <c r="F11" s="49" t="s">
        <v>544</v>
      </c>
      <c r="G11" s="49"/>
      <c r="H11" s="50" t="str">
        <f>IF($B11="","",IF($J11="X",B11,CONCATENATE(VLOOKUP(B11,Competitors!$A$2:$I$650,3,FALSE)," ",VLOOKUP(B11,Competitors!$A$2:$I$650,2,FALSE))))</f>
        <v>David Hill (RFW)</v>
      </c>
      <c r="I11" s="51">
        <f t="shared" si="1"/>
        <v>3.7537037037037035E-3</v>
      </c>
      <c r="J11" t="str">
        <f t="shared" si="2"/>
        <v>X</v>
      </c>
      <c r="K11">
        <v>10</v>
      </c>
    </row>
    <row r="12" spans="1:11" ht="15">
      <c r="A12" s="46" t="s">
        <v>815</v>
      </c>
      <c r="B12" s="47">
        <f t="shared" si="0"/>
        <v>1361</v>
      </c>
      <c r="C12" s="48"/>
      <c r="D12" s="49">
        <v>4</v>
      </c>
      <c r="E12" s="49">
        <v>22.45</v>
      </c>
      <c r="F12" s="49" t="s">
        <v>544</v>
      </c>
      <c r="G12" s="49"/>
      <c r="H12" s="50" t="str">
        <f>IF($B12="","",IF($J12="X",B12,CONCATENATE(VLOOKUP(B12,Competitors!$A$2:$I$650,3,FALSE)," ",VLOOKUP(B12,Competitors!$A$2:$I$650,2,FALSE))))</f>
        <v>Bruce Main</v>
      </c>
      <c r="I12" s="51">
        <f t="shared" si="1"/>
        <v>3.0376157407407405E-3</v>
      </c>
      <c r="J12" t="str">
        <f t="shared" si="2"/>
        <v/>
      </c>
      <c r="K12">
        <v>11</v>
      </c>
    </row>
    <row r="13" spans="1:11" ht="15">
      <c r="A13" s="46" t="s">
        <v>618</v>
      </c>
      <c r="B13" s="47" t="str">
        <f t="shared" si="0"/>
        <v>Ian Bird (KCC)</v>
      </c>
      <c r="C13" s="48"/>
      <c r="D13" s="49">
        <v>4</v>
      </c>
      <c r="E13" s="49">
        <v>59.2</v>
      </c>
      <c r="F13" s="49" t="s">
        <v>544</v>
      </c>
      <c r="G13" s="49"/>
      <c r="H13" s="50" t="str">
        <f>IF($B13="","",IF($J13="X",B13,CONCATENATE(VLOOKUP(B13,Competitors!$A$2:$I$650,3,FALSE)," ",VLOOKUP(B13,Competitors!$A$2:$I$650,2,FALSE))))</f>
        <v>Ian Bird (KCC)</v>
      </c>
      <c r="I13" s="51">
        <f t="shared" si="1"/>
        <v>3.4629629629629628E-3</v>
      </c>
      <c r="J13" t="str">
        <f t="shared" si="2"/>
        <v>X</v>
      </c>
      <c r="K13">
        <v>12</v>
      </c>
    </row>
    <row r="14" spans="1:11" ht="15">
      <c r="A14" s="46" t="s">
        <v>590</v>
      </c>
      <c r="B14" s="47" t="str">
        <f t="shared" si="0"/>
        <v>Laurence Noble (RFW)</v>
      </c>
      <c r="C14" s="48"/>
      <c r="D14" s="49">
        <v>4</v>
      </c>
      <c r="E14" s="49">
        <v>13.65</v>
      </c>
      <c r="F14" s="49"/>
      <c r="G14" s="49"/>
      <c r="H14" s="50" t="str">
        <f>IF($B14="","",IF($J14="X",B14,CONCATENATE(VLOOKUP(B14,Competitors!$A$2:$I$650,3,FALSE)," ",VLOOKUP(B14,Competitors!$A$2:$I$650,2,FALSE))))</f>
        <v>Laurence Noble (RFW)</v>
      </c>
      <c r="I14" s="51">
        <f t="shared" si="1"/>
        <v>2.9357638888888888E-3</v>
      </c>
      <c r="J14" t="str">
        <f t="shared" si="2"/>
        <v>X</v>
      </c>
      <c r="K14">
        <v>13</v>
      </c>
    </row>
    <row r="15" spans="1:11" ht="15">
      <c r="A15" s="46" t="s">
        <v>422</v>
      </c>
      <c r="B15" s="47">
        <f t="shared" si="0"/>
        <v>1407</v>
      </c>
      <c r="C15" s="48"/>
      <c r="D15" s="49">
        <v>4</v>
      </c>
      <c r="E15" s="49">
        <v>14.03</v>
      </c>
      <c r="F15" s="49" t="s">
        <v>544</v>
      </c>
      <c r="G15" s="49"/>
      <c r="H15" s="50" t="str">
        <f>IF($B15="","",IF($J15="X",B15,CONCATENATE(VLOOKUP(B15,Competitors!$A$2:$I$650,3,FALSE)," ",VLOOKUP(B15,Competitors!$A$2:$I$650,2,FALSE))))</f>
        <v>Colin Dobson</v>
      </c>
      <c r="I15" s="51">
        <f t="shared" si="1"/>
        <v>2.9401620370370371E-3</v>
      </c>
      <c r="J15" t="str">
        <f t="shared" si="2"/>
        <v/>
      </c>
      <c r="K15">
        <v>14</v>
      </c>
    </row>
    <row r="16" spans="1:11" ht="15">
      <c r="A16" s="46" t="s">
        <v>585</v>
      </c>
      <c r="B16" s="47" t="str">
        <f t="shared" si="0"/>
        <v>Maria Cayford (KCC)</v>
      </c>
      <c r="C16" s="48"/>
      <c r="D16" s="49">
        <v>5</v>
      </c>
      <c r="E16" s="49">
        <v>47.45</v>
      </c>
      <c r="F16" s="49" t="s">
        <v>544</v>
      </c>
      <c r="G16" s="49"/>
      <c r="H16" s="50" t="str">
        <f>IF($B16="","",IF($J16="X",B16,CONCATENATE(VLOOKUP(B16,Competitors!$A$2:$I$650,3,FALSE)," ",VLOOKUP(B16,Competitors!$A$2:$I$650,2,FALSE))))</f>
        <v>Maria Cayford (KCC)</v>
      </c>
      <c r="I16" s="51">
        <f t="shared" si="1"/>
        <v>4.0214120370370369E-3</v>
      </c>
      <c r="J16" t="str">
        <f t="shared" si="2"/>
        <v>X</v>
      </c>
      <c r="K16">
        <v>15</v>
      </c>
    </row>
    <row r="17" spans="1:11" ht="15">
      <c r="A17" s="46" t="s">
        <v>526</v>
      </c>
      <c r="B17" s="47" t="str">
        <f t="shared" si="0"/>
        <v>Paul Ryan (RFW)</v>
      </c>
      <c r="C17" s="48"/>
      <c r="D17" s="49">
        <v>4</v>
      </c>
      <c r="E17" s="49">
        <v>40.03</v>
      </c>
      <c r="F17" s="49" t="s">
        <v>544</v>
      </c>
      <c r="G17" s="49"/>
      <c r="H17" s="50" t="str">
        <f>IF($B17="","",IF($J17="X",B17,CONCATENATE(VLOOKUP(B17,Competitors!$A$2:$I$650,3,FALSE)," ",VLOOKUP(B17,Competitors!$A$2:$I$650,2,FALSE))))</f>
        <v>Paul Ryan (RFW)</v>
      </c>
      <c r="I17" s="51">
        <f t="shared" si="1"/>
        <v>3.2410879629629625E-3</v>
      </c>
      <c r="J17" t="str">
        <f t="shared" si="2"/>
        <v>X</v>
      </c>
      <c r="K17">
        <v>16</v>
      </c>
    </row>
    <row r="18" spans="1:11" ht="15">
      <c r="A18" s="46" t="s">
        <v>819</v>
      </c>
      <c r="B18" s="47">
        <f t="shared" si="0"/>
        <v>1339</v>
      </c>
      <c r="C18" s="48"/>
      <c r="D18" s="49"/>
      <c r="E18" s="49"/>
      <c r="F18" s="49" t="s">
        <v>544</v>
      </c>
      <c r="G18" s="49" t="s">
        <v>557</v>
      </c>
      <c r="H18" s="50" t="str">
        <f>IF($B18="","",IF($J18="X",B18,CONCATENATE(VLOOKUP(B18,Competitors!$A$2:$I$650,3,FALSE)," ",VLOOKUP(B18,Competitors!$A$2:$I$650,2,FALSE))))</f>
        <v>Jack Shewring</v>
      </c>
      <c r="I18" s="51">
        <f t="shared" si="1"/>
        <v>0</v>
      </c>
      <c r="J18" t="str">
        <f t="shared" si="2"/>
        <v/>
      </c>
      <c r="K18">
        <v>17</v>
      </c>
    </row>
    <row r="19" spans="1:11" ht="15">
      <c r="A19" s="46" t="s">
        <v>810</v>
      </c>
      <c r="B19" s="47" t="str">
        <f t="shared" si="0"/>
        <v>Josh Cayford (KCC)</v>
      </c>
      <c r="C19" s="48"/>
      <c r="D19" s="49">
        <v>5</v>
      </c>
      <c r="E19" s="49">
        <v>28.55</v>
      </c>
      <c r="F19" s="49" t="s">
        <v>544</v>
      </c>
      <c r="G19" s="49"/>
      <c r="H19" s="50" t="str">
        <f>IF($B19="","",IF($J19="X",B19,CONCATENATE(VLOOKUP(B19,Competitors!$A$2:$I$650,3,FALSE)," ",VLOOKUP(B19,Competitors!$A$2:$I$650,2,FALSE))))</f>
        <v>Josh Cayford (KCC)</v>
      </c>
      <c r="I19" s="51">
        <f t="shared" si="1"/>
        <v>3.8026620370370371E-3</v>
      </c>
      <c r="J19" t="str">
        <f t="shared" si="2"/>
        <v>X</v>
      </c>
      <c r="K19">
        <v>18</v>
      </c>
    </row>
    <row r="20" spans="1:11" ht="15">
      <c r="A20" s="46" t="s">
        <v>807</v>
      </c>
      <c r="B20" s="47" t="str">
        <f t="shared" si="0"/>
        <v>Peter McDonald (RFW)</v>
      </c>
      <c r="C20" s="48"/>
      <c r="D20" s="49">
        <v>4</v>
      </c>
      <c r="E20" s="49">
        <v>27.75</v>
      </c>
      <c r="F20" s="49" t="s">
        <v>544</v>
      </c>
      <c r="G20" s="49"/>
      <c r="H20" s="50" t="str">
        <f>IF($B20="","",IF($J20="X",B20,CONCATENATE(VLOOKUP(B20,Competitors!$A$2:$I$650,3,FALSE)," ",VLOOKUP(B20,Competitors!$A$2:$I$650,2,FALSE))))</f>
        <v>Peter McDonald (RFW)</v>
      </c>
      <c r="I20" s="51">
        <f t="shared" si="1"/>
        <v>3.0989583333333333E-3</v>
      </c>
      <c r="J20" t="str">
        <f t="shared" si="2"/>
        <v>X</v>
      </c>
      <c r="K20">
        <v>19</v>
      </c>
    </row>
    <row r="21" spans="1:11" ht="15">
      <c r="A21" s="46" t="s">
        <v>808</v>
      </c>
      <c r="B21" s="47">
        <f t="shared" si="0"/>
        <v>1394</v>
      </c>
      <c r="C21" s="48"/>
      <c r="D21" s="49"/>
      <c r="E21" s="49"/>
      <c r="F21" s="49" t="s">
        <v>544</v>
      </c>
      <c r="G21" s="49" t="s">
        <v>553</v>
      </c>
      <c r="H21" s="50" t="str">
        <f>IF($B21="","",IF($J21="X",B21,CONCATENATE(VLOOKUP(B21,Competitors!$A$2:$I$650,3,FALSE)," ",VLOOKUP(B21,Competitors!$A$2:$I$650,2,FALSE))))</f>
        <v>Noah Marr</v>
      </c>
      <c r="I21" s="51">
        <f t="shared" si="1"/>
        <v>0</v>
      </c>
      <c r="J21" t="str">
        <f t="shared" si="2"/>
        <v/>
      </c>
      <c r="K21">
        <v>20</v>
      </c>
    </row>
    <row r="22" spans="1:11" ht="15">
      <c r="A22" s="46" t="s">
        <v>814</v>
      </c>
      <c r="B22" s="47" t="str">
        <f t="shared" si="0"/>
        <v>Bert Monteleone</v>
      </c>
      <c r="C22" s="48"/>
      <c r="D22" s="49">
        <v>4</v>
      </c>
      <c r="E22" s="49">
        <v>16.45</v>
      </c>
      <c r="F22" s="49" t="s">
        <v>544</v>
      </c>
      <c r="G22" s="49"/>
      <c r="H22" s="50" t="str">
        <f>IF($B22="","",IF($J22="X",B22,CONCATENATE(VLOOKUP(B22,Competitors!$A$2:$I$650,3,FALSE)," ",VLOOKUP(B22,Competitors!$A$2:$I$650,2,FALSE))))</f>
        <v>Bert Monteleone</v>
      </c>
      <c r="I22" s="51">
        <f t="shared" si="1"/>
        <v>2.968171296296296E-3</v>
      </c>
      <c r="J22" t="str">
        <f t="shared" si="2"/>
        <v>X</v>
      </c>
      <c r="K22">
        <v>21</v>
      </c>
    </row>
    <row r="23" spans="1:11" ht="15">
      <c r="A23" s="46" t="s">
        <v>479</v>
      </c>
      <c r="B23" s="47">
        <f t="shared" si="0"/>
        <v>1348</v>
      </c>
      <c r="C23" s="48"/>
      <c r="D23" s="49">
        <v>3</v>
      </c>
      <c r="E23" s="49">
        <v>59.65</v>
      </c>
      <c r="F23" s="49" t="s">
        <v>544</v>
      </c>
      <c r="G23" s="49"/>
      <c r="H23" s="50" t="str">
        <f>IF($B23="","",IF($J23="X",B23,CONCATENATE(VLOOKUP(B23,Competitors!$A$2:$I$650,3,FALSE)," ",VLOOKUP(B23,Competitors!$A$2:$I$650,2,FALSE))))</f>
        <v>Lydia Baxter</v>
      </c>
      <c r="I23" s="51">
        <f t="shared" si="1"/>
        <v>2.7737268518518519E-3</v>
      </c>
      <c r="J23" t="str">
        <f t="shared" si="2"/>
        <v/>
      </c>
      <c r="K23">
        <v>22</v>
      </c>
    </row>
    <row r="24" spans="1:11" ht="15">
      <c r="A24" s="46" t="s">
        <v>802</v>
      </c>
      <c r="B24" s="47" t="str">
        <f t="shared" si="0"/>
        <v>Victoria Shipley (KCC)</v>
      </c>
      <c r="C24" s="48"/>
      <c r="D24" s="49">
        <v>4</v>
      </c>
      <c r="E24" s="49">
        <v>16.2</v>
      </c>
      <c r="F24" s="49" t="s">
        <v>544</v>
      </c>
      <c r="G24" s="49"/>
      <c r="H24" s="50" t="str">
        <f>IF($B24="","",IF($J24="X",B24,CONCATENATE(VLOOKUP(B24,Competitors!$A$2:$I$650,3,FALSE)," ",VLOOKUP(B24,Competitors!$A$2:$I$650,2,FALSE))))</f>
        <v>Victoria Shipley (KCC)</v>
      </c>
      <c r="I24" s="51">
        <f t="shared" si="1"/>
        <v>2.9652777777777776E-3</v>
      </c>
      <c r="J24" t="str">
        <f t="shared" si="2"/>
        <v>X</v>
      </c>
      <c r="K24">
        <v>23</v>
      </c>
    </row>
    <row r="25" spans="1:11" ht="15">
      <c r="A25" s="46" t="s">
        <v>813</v>
      </c>
      <c r="B25" s="47" t="str">
        <f t="shared" si="0"/>
        <v>Andrea Woolcott (KCC)</v>
      </c>
      <c r="C25" s="48"/>
      <c r="D25" s="49">
        <v>4</v>
      </c>
      <c r="E25" s="49">
        <v>47.21</v>
      </c>
      <c r="F25" s="49" t="s">
        <v>544</v>
      </c>
      <c r="G25" s="49"/>
      <c r="H25" s="50" t="str">
        <f>IF($B25="","",IF($J25="X",B25,CONCATENATE(VLOOKUP(B25,Competitors!$A$2:$I$650,3,FALSE)," ",VLOOKUP(B25,Competitors!$A$2:$I$650,2,FALSE))))</f>
        <v>Andrea Woolcott (KCC)</v>
      </c>
      <c r="I25" s="51">
        <f t="shared" si="1"/>
        <v>3.3241898148148145E-3</v>
      </c>
      <c r="J25" t="str">
        <f t="shared" si="2"/>
        <v>X</v>
      </c>
      <c r="K25">
        <v>24</v>
      </c>
    </row>
    <row r="26" spans="1:11" ht="15">
      <c r="A26" s="46" t="s">
        <v>584</v>
      </c>
      <c r="B26" s="47" t="str">
        <f t="shared" si="0"/>
        <v>Graeme Hall (RFW)</v>
      </c>
      <c r="C26" s="48"/>
      <c r="D26" s="49">
        <v>4</v>
      </c>
      <c r="E26" s="49">
        <v>35.369999999999997</v>
      </c>
      <c r="F26" s="49" t="s">
        <v>544</v>
      </c>
      <c r="G26" s="49"/>
      <c r="H26" s="50" t="str">
        <f>IF($B26="","",IF($J26="X",B26,CONCATENATE(VLOOKUP(B26,Competitors!$A$2:$I$650,3,FALSE)," ",VLOOKUP(B26,Competitors!$A$2:$I$650,2,FALSE))))</f>
        <v>Graeme Hall (RFW)</v>
      </c>
      <c r="I26" s="51">
        <f t="shared" si="1"/>
        <v>3.1871527777777779E-3</v>
      </c>
      <c r="J26" t="str">
        <f t="shared" si="2"/>
        <v>X</v>
      </c>
      <c r="K26">
        <v>25</v>
      </c>
    </row>
    <row r="27" spans="1:11" ht="15">
      <c r="A27" s="46" t="s">
        <v>413</v>
      </c>
      <c r="B27" s="47">
        <f t="shared" si="0"/>
        <v>989</v>
      </c>
      <c r="C27" s="48"/>
      <c r="D27" s="49">
        <v>3</v>
      </c>
      <c r="E27" s="49">
        <v>54.01</v>
      </c>
      <c r="F27" s="49" t="s">
        <v>544</v>
      </c>
      <c r="G27" s="49"/>
      <c r="H27" s="50" t="str">
        <f>IF($B27="","",IF($J27="X",B27,CONCATENATE(VLOOKUP(B27,Competitors!$A$2:$I$650,3,FALSE)," ",VLOOKUP(B27,Competitors!$A$2:$I$650,2,FALSE))))</f>
        <v>Jason Williams</v>
      </c>
      <c r="I27" s="51">
        <f t="shared" si="1"/>
        <v>2.7084490740740741E-3</v>
      </c>
      <c r="J27" t="str">
        <f t="shared" si="2"/>
        <v/>
      </c>
      <c r="K27">
        <v>26</v>
      </c>
    </row>
    <row r="28" spans="1:11" ht="15">
      <c r="A28" s="46" t="s">
        <v>821</v>
      </c>
      <c r="B28" s="47" t="str">
        <f t="shared" si="0"/>
        <v>Andrew Brown (KCC)</v>
      </c>
      <c r="C28" s="48"/>
      <c r="D28" s="49">
        <v>4</v>
      </c>
      <c r="E28" s="49">
        <v>11.97</v>
      </c>
      <c r="F28" s="49" t="s">
        <v>544</v>
      </c>
      <c r="G28" s="49"/>
      <c r="H28" s="50" t="str">
        <f>IF($B28="","",IF($J28="X",B28,CONCATENATE(VLOOKUP(B28,Competitors!$A$2:$I$650,3,FALSE)," ",VLOOKUP(B28,Competitors!$A$2:$I$650,2,FALSE))))</f>
        <v>Andrew Brown (KCC)</v>
      </c>
      <c r="I28" s="51">
        <f t="shared" si="1"/>
        <v>2.9163194444444445E-3</v>
      </c>
      <c r="J28" t="str">
        <f t="shared" si="2"/>
        <v>X</v>
      </c>
      <c r="K28">
        <v>27</v>
      </c>
    </row>
    <row r="29" spans="1:11" ht="15">
      <c r="A29" s="46" t="s">
        <v>524</v>
      </c>
      <c r="B29" s="47" t="str">
        <f t="shared" si="0"/>
        <v>Michael Carter (RFW)</v>
      </c>
      <c r="C29" s="48"/>
      <c r="D29" s="49">
        <v>4</v>
      </c>
      <c r="E29" s="49">
        <v>5.38</v>
      </c>
      <c r="F29" s="49" t="s">
        <v>544</v>
      </c>
      <c r="G29" s="49"/>
      <c r="H29" s="50" t="str">
        <f>IF($B29="","",IF($J29="X",B29,CONCATENATE(VLOOKUP(B29,Competitors!$A$2:$I$650,3,FALSE)," ",VLOOKUP(B29,Competitors!$A$2:$I$650,2,FALSE))))</f>
        <v>Michael Carter (RFW)</v>
      </c>
      <c r="I29" s="51">
        <f t="shared" si="1"/>
        <v>2.8400462962962962E-3</v>
      </c>
      <c r="J29" t="str">
        <f t="shared" si="2"/>
        <v>X</v>
      </c>
      <c r="K29">
        <v>28</v>
      </c>
    </row>
    <row r="30" spans="1:11" ht="15">
      <c r="A30" s="46" t="s">
        <v>592</v>
      </c>
      <c r="B30" s="47">
        <f t="shared" si="0"/>
        <v>1390</v>
      </c>
      <c r="C30" s="48"/>
      <c r="D30" s="49">
        <v>3</v>
      </c>
      <c r="E30" s="49">
        <v>52.06</v>
      </c>
      <c r="F30" s="49" t="s">
        <v>544</v>
      </c>
      <c r="G30" s="49"/>
      <c r="H30" s="50" t="str">
        <f>IF($B30="","",IF($J30="X",B30,CONCATENATE(VLOOKUP(B30,Competitors!$A$2:$I$650,3,FALSE)," ",VLOOKUP(B30,Competitors!$A$2:$I$650,2,FALSE))))</f>
        <v>Diego Patteri</v>
      </c>
      <c r="I30" s="51">
        <f t="shared" si="1"/>
        <v>2.6858796296296296E-3</v>
      </c>
      <c r="J30" t="str">
        <f t="shared" si="2"/>
        <v/>
      </c>
      <c r="K30">
        <v>29</v>
      </c>
    </row>
    <row r="31" spans="1:11" ht="15">
      <c r="A31" s="46" t="s">
        <v>820</v>
      </c>
      <c r="B31" s="47" t="str">
        <f t="shared" si="0"/>
        <v>Darren Gillings (KCC)</v>
      </c>
      <c r="C31" s="48"/>
      <c r="D31" s="49">
        <v>4</v>
      </c>
      <c r="E31" s="49">
        <v>6.56</v>
      </c>
      <c r="F31" s="49" t="s">
        <v>544</v>
      </c>
      <c r="G31" s="49"/>
      <c r="H31" s="50" t="str">
        <f>IF($B31="","",IF($J31="X",B31,CONCATENATE(VLOOKUP(B31,Competitors!$A$2:$I$650,3,FALSE)," ",VLOOKUP(B31,Competitors!$A$2:$I$650,2,FALSE))))</f>
        <v>Darren Gillings (KCC)</v>
      </c>
      <c r="I31" s="51">
        <f t="shared" si="1"/>
        <v>2.8537037037037038E-3</v>
      </c>
      <c r="J31" t="str">
        <f t="shared" si="2"/>
        <v>X</v>
      </c>
      <c r="K31">
        <v>30</v>
      </c>
    </row>
    <row r="32" spans="1:11" ht="15">
      <c r="A32" s="46" t="s">
        <v>811</v>
      </c>
      <c r="B32" s="47" t="str">
        <f t="shared" si="0"/>
        <v>Jasper Scarratt (Pedal Power Loughborough)</v>
      </c>
      <c r="C32" s="48"/>
      <c r="D32" s="49">
        <v>4</v>
      </c>
      <c r="E32" s="49">
        <v>40.520000000000003</v>
      </c>
      <c r="F32" s="49" t="s">
        <v>544</v>
      </c>
      <c r="G32" s="49"/>
      <c r="H32" s="50" t="str">
        <f>IF($B32="","",IF($J32="X",B32,CONCATENATE(VLOOKUP(B32,Competitors!$A$2:$I$650,3,FALSE)," ",VLOOKUP(B32,Competitors!$A$2:$I$650,2,FALSE))))</f>
        <v>Jasper Scarratt (Pedal Power Loughborough)</v>
      </c>
      <c r="I32" s="51">
        <f t="shared" si="1"/>
        <v>3.2467592592592591E-3</v>
      </c>
      <c r="J32" t="str">
        <f t="shared" si="2"/>
        <v>X</v>
      </c>
      <c r="K32">
        <v>31</v>
      </c>
    </row>
    <row r="33" spans="1:11" ht="15">
      <c r="A33" s="46" t="s">
        <v>488</v>
      </c>
      <c r="B33" s="47" t="str">
        <f t="shared" si="0"/>
        <v>Sam Nettel (LFCC)</v>
      </c>
      <c r="C33" s="48"/>
      <c r="D33" s="49">
        <v>3</v>
      </c>
      <c r="E33" s="49">
        <v>45.06</v>
      </c>
      <c r="F33" s="49" t="s">
        <v>544</v>
      </c>
      <c r="G33" s="49"/>
      <c r="H33" s="50" t="str">
        <f>IF($B33="","",IF($J33="X",B33,CONCATENATE(VLOOKUP(B33,Competitors!$A$2:$I$650,3, FALSE)," ",VLOOKUP(B33,Competitors!$A$2:$I$650,2,FALSE))))</f>
        <v>Sam Nettel (LFCC)</v>
      </c>
      <c r="I33" s="51">
        <f t="shared" si="1"/>
        <v>2.6048611111111112E-3</v>
      </c>
      <c r="J33" t="str">
        <f t="shared" si="2"/>
        <v>X</v>
      </c>
      <c r="K33">
        <v>32</v>
      </c>
    </row>
    <row r="34" spans="1:11" ht="15">
      <c r="A34" s="46" t="s">
        <v>789</v>
      </c>
      <c r="B34" s="47" t="str">
        <f t="shared" ref="B34:B65" si="3">IF(A34="","",_xlfn.XLOOKUP(A34,ClubNames,ClubNumbers,_xlfn.XLOOKUP(A34,RoundRobinRiderNames,RoundRobinRiderDecoratedNames,A34)))</f>
        <v>Evan Collett (George Fox CS) (KCC)</v>
      </c>
      <c r="C34" s="48"/>
      <c r="D34" s="49">
        <v>3</v>
      </c>
      <c r="E34" s="49">
        <v>37.32</v>
      </c>
      <c r="F34" s="49" t="s">
        <v>544</v>
      </c>
      <c r="G34" s="49"/>
      <c r="H34" s="50" t="str">
        <f>IF($B34="","",IF($J34="X",B34,CONCATENATE(VLOOKUP(B34,Competitors!$A$2:$I$650,3,FALSE)," ",VLOOKUP(B34,Competitors!$A$2:$I$650,2,FALSE))))</f>
        <v>Evan Collett (George Fox CS) (KCC)</v>
      </c>
      <c r="I34" s="51">
        <f t="shared" ref="I34:I65" si="4">IF(LEFT($F34,1)="D",UPPER($F34),(C34*3600+D34*60+E34)/86400)</f>
        <v>2.5152777777777777E-3</v>
      </c>
      <c r="J34" t="str">
        <f t="shared" ref="J34:J65" si="5">IF(OR(B34="",ISNUMBER(B34)),"","X")</f>
        <v>X</v>
      </c>
      <c r="K34">
        <v>33</v>
      </c>
    </row>
    <row r="35" spans="1:11" ht="15">
      <c r="A35" s="46" t="s">
        <v>803</v>
      </c>
      <c r="B35" s="47" t="str">
        <f t="shared" si="3"/>
        <v>Nigel Tomlinson (RFW)</v>
      </c>
      <c r="C35" s="48"/>
      <c r="D35" s="49">
        <v>4</v>
      </c>
      <c r="E35" s="49">
        <v>40.47</v>
      </c>
      <c r="F35" s="49" t="s">
        <v>544</v>
      </c>
      <c r="G35" s="49"/>
      <c r="H35" s="50" t="str">
        <f>IF($B35="","",IF($J35="X",B35,CONCATENATE(VLOOKUP(B35,Competitors!$A$2:$I$650,3,FALSE)," ",VLOOKUP(B35,Competitors!$A$2:$I$650,2,FALSE))))</f>
        <v>Nigel Tomlinson (RFW)</v>
      </c>
      <c r="I35" s="51">
        <f t="shared" si="4"/>
        <v>3.246180555555556E-3</v>
      </c>
      <c r="J35" t="str">
        <f t="shared" si="5"/>
        <v>X</v>
      </c>
      <c r="K35">
        <v>34</v>
      </c>
    </row>
    <row r="36" spans="1:11" ht="15">
      <c r="A36" s="46" t="s">
        <v>412</v>
      </c>
      <c r="B36" s="47">
        <f t="shared" si="3"/>
        <v>1144</v>
      </c>
      <c r="C36" s="48"/>
      <c r="D36" s="49">
        <v>3</v>
      </c>
      <c r="E36" s="49">
        <v>33.33</v>
      </c>
      <c r="F36" s="49" t="s">
        <v>544</v>
      </c>
      <c r="G36" s="49"/>
      <c r="H36" s="50" t="str">
        <f>IF($B36="","",IF($J36="X",B36,CONCATENATE(VLOOKUP(B36,Competitors!$A$2:$I$650,3,FALSE)," ",VLOOKUP(B36,Competitors!$A$2:$I$650,2,FALSE))))</f>
        <v>Jamie Kershaw</v>
      </c>
      <c r="I36" s="51">
        <f t="shared" si="4"/>
        <v>2.4690972222222219E-3</v>
      </c>
      <c r="J36" t="str">
        <f t="shared" si="5"/>
        <v/>
      </c>
      <c r="K36">
        <v>35</v>
      </c>
    </row>
    <row r="37" spans="1:11" ht="15">
      <c r="A37" s="46" t="s">
        <v>625</v>
      </c>
      <c r="B37" s="47" t="str">
        <f t="shared" si="3"/>
        <v>Ethan Mitchell-Clarke (Team Bottrill Nopinz) (RFW)</v>
      </c>
      <c r="C37" s="48"/>
      <c r="D37" s="49">
        <v>3</v>
      </c>
      <c r="E37" s="49">
        <v>36.200000000000003</v>
      </c>
      <c r="F37" s="49" t="s">
        <v>544</v>
      </c>
      <c r="G37" s="49"/>
      <c r="H37" s="50" t="str">
        <f>IF($B37="","",IF($J37="X",B37,CONCATENATE(VLOOKUP(B37,Competitors!$A$2:$I$650,3,FALSE)," ",VLOOKUP(B37,Competitors!$A$2:$I$650,2,FALSE))))</f>
        <v>Ethan Mitchell-Clarke (Team Bottrill Nopinz) (RFW)</v>
      </c>
      <c r="I37" s="51">
        <f t="shared" si="4"/>
        <v>2.5023148148148149E-3</v>
      </c>
      <c r="J37" t="str">
        <f t="shared" si="5"/>
        <v>X</v>
      </c>
      <c r="K37">
        <v>37</v>
      </c>
    </row>
    <row r="38" spans="1:11" ht="15">
      <c r="A38" s="46" t="s">
        <v>816</v>
      </c>
      <c r="B38" s="47" t="str">
        <f t="shared" si="3"/>
        <v>Lukas Humplik (Beeston CC) (KCC)</v>
      </c>
      <c r="C38" s="48"/>
      <c r="D38" s="49">
        <v>3</v>
      </c>
      <c r="E38" s="49">
        <v>37.15</v>
      </c>
      <c r="F38" s="49" t="s">
        <v>544</v>
      </c>
      <c r="G38" s="49"/>
      <c r="H38" s="50" t="str">
        <f>IF($B38="","",IF($J38="X",B38,CONCATENATE(VLOOKUP(B38,Competitors!$A$2:$I$650,3,FALSE)," ",VLOOKUP(B38,Competitors!$A$2:$I$650,2,FALSE))))</f>
        <v>Lukas Humplik (Beeston CC) (KCC)</v>
      </c>
      <c r="I38" s="51">
        <f t="shared" si="4"/>
        <v>2.5133101851851853E-3</v>
      </c>
      <c r="J38" t="str">
        <f t="shared" si="5"/>
        <v>X</v>
      </c>
      <c r="K38">
        <v>38</v>
      </c>
    </row>
    <row r="39" spans="1:11" ht="15">
      <c r="A39" s="46" t="s">
        <v>517</v>
      </c>
      <c r="B39" s="47" t="str">
        <f t="shared" si="3"/>
        <v>Chris Fowler (RFW)</v>
      </c>
      <c r="C39" s="48"/>
      <c r="D39" s="49">
        <v>3</v>
      </c>
      <c r="E39" s="49">
        <v>56.15</v>
      </c>
      <c r="F39" s="49" t="s">
        <v>544</v>
      </c>
      <c r="G39" s="49"/>
      <c r="H39" s="50" t="str">
        <f>IF($B39="","",IF($J39="X",B39,CONCATENATE(VLOOKUP(B39,Competitors!$A$2:$I$650,3,FALSE)," ",VLOOKUP(B39,Competitors!$A$2:$I$650,2,FALSE))))</f>
        <v>Chris Fowler (RFW)</v>
      </c>
      <c r="I39" s="51">
        <f t="shared" si="4"/>
        <v>2.7332175925925926E-3</v>
      </c>
      <c r="J39" t="str">
        <f t="shared" si="5"/>
        <v>X</v>
      </c>
      <c r="K39">
        <v>39</v>
      </c>
    </row>
    <row r="40" spans="1:11" ht="15">
      <c r="A40" s="46" t="s">
        <v>812</v>
      </c>
      <c r="B40" s="47" t="str">
        <f t="shared" si="3"/>
        <v>Ondrej Humplik (KCC)</v>
      </c>
      <c r="C40" s="48"/>
      <c r="D40" s="49">
        <v>4</v>
      </c>
      <c r="E40" s="49">
        <v>23.57</v>
      </c>
      <c r="F40" s="49" t="s">
        <v>544</v>
      </c>
      <c r="G40" s="49"/>
      <c r="H40" s="50" t="str">
        <f>IF($B40="","",IF($J40="X",B40,CONCATENATE(VLOOKUP(B40,Competitors!$A$2:$I$650,3,FALSE)," ",VLOOKUP(B40,Competitors!$A$2:$I$650,2,FALSE))))</f>
        <v>Ondrej Humplik (KCC)</v>
      </c>
      <c r="I40" s="51">
        <f t="shared" si="4"/>
        <v>3.0505787037037038E-3</v>
      </c>
      <c r="J40" t="str">
        <f t="shared" si="5"/>
        <v>X</v>
      </c>
      <c r="K40">
        <v>40</v>
      </c>
    </row>
    <row r="41" spans="1:11" ht="15">
      <c r="A41" s="46" t="s">
        <v>794</v>
      </c>
      <c r="B41" s="47" t="str">
        <f t="shared" si="3"/>
        <v>Simon Addy (RFW)</v>
      </c>
      <c r="C41" s="48"/>
      <c r="D41" s="49">
        <v>4</v>
      </c>
      <c r="E41" s="49">
        <v>17.149999999999999</v>
      </c>
      <c r="F41" s="49" t="s">
        <v>544</v>
      </c>
      <c r="G41" s="49"/>
      <c r="H41" s="50" t="str">
        <f>IF($B41="","",IF($J41="X",B41,CONCATENATE(VLOOKUP(B41,Competitors!$A$2:$I$650,3,FALSE)," ",VLOOKUP(B41,Competitors!$A$2:$I$650,2,FALSE))))</f>
        <v>Simon Addy (RFW)</v>
      </c>
      <c r="I41" s="51">
        <f t="shared" si="4"/>
        <v>2.976273148148148E-3</v>
      </c>
      <c r="J41" t="str">
        <f t="shared" si="5"/>
        <v>X</v>
      </c>
      <c r="K41">
        <v>41</v>
      </c>
    </row>
    <row r="42" spans="1:11" ht="15">
      <c r="A42" s="46" t="s">
        <v>809</v>
      </c>
      <c r="B42" s="47" t="str">
        <f t="shared" si="3"/>
        <v>Dave Cunningham (KCC)</v>
      </c>
      <c r="C42" s="48"/>
      <c r="D42" s="49">
        <v>4</v>
      </c>
      <c r="E42" s="49">
        <v>2.2799999999999998</v>
      </c>
      <c r="F42" s="49" t="s">
        <v>544</v>
      </c>
      <c r="G42" s="49"/>
      <c r="H42" s="50" t="str">
        <f>IF($B42="","",IF($J42="X",B42,CONCATENATE(VLOOKUP(B42,Competitors!$A$2:$I$650,3,FALSE)," ",VLOOKUP(B42,Competitors!$A$2:$I$650,2,FALSE))))</f>
        <v>Dave Cunningham (KCC)</v>
      </c>
      <c r="I42" s="51">
        <f t="shared" si="4"/>
        <v>2.8041666666666666E-3</v>
      </c>
      <c r="J42" t="str">
        <f t="shared" si="5"/>
        <v>X</v>
      </c>
      <c r="K42">
        <v>42</v>
      </c>
    </row>
    <row r="43" spans="1:11" ht="15">
      <c r="A43" s="46" t="s">
        <v>414</v>
      </c>
      <c r="B43" s="47">
        <f t="shared" si="3"/>
        <v>699</v>
      </c>
      <c r="C43" s="48"/>
      <c r="D43" s="49">
        <v>4</v>
      </c>
      <c r="E43" s="49">
        <v>36.340000000000003</v>
      </c>
      <c r="F43" s="49" t="s">
        <v>544</v>
      </c>
      <c r="G43" s="49"/>
      <c r="H43" s="50" t="str">
        <f>IF($B43="","",IF($J43="X",B43,CONCATENATE(VLOOKUP(B43,Competitors!$A$2:$I$650,3,FALSE)," ",VLOOKUP(B43,Competitors!$A$2:$I$650,2,FALSE))))</f>
        <v>Jonathan Durnin</v>
      </c>
      <c r="I43" s="51">
        <f t="shared" si="4"/>
        <v>3.19837962962963E-3</v>
      </c>
      <c r="J43" t="str">
        <f t="shared" si="5"/>
        <v/>
      </c>
      <c r="K43">
        <v>43</v>
      </c>
    </row>
    <row r="44" spans="1:11" ht="15">
      <c r="A44" s="46" t="s">
        <v>797</v>
      </c>
      <c r="B44" s="47" t="str">
        <f t="shared" si="3"/>
        <v>Jake Bird (Beeston CC) (KCC)</v>
      </c>
      <c r="C44" s="48"/>
      <c r="D44" s="49">
        <v>3</v>
      </c>
      <c r="E44" s="49">
        <v>24.37</v>
      </c>
      <c r="F44" s="49" t="s">
        <v>544</v>
      </c>
      <c r="G44" s="49"/>
      <c r="H44" s="50" t="str">
        <f>IF($B44="","",IF($J44="X",B44,CONCATENATE(VLOOKUP(B44,Competitors!$A$2:$I$650,3,FALSE)," ",VLOOKUP(B44,Competitors!$A$2:$I$650,2,FALSE))))</f>
        <v>Jake Bird (Beeston CC) (KCC)</v>
      </c>
      <c r="I44" s="51">
        <f t="shared" si="4"/>
        <v>2.3653935185185184E-3</v>
      </c>
      <c r="J44" t="str">
        <f t="shared" si="5"/>
        <v>X</v>
      </c>
      <c r="K44">
        <v>44</v>
      </c>
    </row>
    <row r="45" spans="1:11" ht="15">
      <c r="A45" s="46" t="s">
        <v>589</v>
      </c>
      <c r="B45" s="47" t="str">
        <f t="shared" si="3"/>
        <v>Alex Barrowman (RFW)</v>
      </c>
      <c r="C45" s="48"/>
      <c r="D45" s="49"/>
      <c r="E45" s="49"/>
      <c r="F45" s="49" t="s">
        <v>544</v>
      </c>
      <c r="G45" s="49" t="s">
        <v>557</v>
      </c>
      <c r="H45" s="50" t="str">
        <f>IF($B45="","",IF($J45="X",B45,CONCATENATE(VLOOKUP(B45,Competitors!$A$2:$I$650,3,FALSE)," ",VLOOKUP(B45,Competitors!$A$2:$I$650,2,FALSE))))</f>
        <v>Alex Barrowman (RFW)</v>
      </c>
      <c r="I45" s="51">
        <f t="shared" si="4"/>
        <v>0</v>
      </c>
      <c r="J45" t="str">
        <f t="shared" si="5"/>
        <v>X</v>
      </c>
      <c r="K45">
        <v>45</v>
      </c>
    </row>
    <row r="46" spans="1:11" ht="15">
      <c r="A46" s="46" t="s">
        <v>806</v>
      </c>
      <c r="B46" s="47" t="str">
        <f t="shared" si="3"/>
        <v>Michael Cowland (KCC)</v>
      </c>
      <c r="C46" s="48"/>
      <c r="D46" s="49">
        <v>3</v>
      </c>
      <c r="E46" s="49">
        <v>55.02</v>
      </c>
      <c r="F46" s="49" t="s">
        <v>544</v>
      </c>
      <c r="G46" s="49"/>
      <c r="H46" s="50" t="str">
        <f>IF($B46="","",IF($J46="X",B46,CONCATENATE(VLOOKUP(B46,Competitors!$A$2:$I$650,3,FALSE)," ",VLOOKUP(B46,Competitors!$A$2:$I$650,2,FALSE))))</f>
        <v>Michael Cowland (KCC)</v>
      </c>
      <c r="I46" s="51">
        <f t="shared" si="4"/>
        <v>2.7201388888888891E-3</v>
      </c>
      <c r="J46" t="str">
        <f t="shared" si="5"/>
        <v>X</v>
      </c>
      <c r="K46">
        <v>46</v>
      </c>
    </row>
    <row r="47" spans="1:11" ht="15">
      <c r="A47" s="46" t="s">
        <v>827</v>
      </c>
      <c r="B47" s="47" t="str">
        <f t="shared" si="3"/>
        <v>Ryan O'Dwyer (KCC)</v>
      </c>
      <c r="C47" s="48"/>
      <c r="D47" s="49">
        <v>4</v>
      </c>
      <c r="E47" s="49">
        <v>8.07</v>
      </c>
      <c r="F47" s="49" t="s">
        <v>544</v>
      </c>
      <c r="G47" s="49"/>
      <c r="H47" s="50" t="str">
        <f>IF($B47="","",IF($J47="X",B47,CONCATENATE(VLOOKUP(B47,Competitors!$A$2:$I$650,3,FALSE)," ",VLOOKUP(B47,Competitors!$A$2:$I$650,2,FALSE))))</f>
        <v>Ryan O'Dwyer (KCC)</v>
      </c>
      <c r="I47" s="51">
        <f t="shared" si="4"/>
        <v>2.8711805555555556E-3</v>
      </c>
      <c r="J47" t="str">
        <f t="shared" si="5"/>
        <v>X</v>
      </c>
    </row>
    <row r="48" spans="1:11" ht="15">
      <c r="A48" s="46" t="s">
        <v>823</v>
      </c>
      <c r="B48" s="47" t="str">
        <f t="shared" si="3"/>
        <v>Sean Adamson (RFW)</v>
      </c>
      <c r="C48" s="48"/>
      <c r="D48" s="49">
        <v>5</v>
      </c>
      <c r="E48" s="49">
        <v>3.45</v>
      </c>
      <c r="F48" s="49" t="s">
        <v>544</v>
      </c>
      <c r="G48" s="49"/>
      <c r="H48" s="50" t="str">
        <f>IF($B48="","",IF($J48="X",B48,CONCATENATE(VLOOKUP(B48,Competitors!$A$2:$I$650,3,FALSE)," ",VLOOKUP(B48,Competitors!$A$2:$I$650,2,FALSE))))</f>
        <v>Sean Adamson (RFW)</v>
      </c>
      <c r="I48" s="51">
        <f t="shared" si="4"/>
        <v>3.5121527777777777E-3</v>
      </c>
      <c r="J48" t="str">
        <f t="shared" si="5"/>
        <v>X</v>
      </c>
    </row>
    <row r="49" spans="1:10" ht="15">
      <c r="A49" s="46" t="s">
        <v>484</v>
      </c>
      <c r="B49" s="47" t="str">
        <f t="shared" si="3"/>
        <v>Josh Brown (KCC)</v>
      </c>
      <c r="C49" s="48"/>
      <c r="D49" s="49">
        <v>3</v>
      </c>
      <c r="E49" s="49">
        <v>21.85</v>
      </c>
      <c r="F49" s="49" t="s">
        <v>544</v>
      </c>
      <c r="G49" s="49"/>
      <c r="H49" s="50" t="str">
        <f>IF($B49="","",IF($J49="X",B49,CONCATENATE(VLOOKUP(B49,Competitors!$A$2:$I$650,3,FALSE)," ",VLOOKUP(B49,Competitors!$A$2:$I$650,2,FALSE))))</f>
        <v>Josh Brown (KCC)</v>
      </c>
      <c r="I49" s="51">
        <f t="shared" si="4"/>
        <v>2.3362268518518519E-3</v>
      </c>
      <c r="J49" t="str">
        <f t="shared" si="5"/>
        <v>X</v>
      </c>
    </row>
    <row r="50" spans="1:10" ht="15">
      <c r="A50" s="46" t="s">
        <v>824</v>
      </c>
      <c r="B50" s="47" t="str">
        <f t="shared" si="3"/>
        <v>Karen Foster (RFW)</v>
      </c>
      <c r="C50" s="48"/>
      <c r="D50" s="49">
        <v>7</v>
      </c>
      <c r="E50" s="49">
        <v>11.28</v>
      </c>
      <c r="F50" s="49" t="s">
        <v>544</v>
      </c>
      <c r="G50" s="49"/>
      <c r="H50" s="50" t="str">
        <f>IF($B50="","",IF($J50="X",B50,CONCATENATE(VLOOKUP(B50,Competitors!$A$2:$I$650,3,FALSE)," ",VLOOKUP(B50,Competitors!$A$2:$I$650,2,FALSE))))</f>
        <v>Karen Foster (RFW)</v>
      </c>
      <c r="I50" s="51">
        <f t="shared" si="4"/>
        <v>4.991666666666666E-3</v>
      </c>
      <c r="J50" t="str">
        <f t="shared" si="5"/>
        <v>X</v>
      </c>
    </row>
    <row r="51" spans="1:10" ht="15">
      <c r="A51" s="46" t="s">
        <v>825</v>
      </c>
      <c r="B51" s="47" t="str">
        <f t="shared" si="3"/>
        <v>Jessica Thomas (RFW)</v>
      </c>
      <c r="C51" s="48"/>
      <c r="D51" s="49">
        <v>6</v>
      </c>
      <c r="E51" s="49">
        <v>42.08</v>
      </c>
      <c r="F51" s="49" t="s">
        <v>544</v>
      </c>
      <c r="G51" s="49"/>
      <c r="H51" s="50" t="str">
        <f>IF($B51="","",IF($J51="X",B51,CONCATENATE(VLOOKUP(B51,Competitors!$A$2:$I$650,3,FALSE)," ",VLOOKUP(B51,Competitors!$A$2:$I$650,2,FALSE))))</f>
        <v>Jessica Thomas (RFW)</v>
      </c>
      <c r="I51" s="51">
        <f t="shared" si="4"/>
        <v>4.6537037037037033E-3</v>
      </c>
      <c r="J51" t="str">
        <f t="shared" si="5"/>
        <v>X</v>
      </c>
    </row>
    <row r="52" spans="1:10" ht="15">
      <c r="A52" s="46" t="s">
        <v>826</v>
      </c>
      <c r="B52" s="47" t="str">
        <f t="shared" si="3"/>
        <v>Graham Waterfield (RFW)</v>
      </c>
      <c r="C52" s="48"/>
      <c r="D52" s="49">
        <v>5</v>
      </c>
      <c r="E52" s="49">
        <v>14.21</v>
      </c>
      <c r="F52" s="49" t="s">
        <v>544</v>
      </c>
      <c r="G52" s="49"/>
      <c r="H52" s="50" t="str">
        <f>IF($B52="","",IF($J52="X",B52,CONCATENATE(VLOOKUP(B52,Competitors!$A$2:$I$650,3,FALSE)," ",VLOOKUP(B52,Competitors!$A$2:$I$650,2,FALSE))))</f>
        <v>Graham Waterfield (RFW)</v>
      </c>
      <c r="I52" s="51">
        <f t="shared" si="4"/>
        <v>3.6366898148148144E-3</v>
      </c>
      <c r="J52" t="str">
        <f t="shared" si="5"/>
        <v>X</v>
      </c>
    </row>
    <row r="53" spans="1:10" ht="15">
      <c r="A53" s="46" t="s">
        <v>417</v>
      </c>
      <c r="B53" s="47">
        <f t="shared" si="3"/>
        <v>1152</v>
      </c>
      <c r="C53" s="48"/>
      <c r="D53" s="49">
        <v>4</v>
      </c>
      <c r="E53" s="49">
        <v>3.45</v>
      </c>
      <c r="F53" s="49" t="s">
        <v>544</v>
      </c>
      <c r="G53" s="49"/>
      <c r="H53" s="50" t="str">
        <f>IF($B53="","",IF($J53="X",B53,CONCATENATE(VLOOKUP(B53,Competitors!$A$2:$I$650,3,FALSE)," ",VLOOKUP(B53,Competitors!$A$2:$I$650,2,FALSE))))</f>
        <v>Ruby Isaac</v>
      </c>
      <c r="I53" s="51">
        <f t="shared" si="4"/>
        <v>2.8177083333333331E-3</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ref="B66:B97" si="6">IF(A66="","",_xlfn.XLOOKUP(A66,ClubNames,ClubNumbers,_xlfn.XLOOKUP(A66,RoundRobinRiderNames,RoundRobinRiderDecoratedNames,A66)))</f>
        <v/>
      </c>
      <c r="C66" s="48"/>
      <c r="D66" s="49"/>
      <c r="E66" s="49"/>
      <c r="F66" s="49"/>
      <c r="G66" s="49"/>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9"/>
      <c r="E67" s="49"/>
      <c r="F67" s="49"/>
      <c r="G67" s="49"/>
      <c r="H67" s="50" t="str">
        <f>IF($B67="","",IF($J67="X",B67,CONCATENATE(VLOOKUP(B67,Competitors!$A$2:$I$650,3,FALSE)," ",VLOOKUP(B67,Competitors!$A$2:$I$650,2,FALSE))))</f>
        <v/>
      </c>
      <c r="I67" s="51">
        <f t="shared" si="7"/>
        <v>0</v>
      </c>
      <c r="J67" t="str">
        <f t="shared" si="8"/>
        <v/>
      </c>
    </row>
    <row r="68" spans="1:10" ht="15">
      <c r="A68" s="46"/>
      <c r="B68" s="47" t="str">
        <f t="shared" si="6"/>
        <v/>
      </c>
      <c r="C68" s="48"/>
      <c r="D68" s="49"/>
      <c r="E68" s="49"/>
      <c r="F68" s="49"/>
      <c r="G68" s="49"/>
      <c r="H68" s="50" t="str">
        <f>IF($B68="","",IF($J68="X",B68,CONCATENATE(VLOOKUP(B68,Competitors!$A$2:$I$650,3,FALSE)," ",VLOOKUP(B68,Competitors!$A$2:$I$650,2,FALSE))))</f>
        <v/>
      </c>
      <c r="I68" s="51">
        <f t="shared" si="7"/>
        <v>0</v>
      </c>
      <c r="J68" t="str">
        <f t="shared" si="8"/>
        <v/>
      </c>
    </row>
    <row r="69" spans="1:10" ht="15">
      <c r="A69" s="46"/>
      <c r="B69" s="47" t="str">
        <f t="shared" si="6"/>
        <v/>
      </c>
      <c r="C69" s="48"/>
      <c r="D69" s="49"/>
      <c r="E69" s="49"/>
      <c r="F69" s="49"/>
      <c r="G69" s="49"/>
      <c r="H69" s="50" t="str">
        <f>IF($B69="","",IF($J69="X",B69,CONCATENATE(VLOOKUP(B69,Competitors!$A$2:$I$650,3,FALSE)," ",VLOOKUP(B69,Competitors!$A$2:$I$650,2,FALSE))))</f>
        <v/>
      </c>
      <c r="I69" s="51">
        <f t="shared" si="7"/>
        <v>0</v>
      </c>
      <c r="J69" t="str">
        <f t="shared" si="8"/>
        <v/>
      </c>
    </row>
    <row r="70" spans="1:10" ht="15">
      <c r="A70" s="46"/>
      <c r="B70" s="47" t="str">
        <f t="shared" si="6"/>
        <v/>
      </c>
      <c r="C70" s="48"/>
      <c r="D70" s="49"/>
      <c r="E70" s="49"/>
      <c r="F70" s="49"/>
      <c r="G70" s="49"/>
      <c r="H70" s="50" t="str">
        <f>IF($B70="","",IF($J70="X",B70,CONCATENATE(VLOOKUP(B70,Competitors!$A$2:$I$650,3,FALSE)," ",VLOOKUP(B70,Competitors!$A$2:$I$650,2,FALSE))))</f>
        <v/>
      </c>
      <c r="I70" s="51">
        <f t="shared" si="7"/>
        <v>0</v>
      </c>
      <c r="J70" t="str">
        <f t="shared" si="8"/>
        <v/>
      </c>
    </row>
    <row r="71" spans="1:10" ht="15">
      <c r="A71" s="46"/>
      <c r="B71" s="47" t="str">
        <f t="shared" si="6"/>
        <v/>
      </c>
      <c r="C71" s="48"/>
      <c r="D71" s="49"/>
      <c r="E71" s="49"/>
      <c r="F71" s="49"/>
      <c r="G71" s="49"/>
      <c r="H71" s="50" t="str">
        <f>IF($B71="","",IF($J71="X",B71,CONCATENATE(VLOOKUP(B71,Competitors!$A$2:$I$650,3,FALSE)," ",VLOOKUP(B71,Competitors!$A$2:$I$650,2,FALSE))))</f>
        <v/>
      </c>
      <c r="I71" s="51">
        <f t="shared" si="7"/>
        <v>0</v>
      </c>
      <c r="J71" t="str">
        <f t="shared" si="8"/>
        <v/>
      </c>
    </row>
    <row r="72" spans="1:10" ht="15">
      <c r="A72" s="46"/>
      <c r="B72" s="47" t="str">
        <f t="shared" si="6"/>
        <v/>
      </c>
      <c r="C72" s="48"/>
      <c r="D72" s="49"/>
      <c r="E72" s="49"/>
      <c r="F72" s="49"/>
      <c r="G72" s="49"/>
      <c r="H72" s="50" t="str">
        <f>IF($B72="","",IF($J72="X",B72,CONCATENATE(VLOOKUP(B72,Competitors!$A$2:$I$650,3,FALSE)," ",VLOOKUP(B72,Competitors!$A$2:$I$650,2,FALSE))))</f>
        <v/>
      </c>
      <c r="I72" s="51">
        <f t="shared" si="7"/>
        <v>0</v>
      </c>
      <c r="J72" t="str">
        <f t="shared" si="8"/>
        <v/>
      </c>
    </row>
    <row r="73" spans="1:10" ht="15">
      <c r="A73" s="46"/>
      <c r="B73" s="47" t="str">
        <f t="shared" si="6"/>
        <v/>
      </c>
      <c r="C73" s="48"/>
      <c r="D73" s="49"/>
      <c r="E73" s="49"/>
      <c r="F73" s="49"/>
      <c r="G73" s="49"/>
      <c r="H73" s="50" t="str">
        <f>IF($B73="","",IF($J73="X",B73,CONCATENATE(VLOOKUP(B73,Competitors!$A$2:$I$650,3,FALSE)," ",VLOOKUP(B73,Competitors!$A$2:$I$650,2,FALSE))))</f>
        <v/>
      </c>
      <c r="I73" s="51">
        <f t="shared" si="7"/>
        <v>0</v>
      </c>
      <c r="J73" t="str">
        <f t="shared" si="8"/>
        <v/>
      </c>
    </row>
    <row r="74" spans="1:10" ht="15">
      <c r="A74" s="46"/>
      <c r="B74" s="47" t="str">
        <f t="shared" si="6"/>
        <v/>
      </c>
      <c r="C74" s="48"/>
      <c r="D74" s="49"/>
      <c r="E74" s="49"/>
      <c r="F74" s="49"/>
      <c r="G74" s="49"/>
      <c r="H74" s="50" t="str">
        <f>IF($B74="","",IF($J74="X",B74,CONCATENATE(VLOOKUP(B74,Competitors!$A$2:$I$650,3,FALSE)," ",VLOOKUP(B74,Competitors!$A$2:$I$650,2,FALSE))))</f>
        <v/>
      </c>
      <c r="I74" s="51">
        <f t="shared" si="7"/>
        <v>0</v>
      </c>
      <c r="J74" t="str">
        <f t="shared" si="8"/>
        <v/>
      </c>
    </row>
    <row r="75" spans="1:10" ht="15">
      <c r="A75" s="46"/>
      <c r="B75" s="47" t="str">
        <f t="shared" si="6"/>
        <v/>
      </c>
      <c r="C75" s="48"/>
      <c r="D75" s="49"/>
      <c r="E75" s="49"/>
      <c r="F75" s="49"/>
      <c r="G75" s="49"/>
      <c r="H75" s="50" t="str">
        <f>IF($B75="","",IF($J75="X",B75,CONCATENATE(VLOOKUP(B75,Competitors!$A$2:$I$650,3,FALSE)," ",VLOOKUP(B75,Competitors!$A$2:$I$650,2,FALSE))))</f>
        <v/>
      </c>
      <c r="I75" s="51">
        <f t="shared" si="7"/>
        <v>0</v>
      </c>
      <c r="J75" t="str">
        <f t="shared" si="8"/>
        <v/>
      </c>
    </row>
    <row r="76" spans="1:10" ht="15">
      <c r="A76" s="46"/>
      <c r="B76" s="47" t="str">
        <f t="shared" si="6"/>
        <v/>
      </c>
      <c r="C76" s="48"/>
      <c r="D76" s="49"/>
      <c r="E76" s="49"/>
      <c r="F76" s="49"/>
      <c r="G76" s="49"/>
      <c r="H76" s="50" t="str">
        <f>IF($B76="","",IF($J76="X",B76,CONCATENATE(VLOOKUP(B76,Competitors!$A$2:$I$650,3,FALSE)," ",VLOOKUP(B76,Competitors!$A$2:$I$650,2,FALSE))))</f>
        <v/>
      </c>
      <c r="I76" s="51">
        <f t="shared" si="7"/>
        <v>0</v>
      </c>
      <c r="J76" t="str">
        <f t="shared" si="8"/>
        <v/>
      </c>
    </row>
    <row r="77" spans="1:10" ht="15">
      <c r="A77" s="46"/>
      <c r="B77" s="47" t="str">
        <f t="shared" si="6"/>
        <v/>
      </c>
      <c r="C77" s="48"/>
      <c r="D77" s="49"/>
      <c r="E77" s="49"/>
      <c r="F77" s="49"/>
      <c r="G77" s="49"/>
      <c r="H77" s="50" t="str">
        <f>IF($B77="","",IF($J77="X",B77,CONCATENATE(VLOOKUP(B77,Competitors!$A$2:$I$650,3,FALSE)," ",VLOOKUP(B77,Competitors!$A$2:$I$650,2,FALSE))))</f>
        <v/>
      </c>
      <c r="I77" s="51">
        <f t="shared" si="7"/>
        <v>0</v>
      </c>
      <c r="J77" t="str">
        <f t="shared" si="8"/>
        <v/>
      </c>
    </row>
    <row r="78" spans="1:10" ht="15">
      <c r="A78" s="46"/>
      <c r="B78" s="47" t="str">
        <f t="shared" si="6"/>
        <v/>
      </c>
      <c r="C78" s="48"/>
      <c r="D78" s="49"/>
      <c r="E78" s="49"/>
      <c r="F78" s="49"/>
      <c r="G78" s="49"/>
      <c r="H78" s="50" t="str">
        <f>IF($B78="","",IF($J78="X",B78,CONCATENATE(VLOOKUP(B78,Competitors!$A$2:$I$650,3,FALSE)," ",VLOOKUP(B78,Competitors!$A$2:$I$650,2,FALSE))))</f>
        <v/>
      </c>
      <c r="I78" s="51">
        <f t="shared" si="7"/>
        <v>0</v>
      </c>
      <c r="J78" t="str">
        <f t="shared" si="8"/>
        <v/>
      </c>
    </row>
    <row r="79" spans="1:10" ht="15">
      <c r="A79" s="46"/>
      <c r="B79" s="47" t="str">
        <f t="shared" si="6"/>
        <v/>
      </c>
      <c r="C79" s="48"/>
      <c r="D79" s="49"/>
      <c r="E79" s="49"/>
      <c r="F79" s="49"/>
      <c r="G79" s="49"/>
      <c r="H79" s="50" t="str">
        <f>IF($B79="","",IF($J79="X",B79,CONCATENATE(VLOOKUP(B79,Competitors!$A$2:$I$650,3,FALSE)," ",VLOOKUP(B79,Competitors!$A$2:$I$650,2,FALSE))))</f>
        <v/>
      </c>
      <c r="I79" s="51">
        <f t="shared" si="7"/>
        <v>0</v>
      </c>
      <c r="J79" t="str">
        <f t="shared" si="8"/>
        <v/>
      </c>
    </row>
    <row r="80" spans="1:10" ht="15">
      <c r="A80" s="46"/>
      <c r="B80" s="47" t="str">
        <f t="shared" si="6"/>
        <v/>
      </c>
      <c r="C80" s="48"/>
      <c r="D80" s="49"/>
      <c r="E80" s="49"/>
      <c r="F80" s="49"/>
      <c r="G80" s="49"/>
      <c r="H80" s="50" t="str">
        <f>IF($B80="","",IF($J80="X",B80,CONCATENATE(VLOOKUP(B80,Competitors!$A$2:$I$650,3,FALSE)," ",VLOOKUP(B80,Competitors!$A$2:$I$650,2,FALSE))))</f>
        <v/>
      </c>
      <c r="I80" s="51">
        <f t="shared" si="7"/>
        <v>0</v>
      </c>
      <c r="J80" t="str">
        <f t="shared" si="8"/>
        <v/>
      </c>
    </row>
    <row r="81" spans="1:10" ht="15">
      <c r="A81" s="46"/>
      <c r="B81" s="47" t="str">
        <f t="shared" si="6"/>
        <v/>
      </c>
      <c r="C81" s="48"/>
      <c r="D81" s="49"/>
      <c r="E81" s="49"/>
      <c r="F81" s="49"/>
      <c r="G81" s="49"/>
      <c r="H81" s="50" t="str">
        <f>IF($B81="","",IF($J81="X",B81,CONCATENATE(VLOOKUP(B81,Competitors!$A$2:$I$650,3,FALSE)," ",VLOOKUP(B81,Competitors!$A$2:$I$650,2,FALSE))))</f>
        <v/>
      </c>
      <c r="I81" s="51">
        <f t="shared" si="7"/>
        <v>0</v>
      </c>
      <c r="J81" t="str">
        <f t="shared" si="8"/>
        <v/>
      </c>
    </row>
    <row r="82" spans="1:10" ht="15">
      <c r="A82" s="46"/>
      <c r="B82" s="47" t="str">
        <f t="shared" si="6"/>
        <v/>
      </c>
      <c r="C82" s="48"/>
      <c r="D82" s="49"/>
      <c r="E82" s="49"/>
      <c r="F82" s="49"/>
      <c r="G82" s="49"/>
      <c r="H82" s="50" t="str">
        <f>IF($B82="","",IF($J82="X",B82,CONCATENATE(VLOOKUP(B82,Competitors!$A$2:$I$650,3,FALSE)," ",VLOOKUP(B82,Competitors!$A$2:$I$650,2,FALSE))))</f>
        <v/>
      </c>
      <c r="I82" s="51">
        <f t="shared" si="7"/>
        <v>0</v>
      </c>
      <c r="J82" t="str">
        <f t="shared" si="8"/>
        <v/>
      </c>
    </row>
    <row r="83" spans="1:10" ht="15">
      <c r="A83" s="46"/>
      <c r="B83" s="47" t="str">
        <f t="shared" si="6"/>
        <v/>
      </c>
      <c r="C83" s="48"/>
      <c r="D83" s="49"/>
      <c r="E83" s="49"/>
      <c r="F83" s="49"/>
      <c r="G83" s="49"/>
      <c r="H83" s="50" t="str">
        <f>IF($B83="","",IF($J83="X",B83,CONCATENATE(VLOOKUP(B83,Competitors!$A$2:$I$650,3,FALSE)," ",VLOOKUP(B83,Competitors!$A$2:$I$650,2,FALSE))))</f>
        <v/>
      </c>
      <c r="I83" s="51">
        <f t="shared" si="7"/>
        <v>0</v>
      </c>
      <c r="J83" t="str">
        <f t="shared" si="8"/>
        <v/>
      </c>
    </row>
    <row r="84" spans="1:10" ht="15">
      <c r="A84" s="46"/>
      <c r="B84" s="47" t="str">
        <f t="shared" si="6"/>
        <v/>
      </c>
      <c r="C84" s="48"/>
      <c r="D84" s="49"/>
      <c r="E84" s="49"/>
      <c r="F84" s="49"/>
      <c r="G84" s="49"/>
      <c r="H84" s="50" t="str">
        <f>IF($B84="","",IF($J84="X",B84,CONCATENATE(VLOOKUP(B84,Competitors!$A$2:$I$650,3,FALSE)," ",VLOOKUP(B84,Competitors!$A$2:$I$650,2,FALSE))))</f>
        <v/>
      </c>
      <c r="I84" s="51">
        <f t="shared" si="7"/>
        <v>0</v>
      </c>
      <c r="J84" t="str">
        <f t="shared" si="8"/>
        <v/>
      </c>
    </row>
    <row r="85" spans="1:10" ht="15">
      <c r="A85" s="46"/>
      <c r="B85" s="47" t="str">
        <f t="shared" si="6"/>
        <v/>
      </c>
      <c r="C85" s="48"/>
      <c r="D85" s="49"/>
      <c r="E85" s="49"/>
      <c r="F85" s="49"/>
      <c r="G85" s="49"/>
      <c r="H85" s="50" t="str">
        <f>IF($B85="","",IF($J85="X",B85,CONCATENATE(VLOOKUP(B85,Competitors!$A$2:$I$650,3,FALSE)," ",VLOOKUP(B85,Competitors!$A$2:$I$650,2,FALSE))))</f>
        <v/>
      </c>
      <c r="I85" s="51">
        <f t="shared" si="7"/>
        <v>0</v>
      </c>
      <c r="J85" t="str">
        <f t="shared" si="8"/>
        <v/>
      </c>
    </row>
    <row r="86" spans="1:10" ht="15">
      <c r="A86" s="46"/>
      <c r="B86" s="47" t="str">
        <f t="shared" si="6"/>
        <v/>
      </c>
      <c r="C86" s="48"/>
      <c r="D86" s="49"/>
      <c r="E86" s="49"/>
      <c r="F86" s="49"/>
      <c r="G86" s="49"/>
      <c r="H86" s="50" t="str">
        <f>IF($B86="","",IF($J86="X",B86,CONCATENATE(VLOOKUP(B86,Competitors!$A$2:$I$650,3,FALSE)," ",VLOOKUP(B86,Competitors!$A$2:$I$650,2,FALSE))))</f>
        <v/>
      </c>
      <c r="I86" s="51">
        <f t="shared" si="7"/>
        <v>0</v>
      </c>
      <c r="J86" t="str">
        <f t="shared" si="8"/>
        <v/>
      </c>
    </row>
    <row r="87" spans="1:10" ht="15">
      <c r="A87" s="46"/>
      <c r="B87" s="47" t="str">
        <f t="shared" si="6"/>
        <v/>
      </c>
      <c r="C87" s="48"/>
      <c r="D87" s="49"/>
      <c r="E87" s="49"/>
      <c r="F87" s="49"/>
      <c r="G87" s="49"/>
      <c r="H87" s="50" t="str">
        <f>IF($B87="","",IF($J87="X",B87,CONCATENATE(VLOOKUP(B87,Competitors!$A$2:$I$650,3,FALSE)," ",VLOOKUP(B87,Competitors!$A$2:$I$650,2,FALSE))))</f>
        <v/>
      </c>
      <c r="I87" s="51">
        <f t="shared" si="7"/>
        <v>0</v>
      </c>
      <c r="J87" t="str">
        <f t="shared" si="8"/>
        <v/>
      </c>
    </row>
    <row r="88" spans="1:10" ht="15">
      <c r="A88" s="46"/>
      <c r="B88" s="47" t="str">
        <f t="shared" si="6"/>
        <v/>
      </c>
      <c r="C88" s="48"/>
      <c r="D88" s="49"/>
      <c r="E88" s="49"/>
      <c r="F88" s="49"/>
      <c r="G88" s="49"/>
      <c r="H88" s="50" t="str">
        <f>IF($B88="","",IF($J88="X",B88,CONCATENATE(VLOOKUP(B88,Competitors!$A$2:$I$650,3,FALSE)," ",VLOOKUP(B88,Competitors!$A$2:$I$650,2,FALSE))))</f>
        <v/>
      </c>
      <c r="I88" s="51">
        <f t="shared" si="7"/>
        <v>0</v>
      </c>
      <c r="J88" t="str">
        <f t="shared" si="8"/>
        <v/>
      </c>
    </row>
    <row r="89" spans="1:10" ht="15">
      <c r="A89" s="46"/>
      <c r="B89" s="47" t="str">
        <f t="shared" si="6"/>
        <v/>
      </c>
      <c r="C89" s="48"/>
      <c r="D89" s="49"/>
      <c r="E89" s="49"/>
      <c r="F89" s="49"/>
      <c r="G89" s="49"/>
      <c r="H89" s="50" t="str">
        <f>IF($B89="","",IF($J89="X",B89,CONCATENATE(VLOOKUP(B89,Competitors!$A$2:$I$650,3,FALSE)," ",VLOOKUP(B89,Competitors!$A$2:$I$650,2,FALSE))))</f>
        <v/>
      </c>
      <c r="I89" s="51">
        <f t="shared" si="7"/>
        <v>0</v>
      </c>
      <c r="J89" t="str">
        <f t="shared" si="8"/>
        <v/>
      </c>
    </row>
    <row r="90" spans="1:10" ht="15">
      <c r="A90" s="46"/>
      <c r="B90" s="47" t="str">
        <f t="shared" si="6"/>
        <v/>
      </c>
      <c r="C90" s="48"/>
      <c r="D90" s="49"/>
      <c r="E90" s="49"/>
      <c r="F90" s="49"/>
      <c r="G90" s="49"/>
      <c r="H90" s="50" t="str">
        <f>IF($B90="","",IF($J90="X",B90,CONCATENATE(VLOOKUP(B90,Competitors!$A$2:$I$650,3,FALSE)," ",VLOOKUP(B90,Competitors!$A$2:$I$650,2,FALSE))))</f>
        <v/>
      </c>
      <c r="I90" s="51">
        <f t="shared" si="7"/>
        <v>0</v>
      </c>
      <c r="J90" t="str">
        <f t="shared" si="8"/>
        <v/>
      </c>
    </row>
    <row r="91" spans="1:10" ht="15">
      <c r="A91" s="46"/>
      <c r="B91" s="47" t="str">
        <f t="shared" si="6"/>
        <v/>
      </c>
      <c r="C91" s="48"/>
      <c r="D91" s="49"/>
      <c r="E91" s="49"/>
      <c r="F91" s="49"/>
      <c r="G91" s="49"/>
      <c r="H91" s="50" t="str">
        <f>IF($B91="","",IF($J91="X",B91,CONCATENATE(VLOOKUP(B91,Competitors!$A$2:$I$650,3,FALSE)," ",VLOOKUP(B91,Competitors!$A$2:$I$650,2,FALSE))))</f>
        <v/>
      </c>
      <c r="I91" s="51">
        <f t="shared" si="7"/>
        <v>0</v>
      </c>
      <c r="J91" t="str">
        <f t="shared" si="8"/>
        <v/>
      </c>
    </row>
    <row r="92" spans="1:10" ht="15">
      <c r="A92" s="46"/>
      <c r="B92" s="47" t="str">
        <f t="shared" si="6"/>
        <v/>
      </c>
      <c r="C92" s="48"/>
      <c r="D92" s="49"/>
      <c r="E92" s="49"/>
      <c r="F92" s="49"/>
      <c r="G92" s="49"/>
      <c r="H92" s="50" t="str">
        <f>IF($B92="","",IF($J92="X",B92,CONCATENATE(VLOOKUP(B92,Competitors!$A$2:$I$650,3,FALSE)," ",VLOOKUP(B92,Competitors!$A$2:$I$650,2,FALSE))))</f>
        <v/>
      </c>
      <c r="I92" s="51">
        <f t="shared" si="7"/>
        <v>0</v>
      </c>
      <c r="J92" t="str">
        <f t="shared" si="8"/>
        <v/>
      </c>
    </row>
    <row r="93" spans="1:10" ht="15">
      <c r="A93" s="46"/>
      <c r="B93" s="47" t="str">
        <f t="shared" si="6"/>
        <v/>
      </c>
      <c r="C93" s="48"/>
      <c r="D93" s="49"/>
      <c r="E93" s="49"/>
      <c r="F93" s="49"/>
      <c r="G93" s="49"/>
      <c r="H93" s="50" t="str">
        <f>IF($B93="","",IF($J93="X",B93,CONCATENATE(VLOOKUP(B93,Competitors!$A$2:$I$650,3,FALSE)," ",VLOOKUP(B93,Competitors!$A$2:$I$650,2,FALSE))))</f>
        <v/>
      </c>
      <c r="I93" s="51">
        <f t="shared" si="7"/>
        <v>0</v>
      </c>
      <c r="J93" t="str">
        <f t="shared" si="8"/>
        <v/>
      </c>
    </row>
    <row r="94" spans="1:10" ht="15">
      <c r="A94" s="46"/>
      <c r="B94" s="47" t="str">
        <f t="shared" si="6"/>
        <v/>
      </c>
      <c r="C94" s="48"/>
      <c r="D94" s="49"/>
      <c r="E94" s="49"/>
      <c r="F94" s="49"/>
      <c r="G94" s="49"/>
      <c r="H94" s="50" t="str">
        <f>IF($B94="","",IF($J94="X",B94,CONCATENATE(VLOOKUP(B94,Competitors!$A$2:$I$650,3,FALSE)," ",VLOOKUP(B94,Competitors!$A$2:$I$650,2,FALSE))))</f>
        <v/>
      </c>
      <c r="I94" s="51">
        <f t="shared" si="7"/>
        <v>0</v>
      </c>
      <c r="J94" t="str">
        <f t="shared" si="8"/>
        <v/>
      </c>
    </row>
    <row r="95" spans="1:10" ht="15">
      <c r="A95" s="46"/>
      <c r="B95" s="47" t="str">
        <f t="shared" si="6"/>
        <v/>
      </c>
      <c r="C95" s="48"/>
      <c r="D95" s="49"/>
      <c r="E95" s="49"/>
      <c r="F95" s="49"/>
      <c r="G95" s="49"/>
      <c r="H95" s="50" t="str">
        <f>IF($B95="","",IF($J95="X",B95,CONCATENATE(VLOOKUP(B95,Competitors!$A$2:$I$650,3,FALSE)," ",VLOOKUP(B95,Competitors!$A$2:$I$650,2,FALSE))))</f>
        <v/>
      </c>
      <c r="I95" s="51">
        <f t="shared" si="7"/>
        <v>0</v>
      </c>
      <c r="J95" t="str">
        <f t="shared" si="8"/>
        <v/>
      </c>
    </row>
    <row r="96" spans="1:10" ht="15">
      <c r="A96" s="46"/>
      <c r="B96" s="47" t="str">
        <f t="shared" si="6"/>
        <v/>
      </c>
      <c r="C96" s="48"/>
      <c r="D96" s="49"/>
      <c r="E96" s="49"/>
      <c r="F96" s="49"/>
      <c r="G96" s="49"/>
      <c r="H96" s="50" t="str">
        <f>IF($B96="","",IF($J96="X",B96,CONCATENATE(VLOOKUP(B96,Competitors!$A$2:$I$650,3,FALSE)," ",VLOOKUP(B96,Competitors!$A$2:$I$650,2,FALSE))))</f>
        <v/>
      </c>
      <c r="I96" s="51">
        <f t="shared" si="7"/>
        <v>0</v>
      </c>
      <c r="J96" t="str">
        <f t="shared" si="8"/>
        <v/>
      </c>
    </row>
    <row r="97" spans="1:10" ht="15">
      <c r="A97" s="46"/>
      <c r="B97" s="47" t="str">
        <f t="shared" si="6"/>
        <v/>
      </c>
      <c r="C97" s="48"/>
      <c r="D97" s="49"/>
      <c r="E97" s="49"/>
      <c r="F97" s="49"/>
      <c r="G97" s="49"/>
      <c r="H97" s="50" t="str">
        <f>IF($B97="","",IF($J97="X",B97,CONCATENATE(VLOOKUP(B97,Competitors!$A$2:$I$650,3,FALSE)," ",VLOOKUP(B97,Competitors!$A$2:$I$650,2,FALSE))))</f>
        <v/>
      </c>
      <c r="I97" s="51">
        <f t="shared" si="7"/>
        <v>0</v>
      </c>
      <c r="J97" t="str">
        <f t="shared" si="8"/>
        <v/>
      </c>
    </row>
    <row r="98" spans="1:10" ht="15">
      <c r="A98" s="46"/>
      <c r="B98" s="47" t="str">
        <f t="shared" ref="B98:B129" si="9">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7"/>
        <v>0</v>
      </c>
      <c r="J98" t="str">
        <f t="shared" si="8"/>
        <v/>
      </c>
    </row>
    <row r="99" spans="1:10" ht="15">
      <c r="A99" s="46"/>
      <c r="B99" s="47" t="str">
        <f t="shared" si="9"/>
        <v/>
      </c>
      <c r="C99" s="48"/>
      <c r="D99" s="49"/>
      <c r="E99" s="49"/>
      <c r="F99" s="49"/>
      <c r="G99" s="49"/>
      <c r="H99" s="50" t="str">
        <f>IF($B99="","",IF($J99="X",B99,CONCATENATE(VLOOKUP(B99,Competitors!$A$2:$I$650,3,FALSE)," ",VLOOKUP(B99,Competitors!$A$2:$I$650,2,FALSE))))</f>
        <v/>
      </c>
      <c r="I99" s="51">
        <f t="shared" si="7"/>
        <v>0</v>
      </c>
      <c r="J99" t="str">
        <f t="shared" si="8"/>
        <v/>
      </c>
    </row>
    <row r="100" spans="1:10" ht="15">
      <c r="A100" s="46"/>
      <c r="B100" s="47" t="str">
        <f t="shared" si="9"/>
        <v/>
      </c>
      <c r="C100" s="48"/>
      <c r="D100" s="49"/>
      <c r="E100" s="49"/>
      <c r="F100" s="49"/>
      <c r="G100" s="49"/>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9"/>
      <c r="E101" s="49"/>
      <c r="F101" s="49"/>
      <c r="G101" s="49"/>
      <c r="H101" s="50" t="str">
        <f>IF($B101="","",IF($J101="X",B101,CONCATENATE(VLOOKUP(B101,Competitors!$A$2:$I$650,3,FALSE)," ",VLOOKUP(B101,Competitors!$A$2:$I$650,2,FALSE))))</f>
        <v/>
      </c>
      <c r="I101" s="51">
        <f t="shared" si="7"/>
        <v>0</v>
      </c>
      <c r="J101" t="str">
        <f t="shared" si="8"/>
        <v/>
      </c>
    </row>
    <row r="102" spans="1:10" s="52" customFormat="1">
      <c r="I102" s="53"/>
    </row>
    <row r="103" spans="1:10">
      <c r="B103" t="s">
        <v>551</v>
      </c>
      <c r="C103" t="str" cm="1">
        <f t="array" aca="1" ref="C103" ca="1">MID(CELL("filename",B1),FIND("]",CELL("filename",B1))+1,255)</f>
        <v>Event_26</v>
      </c>
    </row>
    <row r="104" spans="1:10">
      <c r="B104" t="s">
        <v>552</v>
      </c>
      <c r="C104" t="str">
        <f ca="1">_xlfn.XLOOKUP(C103,Calendar!O:O,Calendar!H:H,"Event is not in calendar")</f>
        <v>Y</v>
      </c>
    </row>
  </sheetData>
  <sortState xmlns:xlrd2="http://schemas.microsoft.com/office/spreadsheetml/2017/richdata2" ref="A2:K101">
    <sortCondition ref="K2:K101"/>
  </sortState>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Event_27</v>
      </c>
    </row>
    <row r="104" spans="1:10">
      <c r="B104" t="s">
        <v>552</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2026-09-27T12:41:36Z</dcterms:modified>
</cp:coreProperties>
</file>