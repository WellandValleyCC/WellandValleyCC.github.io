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epos\wvcc\WellandValleyCC.github.io\data\"/>
    </mc:Choice>
  </mc:AlternateContent>
  <xr:revisionPtr revIDLastSave="0" documentId="8_{4200EA13-C6A3-442F-8BEB-E16FF2537768}" xr6:coauthVersionLast="47" xr6:coauthVersionMax="47" xr10:uidLastSave="{00000000-0000-0000-0000-000000000000}"/>
  <bookViews>
    <workbookView xWindow="-98" yWindow="-98" windowWidth="28996" windowHeight="17475" xr2:uid="{4E593F3B-A7AD-4CFE-9DA5-293BF0BCB289}"/>
  </bookViews>
  <sheets>
    <sheet name="Calendar" sheetId="1" r:id="rId1"/>
  </sheets>
  <externalReferences>
    <externalReference r:id="rId2"/>
  </externalReferences>
  <definedNames>
    <definedName name="Calendar">Calendar!$A$2:$G$27</definedName>
    <definedName name="CalendarEventNumbers">Calendar!$A$2:$A$27</definedName>
    <definedName name="ClubNames">[1]NameLookup!$B$2:$B$402</definedName>
    <definedName name="ClubNumbers">[1]NameLookup!$A$2:$A$402</definedName>
    <definedName name="NonTenEvents">Calendar!$J$2:$J$27</definedName>
    <definedName name="RoundRobinRiderDecoratedNames">[1]RoundRobinRiders!$C:$C</definedName>
    <definedName name="RoundRobinRiderNames">[1]RoundRobinRiders!$A:$A</definedName>
    <definedName name="TenMileEvents">Calendar!$K$2:$K$27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M28" i="1" l="1"/>
  <c r="L28" i="1"/>
  <c r="K28" i="1"/>
  <c r="J28" i="1"/>
  <c r="H28" i="1"/>
  <c r="M27" i="1"/>
  <c r="L27" i="1"/>
  <c r="K27" i="1"/>
  <c r="J27" i="1"/>
  <c r="H27" i="1"/>
  <c r="L26" i="1"/>
  <c r="K26" i="1"/>
  <c r="J26" i="1"/>
  <c r="H26" i="1"/>
  <c r="L25" i="1"/>
  <c r="K25" i="1"/>
  <c r="J25" i="1"/>
  <c r="H25" i="1"/>
  <c r="L24" i="1"/>
  <c r="H24" i="1"/>
  <c r="L23" i="1"/>
  <c r="K23" i="1"/>
  <c r="J23" i="1"/>
  <c r="H23" i="1"/>
  <c r="L22" i="1"/>
  <c r="K22" i="1"/>
  <c r="J22" i="1"/>
  <c r="H22" i="1"/>
  <c r="L21" i="1"/>
  <c r="K21" i="1"/>
  <c r="J21" i="1"/>
  <c r="H21" i="1"/>
  <c r="L20" i="1"/>
  <c r="K20" i="1"/>
  <c r="J20" i="1"/>
  <c r="H20" i="1"/>
  <c r="L19" i="1"/>
  <c r="K19" i="1"/>
  <c r="J19" i="1"/>
  <c r="H19" i="1"/>
  <c r="L18" i="1"/>
  <c r="K18" i="1"/>
  <c r="J18" i="1"/>
  <c r="H18" i="1"/>
  <c r="L17" i="1"/>
  <c r="K17" i="1"/>
  <c r="J17" i="1"/>
  <c r="H17" i="1"/>
  <c r="L16" i="1"/>
  <c r="K16" i="1"/>
  <c r="J16" i="1"/>
  <c r="H16" i="1"/>
  <c r="L15" i="1"/>
  <c r="K15" i="1"/>
  <c r="J15" i="1"/>
  <c r="H15" i="1"/>
  <c r="L14" i="1"/>
  <c r="H14" i="1"/>
  <c r="M13" i="1"/>
  <c r="L13" i="1"/>
  <c r="K13" i="1"/>
  <c r="J13" i="1"/>
  <c r="H13" i="1"/>
  <c r="M12" i="1"/>
  <c r="L12" i="1"/>
  <c r="K12" i="1"/>
  <c r="J12" i="1"/>
  <c r="H12" i="1"/>
  <c r="M11" i="1"/>
  <c r="L11" i="1"/>
  <c r="K11" i="1"/>
  <c r="J11" i="1"/>
  <c r="H11" i="1"/>
  <c r="M10" i="1"/>
  <c r="L10" i="1"/>
  <c r="K10" i="1"/>
  <c r="J10" i="1"/>
  <c r="H10" i="1"/>
  <c r="M9" i="1"/>
  <c r="L9" i="1"/>
  <c r="K9" i="1"/>
  <c r="J9" i="1"/>
  <c r="H9" i="1"/>
  <c r="M8" i="1"/>
  <c r="L8" i="1"/>
  <c r="H8" i="1"/>
  <c r="F8" i="1"/>
  <c r="M7" i="1"/>
  <c r="L7" i="1"/>
  <c r="K7" i="1"/>
  <c r="J7" i="1"/>
  <c r="H7" i="1"/>
  <c r="M6" i="1"/>
  <c r="L6" i="1"/>
  <c r="K6" i="1"/>
  <c r="J6" i="1"/>
  <c r="H6" i="1"/>
  <c r="M5" i="1"/>
  <c r="L5" i="1"/>
  <c r="K5" i="1"/>
  <c r="J5" i="1"/>
  <c r="H5" i="1"/>
  <c r="M4" i="1"/>
  <c r="L4" i="1"/>
  <c r="K4" i="1"/>
  <c r="J4" i="1"/>
  <c r="H4" i="1"/>
  <c r="L3" i="1"/>
  <c r="K3" i="1"/>
  <c r="J3" i="1"/>
  <c r="H3" i="1"/>
  <c r="A3" i="1"/>
  <c r="N2" i="1"/>
  <c r="L2" i="1"/>
  <c r="K2" i="1"/>
  <c r="J2" i="1"/>
  <c r="H2" i="1"/>
  <c r="J8" i="1" l="1"/>
  <c r="K8" i="1"/>
  <c r="A4" i="1"/>
  <c r="N3" i="1"/>
  <c r="N4" i="1" l="1"/>
  <c r="A5" i="1"/>
  <c r="N5" i="1" l="1"/>
  <c r="A6" i="1"/>
  <c r="N6" i="1" l="1"/>
  <c r="A7" i="1"/>
  <c r="N7" i="1" l="1"/>
  <c r="A8" i="1"/>
  <c r="N8" i="1" l="1"/>
  <c r="A9" i="1"/>
  <c r="N9" i="1" l="1"/>
  <c r="A10" i="1"/>
  <c r="N10" i="1" l="1"/>
  <c r="A11" i="1"/>
  <c r="A12" i="1" l="1"/>
  <c r="N11" i="1"/>
  <c r="N12" i="1" l="1"/>
  <c r="A13" i="1"/>
  <c r="N13" i="1" l="1"/>
  <c r="A14" i="1"/>
  <c r="N14" i="1" l="1"/>
  <c r="A15" i="1"/>
  <c r="A16" i="1" l="1"/>
  <c r="N15" i="1"/>
  <c r="N16" i="1" l="1"/>
  <c r="A17" i="1"/>
  <c r="A18" i="1" l="1"/>
  <c r="N17" i="1"/>
  <c r="N18" i="1" l="1"/>
  <c r="A19" i="1"/>
  <c r="N19" i="1" l="1"/>
  <c r="A20" i="1"/>
  <c r="N20" i="1" l="1"/>
  <c r="A21" i="1"/>
  <c r="N21" i="1" l="1"/>
  <c r="A22" i="1"/>
  <c r="N22" i="1" l="1"/>
  <c r="A23" i="1"/>
  <c r="N23" i="1" l="1"/>
  <c r="A24" i="1"/>
  <c r="N24" i="1" l="1"/>
  <c r="A25" i="1"/>
  <c r="N25" i="1" l="1"/>
  <c r="A26" i="1"/>
  <c r="N26" i="1" l="1"/>
  <c r="A27" i="1"/>
  <c r="N27" i="1" l="1"/>
  <c r="A28" i="1"/>
  <c r="N28" i="1" s="1"/>
</calcChain>
</file>

<file path=xl/sharedStrings.xml><?xml version="1.0" encoding="utf-8"?>
<sst xmlns="http://schemas.openxmlformats.org/spreadsheetml/2006/main" count="121" uniqueCount="54">
  <si>
    <t>Event Number</t>
  </si>
  <si>
    <t>Date</t>
  </si>
  <si>
    <t>Start time</t>
  </si>
  <si>
    <t>Event Name</t>
  </si>
  <si>
    <t>Round Robin Club</t>
  </si>
  <si>
    <t>Miles</t>
  </si>
  <si>
    <t>Location / Course</t>
  </si>
  <si>
    <t>Hill Climb</t>
  </si>
  <si>
    <t xml:space="preserve">	Club Championship</t>
  </si>
  <si>
    <t xml:space="preserve">	Non-Standard 10</t>
  </si>
  <si>
    <t xml:space="preserve">	Evening 10</t>
  </si>
  <si>
    <t xml:space="preserve">	Hard Ride Series</t>
  </si>
  <si>
    <t>Round Robin Event</t>
  </si>
  <si>
    <t>Sheet Name</t>
  </si>
  <si>
    <t>isCancelled</t>
  </si>
  <si>
    <t>Medbourne 9.5mile Hardride TT</t>
  </si>
  <si>
    <t>Medbourne</t>
  </si>
  <si>
    <t>Y</t>
  </si>
  <si>
    <t>Medbourne 20mile Hardride TT</t>
  </si>
  <si>
    <t>Thorpe Langton 10mile TT</t>
  </si>
  <si>
    <t>Thorpe Langton</t>
  </si>
  <si>
    <t>Tour of the Langtons 10mile TT</t>
  </si>
  <si>
    <t>Tour of the Langtons</t>
  </si>
  <si>
    <t>Kibworth 25mile TT</t>
  </si>
  <si>
    <t>Kibworth</t>
  </si>
  <si>
    <t>Tur Langton/ Hallaton mile 5+5</t>
  </si>
  <si>
    <t>Tur Langton/ Hallaton</t>
  </si>
  <si>
    <t>Kibworth 10mile TT</t>
  </si>
  <si>
    <t>Interclub Rockingham FW 25mile TT</t>
  </si>
  <si>
    <t>Ashley 9mile Round Robin TT</t>
  </si>
  <si>
    <t>RFW</t>
  </si>
  <si>
    <t>RFW Clubhouse</t>
  </si>
  <si>
    <t>Lubenham 10mile Round Robin TT</t>
  </si>
  <si>
    <t>WVCC</t>
  </si>
  <si>
    <t>Lubenham</t>
  </si>
  <si>
    <t>Lamport 10mile Round Robin TT</t>
  </si>
  <si>
    <t>KCC</t>
  </si>
  <si>
    <t>Lamport</t>
  </si>
  <si>
    <t>Caldecott 10mile Round Robin TT</t>
  </si>
  <si>
    <t>Caldecott</t>
  </si>
  <si>
    <t xml:space="preserve">Gilmorton 10mile Round Robin TT </t>
  </si>
  <si>
    <t>Ratae</t>
  </si>
  <si>
    <t>Gilmorton</t>
  </si>
  <si>
    <t>Wolvey 10mile Round Robin TT</t>
  </si>
  <si>
    <t>HCRC</t>
  </si>
  <si>
    <t>Wolvey</t>
  </si>
  <si>
    <t>Wymeswold 10mile Round Robin TT</t>
  </si>
  <si>
    <t>LFCC</t>
  </si>
  <si>
    <t>Wymeswold</t>
  </si>
  <si>
    <t>Walcote 25mile TT Hardride</t>
  </si>
  <si>
    <t>Walcote</t>
  </si>
  <si>
    <t>Interclub Hillclimb KCC</t>
  </si>
  <si>
    <t>TBC</t>
  </si>
  <si>
    <t>Boxing Day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</si>
</sst>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\ AM/PM"/>
  </numFmts>
  <fonts count="3" x14ac:knownFonts="1">
    <font>
      <sz val="10"/>
      <color theme="1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16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164" fontId="2" fillId="2" borderId="0" xfId="1" applyNumberFormat="1" applyFont="1" applyFill="1"/>
    <xf numFmtId="0" fontId="2" fillId="2" borderId="0" xfId="1" applyFont="1" applyFill="1"/>
    <xf numFmtId="0" fontId="2" fillId="2" borderId="0" xfId="2" applyFont="1" applyFill="1" applyAlignment="1">
      <alignment horizontal="center" vertical="center" wrapText="1"/>
    </xf>
    <xf numFmtId="16" fontId="2" fillId="2" borderId="0" xfId="1" applyNumberFormat="1" applyFont="1" applyFill="1"/>
    <xf numFmtId="0" fontId="1" fillId="0" borderId="0" xfId="2" applyAlignment="1">
      <alignment horizontal="center"/>
    </xf>
    <xf numFmtId="14" fontId="1" fillId="0" borderId="0" xfId="0" applyNumberFormat="1" applyFont="1"/>
    <xf numFmtId="20" fontId="0" fillId="0" borderId="0" xfId="0" applyNumberFormat="1"/>
    <xf numFmtId="0" fontId="0" fillId="0" borderId="0" xfId="0" applyAlignment="1">
      <alignment horizontal="center"/>
    </xf>
    <xf numFmtId="0" fontId="1" fillId="0" borderId="0" xfId="1"/>
    <xf numFmtId="0" fontId="0" fillId="0" borderId="0" xfId="0" applyAlignment="1">
      <alignment horizontal="right"/>
    </xf>
    <xf numFmtId="164" fontId="1" fillId="0" borderId="0" xfId="1" applyNumberFormat="1"/>
    <xf numFmtId="0" fontId="1" fillId="0" borderId="0" xfId="1" applyAlignment="1">
      <alignment horizontal="center"/>
    </xf>
  </cellXfs>
  <cellStyles count="3">
    <cellStyle name="Normal" xfId="0" builtinId="0"/>
    <cellStyle name="Normal 2" xfId="1" xr:uid="{EAF315A2-FB6F-463F-8185-D274741C5B59}"/>
    <cellStyle name="Normal 2 2" xfId="2" xr:uid="{0D61C6C9-B58D-4837-A913-EEA27B621712}"/>
  </cellStyles>
  <dxfs count="1">
    <dxf>
      <font>
        <color theme="2"/>
      </font>
      <fill>
        <patternFill patternType="solid">
          <fgColor indexed="2"/>
          <bgColor indexed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epos\wvcc\WellandValleyCC.github.io\data\ClubEvents_2026.xlsx" TargetMode="External"/><Relationship Id="rId1" Type="http://schemas.openxmlformats.org/officeDocument/2006/relationships/externalLinkPath" Target="ClubEvents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isions"/>
      <sheetName val="Competitors"/>
      <sheetName val="0307_competitors_2026"/>
      <sheetName val="0310_competitors_2026"/>
      <sheetName val="0321_competitors_2026"/>
      <sheetName val="0407_competitors_2026"/>
      <sheetName val="0407_competitors_2026b"/>
      <sheetName val="0409_competitors_2026"/>
      <sheetName val="0413_competitors_2026"/>
      <sheetName val="0512_competitors_2026"/>
      <sheetName val="0515_competitors_2026"/>
      <sheetName val="0517_competitors_2026"/>
      <sheetName val="NameLookup"/>
      <sheetName val="Calendar"/>
      <sheetName val="Leagues"/>
      <sheetName val="RoundRobinRiders"/>
      <sheetName val="Event_01"/>
      <sheetName val="Event_02"/>
      <sheetName val="Event_03"/>
      <sheetName val="Event_04"/>
      <sheetName val="Event_05"/>
      <sheetName val="Event_06"/>
      <sheetName val="Event_07"/>
      <sheetName val="Event_08"/>
      <sheetName val="Event_09"/>
      <sheetName val="Event_10"/>
      <sheetName val="Event_11"/>
      <sheetName val="Event_12"/>
      <sheetName val="Event_13"/>
      <sheetName val="Event_14"/>
      <sheetName val="Event_15"/>
      <sheetName val="Event_16"/>
      <sheetName val="Event_17"/>
      <sheetName val="Event_18"/>
      <sheetName val="Event_19"/>
      <sheetName val="Event_20"/>
      <sheetName val="Event_21"/>
      <sheetName val="Event_22"/>
      <sheetName val="Event_23"/>
      <sheetName val="Event_24"/>
      <sheetName val="Event_25"/>
      <sheetName val="Event_26"/>
      <sheetName val="Event_27"/>
      <sheetName val="Event_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>
            <v>1327</v>
          </cell>
          <cell r="B2" t="str">
            <v>James Abbott</v>
          </cell>
        </row>
        <row r="3">
          <cell r="A3">
            <v>1237</v>
          </cell>
          <cell r="B3" t="str">
            <v>John Abbott</v>
          </cell>
        </row>
        <row r="4">
          <cell r="A4">
            <v>819</v>
          </cell>
          <cell r="B4" t="str">
            <v>Kath Akoslovski</v>
          </cell>
        </row>
        <row r="5">
          <cell r="A5">
            <v>2</v>
          </cell>
          <cell r="B5" t="str">
            <v>Steve Alden</v>
          </cell>
        </row>
        <row r="6">
          <cell r="A6">
            <v>1370</v>
          </cell>
          <cell r="B6" t="str">
            <v>Ian Aldridge</v>
          </cell>
        </row>
        <row r="7">
          <cell r="A7">
            <v>1415</v>
          </cell>
          <cell r="B7" t="str">
            <v>James Aldridge</v>
          </cell>
        </row>
        <row r="8">
          <cell r="A8">
            <v>1286</v>
          </cell>
          <cell r="B8" t="str">
            <v>Ian Allen</v>
          </cell>
        </row>
        <row r="9">
          <cell r="A9">
            <v>1381</v>
          </cell>
          <cell r="B9" t="str">
            <v>Roland Allen</v>
          </cell>
        </row>
        <row r="10">
          <cell r="A10">
            <v>1112</v>
          </cell>
          <cell r="B10" t="str">
            <v>Gary Ashwell</v>
          </cell>
        </row>
        <row r="11">
          <cell r="A11">
            <v>1135</v>
          </cell>
          <cell r="B11" t="str">
            <v>Simon Askham</v>
          </cell>
        </row>
        <row r="12">
          <cell r="A12">
            <v>982</v>
          </cell>
          <cell r="B12" t="str">
            <v>Steve Bacon</v>
          </cell>
        </row>
        <row r="13">
          <cell r="A13">
            <v>1328</v>
          </cell>
          <cell r="B13" t="str">
            <v>Shaun Bailey</v>
          </cell>
        </row>
        <row r="14">
          <cell r="A14">
            <v>369</v>
          </cell>
          <cell r="B14" t="str">
            <v>Dean Barnett</v>
          </cell>
        </row>
        <row r="15">
          <cell r="A15">
            <v>7</v>
          </cell>
          <cell r="B15" t="str">
            <v>Vic Barnett</v>
          </cell>
        </row>
        <row r="16">
          <cell r="A16">
            <v>473</v>
          </cell>
          <cell r="B16" t="str">
            <v>George Barnett</v>
          </cell>
        </row>
        <row r="17">
          <cell r="A17">
            <v>1384</v>
          </cell>
          <cell r="B17" t="str">
            <v>Paul Barrett</v>
          </cell>
        </row>
        <row r="18">
          <cell r="A18">
            <v>1348</v>
          </cell>
          <cell r="B18" t="str">
            <v>Lydia Baxter</v>
          </cell>
        </row>
        <row r="19">
          <cell r="A19">
            <v>1275</v>
          </cell>
          <cell r="B19" t="str">
            <v>Sylvia Baxter</v>
          </cell>
        </row>
        <row r="20">
          <cell r="A20">
            <v>68</v>
          </cell>
          <cell r="B20" t="str">
            <v>Ronald Beach</v>
          </cell>
        </row>
        <row r="21">
          <cell r="A21">
            <v>1035</v>
          </cell>
          <cell r="B21" t="str">
            <v>Peter Bell</v>
          </cell>
        </row>
        <row r="22">
          <cell r="A22">
            <v>1416</v>
          </cell>
          <cell r="B22" t="str">
            <v>Henry Bellamy</v>
          </cell>
        </row>
        <row r="23">
          <cell r="A23">
            <v>1326</v>
          </cell>
          <cell r="B23" t="str">
            <v>Laoise Bennis</v>
          </cell>
        </row>
        <row r="24">
          <cell r="A24">
            <v>477</v>
          </cell>
          <cell r="B24" t="str">
            <v>Carol Birch</v>
          </cell>
        </row>
        <row r="25">
          <cell r="A25">
            <v>10</v>
          </cell>
          <cell r="B25" t="str">
            <v>Dave Birch</v>
          </cell>
        </row>
        <row r="26">
          <cell r="A26">
            <v>1414</v>
          </cell>
          <cell r="B26" t="str">
            <v>Allen Boney</v>
          </cell>
        </row>
        <row r="27">
          <cell r="A27">
            <v>1029</v>
          </cell>
          <cell r="B27" t="str">
            <v>Victor Bowie</v>
          </cell>
        </row>
        <row r="28">
          <cell r="A28">
            <v>13</v>
          </cell>
          <cell r="B28" t="str">
            <v>Paul Bramford</v>
          </cell>
        </row>
        <row r="29">
          <cell r="A29">
            <v>1255</v>
          </cell>
          <cell r="B29" t="str">
            <v>Anne Bridgstock</v>
          </cell>
        </row>
        <row r="30">
          <cell r="A30">
            <v>1405</v>
          </cell>
          <cell r="B30" t="str">
            <v>Elise Brinkman</v>
          </cell>
        </row>
        <row r="31">
          <cell r="A31">
            <v>1421</v>
          </cell>
          <cell r="B31" t="str">
            <v>Gill Brown</v>
          </cell>
        </row>
        <row r="32">
          <cell r="A32">
            <v>1418</v>
          </cell>
          <cell r="B32" t="str">
            <v>James Brown</v>
          </cell>
        </row>
        <row r="33">
          <cell r="A33">
            <v>919</v>
          </cell>
          <cell r="B33" t="str">
            <v>Paul Brundell</v>
          </cell>
        </row>
        <row r="34">
          <cell r="A34">
            <v>1319</v>
          </cell>
          <cell r="B34" t="str">
            <v>Steve Burgess</v>
          </cell>
        </row>
        <row r="35">
          <cell r="A35">
            <v>1389</v>
          </cell>
          <cell r="B35" t="str">
            <v>Billy Campbell</v>
          </cell>
        </row>
        <row r="36">
          <cell r="A36">
            <v>940</v>
          </cell>
          <cell r="B36" t="str">
            <v>Alison Chapman</v>
          </cell>
        </row>
        <row r="37">
          <cell r="A37">
            <v>806</v>
          </cell>
          <cell r="B37" t="str">
            <v>Mark Chapman</v>
          </cell>
        </row>
        <row r="38">
          <cell r="A38">
            <v>482</v>
          </cell>
          <cell r="B38" t="str">
            <v>Nick Clarke</v>
          </cell>
        </row>
        <row r="39">
          <cell r="A39">
            <v>674</v>
          </cell>
          <cell r="B39" t="str">
            <v>Jennifer Clegg</v>
          </cell>
        </row>
        <row r="40">
          <cell r="A40">
            <v>1061</v>
          </cell>
          <cell r="B40" t="str">
            <v>Daryl Collis</v>
          </cell>
        </row>
        <row r="41">
          <cell r="A41">
            <v>763</v>
          </cell>
          <cell r="B41" t="str">
            <v>Peter Condon</v>
          </cell>
        </row>
        <row r="42">
          <cell r="A42">
            <v>1227</v>
          </cell>
          <cell r="B42" t="str">
            <v>Yvonne Copson</v>
          </cell>
        </row>
        <row r="43">
          <cell r="A43">
            <v>715</v>
          </cell>
          <cell r="B43" t="str">
            <v>Steven Coulam</v>
          </cell>
        </row>
        <row r="44">
          <cell r="A44">
            <v>567</v>
          </cell>
          <cell r="B44" t="str">
            <v>Lawrence Cox</v>
          </cell>
        </row>
        <row r="45">
          <cell r="A45">
            <v>1391</v>
          </cell>
          <cell r="B45" t="str">
            <v>Leah Cuthbertson</v>
          </cell>
        </row>
        <row r="46">
          <cell r="A46">
            <v>704</v>
          </cell>
          <cell r="B46" t="str">
            <v>Chris Dainty</v>
          </cell>
        </row>
        <row r="47">
          <cell r="A47">
            <v>1283</v>
          </cell>
          <cell r="B47" t="str">
            <v>Martin Dare</v>
          </cell>
        </row>
        <row r="48">
          <cell r="A48">
            <v>295</v>
          </cell>
          <cell r="B48" t="str">
            <v>Stuart Dawkins</v>
          </cell>
        </row>
        <row r="49">
          <cell r="A49">
            <v>1226</v>
          </cell>
          <cell r="B49" t="str">
            <v>Navpreet Dhillon</v>
          </cell>
        </row>
        <row r="50">
          <cell r="A50">
            <v>1333</v>
          </cell>
          <cell r="B50" t="str">
            <v>Graham Dickens</v>
          </cell>
        </row>
        <row r="51">
          <cell r="A51">
            <v>1185</v>
          </cell>
          <cell r="B51" t="str">
            <v>Isabelle Dixey</v>
          </cell>
        </row>
        <row r="52">
          <cell r="A52">
            <v>1065</v>
          </cell>
          <cell r="B52" t="str">
            <v>Simon Dixey</v>
          </cell>
        </row>
        <row r="53">
          <cell r="A53">
            <v>1407</v>
          </cell>
          <cell r="B53" t="str">
            <v>Colin Dobson</v>
          </cell>
        </row>
        <row r="54">
          <cell r="A54">
            <v>1096</v>
          </cell>
          <cell r="B54" t="str">
            <v>Nathan Durnin</v>
          </cell>
        </row>
        <row r="55">
          <cell r="A55">
            <v>1236</v>
          </cell>
          <cell r="B55" t="str">
            <v>Clare Durnin</v>
          </cell>
        </row>
        <row r="56">
          <cell r="A56">
            <v>699</v>
          </cell>
          <cell r="B56" t="str">
            <v>Jonathan Durnin</v>
          </cell>
        </row>
        <row r="57">
          <cell r="A57">
            <v>1000</v>
          </cell>
          <cell r="B57" t="str">
            <v>Ashley Easton</v>
          </cell>
        </row>
        <row r="58">
          <cell r="A58">
            <v>1332</v>
          </cell>
          <cell r="B58" t="str">
            <v>Jo Eaton</v>
          </cell>
        </row>
        <row r="59">
          <cell r="A59">
            <v>682</v>
          </cell>
          <cell r="B59" t="str">
            <v>Lee Edmonds</v>
          </cell>
        </row>
        <row r="60">
          <cell r="A60">
            <v>1393</v>
          </cell>
          <cell r="B60" t="str">
            <v>Sally Ellis</v>
          </cell>
        </row>
        <row r="61">
          <cell r="A61">
            <v>1355</v>
          </cell>
          <cell r="B61" t="str">
            <v>Aubrey Elmer</v>
          </cell>
        </row>
        <row r="62">
          <cell r="A62">
            <v>1164</v>
          </cell>
          <cell r="B62" t="str">
            <v>Harriet Evans</v>
          </cell>
        </row>
        <row r="63">
          <cell r="A63">
            <v>1062</v>
          </cell>
          <cell r="B63" t="str">
            <v>Mark Evans</v>
          </cell>
        </row>
        <row r="64">
          <cell r="A64">
            <v>938</v>
          </cell>
          <cell r="B64" t="str">
            <v>Jane Evans</v>
          </cell>
        </row>
        <row r="65">
          <cell r="A65">
            <v>1427</v>
          </cell>
          <cell r="B65" t="str">
            <v>Ruth Evans</v>
          </cell>
        </row>
        <row r="66">
          <cell r="A66">
            <v>1034</v>
          </cell>
          <cell r="B66" t="str">
            <v>Mark Fiddy</v>
          </cell>
        </row>
        <row r="67">
          <cell r="A67">
            <v>1402</v>
          </cell>
          <cell r="B67" t="str">
            <v>Neil Fisher</v>
          </cell>
        </row>
        <row r="68">
          <cell r="A68">
            <v>939</v>
          </cell>
          <cell r="B68" t="str">
            <v>Sally Foreman</v>
          </cell>
        </row>
        <row r="69">
          <cell r="A69">
            <v>1377</v>
          </cell>
          <cell r="B69" t="str">
            <v>Lucy Fraser</v>
          </cell>
        </row>
        <row r="70">
          <cell r="A70">
            <v>1281</v>
          </cell>
          <cell r="B70" t="str">
            <v>Gerald Garner</v>
          </cell>
        </row>
        <row r="71">
          <cell r="A71">
            <v>933</v>
          </cell>
          <cell r="B71" t="str">
            <v>Ed Grandidge</v>
          </cell>
        </row>
        <row r="72">
          <cell r="A72">
            <v>1274</v>
          </cell>
          <cell r="B72" t="str">
            <v>Sophia Gowers</v>
          </cell>
        </row>
        <row r="73">
          <cell r="A73">
            <v>493</v>
          </cell>
          <cell r="B73" t="str">
            <v>George Halls</v>
          </cell>
        </row>
        <row r="74">
          <cell r="A74">
            <v>1279</v>
          </cell>
          <cell r="B74" t="str">
            <v>Jeffrey Hanner</v>
          </cell>
        </row>
        <row r="75">
          <cell r="A75">
            <v>1193</v>
          </cell>
          <cell r="B75" t="str">
            <v>Richard Hardwicke</v>
          </cell>
        </row>
        <row r="76">
          <cell r="A76">
            <v>1194</v>
          </cell>
          <cell r="B76" t="str">
            <v>Alex Hardwicke</v>
          </cell>
        </row>
        <row r="77">
          <cell r="A77">
            <v>1196</v>
          </cell>
          <cell r="B77" t="str">
            <v>Daniel Hardwicke</v>
          </cell>
        </row>
        <row r="78">
          <cell r="A78">
            <v>1195</v>
          </cell>
          <cell r="B78" t="str">
            <v>Charlie Hardwicke</v>
          </cell>
        </row>
        <row r="79">
          <cell r="A79">
            <v>1176</v>
          </cell>
          <cell r="B79" t="str">
            <v>Rory Harrison</v>
          </cell>
        </row>
        <row r="80">
          <cell r="A80">
            <v>1174</v>
          </cell>
          <cell r="B80" t="str">
            <v>Claire Harrison</v>
          </cell>
        </row>
        <row r="81">
          <cell r="A81">
            <v>1175</v>
          </cell>
          <cell r="B81" t="str">
            <v>Richard Harrison</v>
          </cell>
        </row>
        <row r="82">
          <cell r="A82">
            <v>1109</v>
          </cell>
          <cell r="B82" t="str">
            <v>Stuart Haycox</v>
          </cell>
        </row>
        <row r="83">
          <cell r="A83">
            <v>1073</v>
          </cell>
          <cell r="B83" t="str">
            <v>Richard Heald</v>
          </cell>
        </row>
        <row r="84">
          <cell r="A84">
            <v>1400</v>
          </cell>
          <cell r="B84" t="str">
            <v>Elgar Aguilar Hernandez</v>
          </cell>
        </row>
        <row r="85">
          <cell r="A85">
            <v>1367</v>
          </cell>
          <cell r="B85" t="str">
            <v>Daniel Henderson</v>
          </cell>
        </row>
        <row r="86">
          <cell r="A86">
            <v>1366</v>
          </cell>
          <cell r="B86" t="str">
            <v>Hannah Henderson</v>
          </cell>
        </row>
        <row r="87">
          <cell r="A87">
            <v>1365</v>
          </cell>
          <cell r="B87" t="str">
            <v>Helen Henderson</v>
          </cell>
        </row>
        <row r="88">
          <cell r="A88">
            <v>897</v>
          </cell>
          <cell r="B88" t="str">
            <v>Marc Henderson</v>
          </cell>
        </row>
        <row r="89">
          <cell r="A89">
            <v>1308</v>
          </cell>
          <cell r="B89" t="str">
            <v>Alice Herring</v>
          </cell>
        </row>
        <row r="90">
          <cell r="A90">
            <v>1206</v>
          </cell>
          <cell r="B90" t="str">
            <v>Joy Hill</v>
          </cell>
        </row>
        <row r="91">
          <cell r="A91">
            <v>1205</v>
          </cell>
          <cell r="B91" t="str">
            <v>Dave Hill</v>
          </cell>
        </row>
        <row r="92">
          <cell r="A92">
            <v>1406</v>
          </cell>
          <cell r="B92" t="str">
            <v>Gavin Hinxman</v>
          </cell>
        </row>
        <row r="93">
          <cell r="A93">
            <v>1182</v>
          </cell>
          <cell r="B93" t="str">
            <v>Neil Holman</v>
          </cell>
        </row>
        <row r="94">
          <cell r="A94">
            <v>1340</v>
          </cell>
          <cell r="B94" t="str">
            <v>Cristian Holmes</v>
          </cell>
        </row>
        <row r="95">
          <cell r="A95">
            <v>21</v>
          </cell>
          <cell r="B95" t="str">
            <v>Wayne Holton</v>
          </cell>
        </row>
        <row r="96">
          <cell r="A96">
            <v>1049</v>
          </cell>
          <cell r="B96" t="str">
            <v>Duncan Hopwood</v>
          </cell>
        </row>
        <row r="97">
          <cell r="A97">
            <v>120</v>
          </cell>
          <cell r="B97" t="str">
            <v>Linda Hubbard</v>
          </cell>
        </row>
        <row r="98">
          <cell r="A98">
            <v>990</v>
          </cell>
          <cell r="B98" t="str">
            <v>Jennifer Hulme</v>
          </cell>
        </row>
        <row r="99">
          <cell r="A99">
            <v>1395</v>
          </cell>
          <cell r="B99" t="str">
            <v>Freya Human</v>
          </cell>
        </row>
        <row r="100">
          <cell r="A100">
            <v>1158</v>
          </cell>
          <cell r="B100" t="str">
            <v>Eleanor Humphries</v>
          </cell>
        </row>
        <row r="101">
          <cell r="A101">
            <v>23</v>
          </cell>
          <cell r="B101" t="str">
            <v>Chris Hyde</v>
          </cell>
        </row>
        <row r="102">
          <cell r="A102">
            <v>1152</v>
          </cell>
          <cell r="B102" t="str">
            <v>Ruby Isaac</v>
          </cell>
        </row>
        <row r="103">
          <cell r="A103">
            <v>581</v>
          </cell>
          <cell r="B103" t="str">
            <v>Mike Ives</v>
          </cell>
        </row>
        <row r="104">
          <cell r="A104">
            <v>1374</v>
          </cell>
          <cell r="B104" t="str">
            <v>Will Jackson-Bream</v>
          </cell>
        </row>
        <row r="105">
          <cell r="A105">
            <v>25</v>
          </cell>
          <cell r="B105" t="str">
            <v>Mitchell James</v>
          </cell>
        </row>
        <row r="106">
          <cell r="A106">
            <v>1257</v>
          </cell>
          <cell r="B106" t="str">
            <v>Richard Kendrick</v>
          </cell>
        </row>
        <row r="107">
          <cell r="A107">
            <v>415</v>
          </cell>
          <cell r="B107" t="str">
            <v>Nik Kershaw</v>
          </cell>
        </row>
        <row r="108">
          <cell r="A108">
            <v>1144</v>
          </cell>
          <cell r="B108" t="str">
            <v>Jamie Kershaw</v>
          </cell>
        </row>
        <row r="109">
          <cell r="A109">
            <v>1292</v>
          </cell>
          <cell r="B109" t="str">
            <v>Hazel Keys</v>
          </cell>
        </row>
        <row r="110">
          <cell r="A110">
            <v>203</v>
          </cell>
          <cell r="B110" t="str">
            <v>Adrian Killworth</v>
          </cell>
        </row>
        <row r="111">
          <cell r="A111">
            <v>956</v>
          </cell>
          <cell r="B111" t="str">
            <v>Steven King</v>
          </cell>
        </row>
        <row r="112">
          <cell r="A112">
            <v>1273</v>
          </cell>
          <cell r="B112" t="str">
            <v>Ros Knight</v>
          </cell>
        </row>
        <row r="113">
          <cell r="A113">
            <v>1272</v>
          </cell>
          <cell r="B113" t="str">
            <v>Tim Knight</v>
          </cell>
        </row>
        <row r="114">
          <cell r="A114">
            <v>846</v>
          </cell>
          <cell r="B114" t="str">
            <v>Roger Kockelbergh</v>
          </cell>
        </row>
        <row r="115">
          <cell r="A115">
            <v>1162</v>
          </cell>
          <cell r="B115" t="str">
            <v>Richard Krause</v>
          </cell>
        </row>
        <row r="116">
          <cell r="A116">
            <v>1244</v>
          </cell>
          <cell r="B116" t="str">
            <v>Steven Latham</v>
          </cell>
        </row>
        <row r="117">
          <cell r="A117">
            <v>1379</v>
          </cell>
          <cell r="B117" t="str">
            <v>Michaela Latham</v>
          </cell>
        </row>
        <row r="118">
          <cell r="A118">
            <v>1362</v>
          </cell>
          <cell r="B118" t="str">
            <v>Paula Laws</v>
          </cell>
        </row>
        <row r="119">
          <cell r="A119">
            <v>1403</v>
          </cell>
          <cell r="B119" t="str">
            <v>Toby Lenehan</v>
          </cell>
        </row>
        <row r="120">
          <cell r="A120">
            <v>1404</v>
          </cell>
          <cell r="B120" t="str">
            <v>Millie Lenehan</v>
          </cell>
        </row>
        <row r="121">
          <cell r="A121">
            <v>1229</v>
          </cell>
          <cell r="B121" t="str">
            <v>Kamila Leska</v>
          </cell>
        </row>
        <row r="122">
          <cell r="A122">
            <v>1408</v>
          </cell>
          <cell r="B122" t="str">
            <v>Kim Lewington</v>
          </cell>
        </row>
        <row r="123">
          <cell r="A123">
            <v>1409</v>
          </cell>
          <cell r="B123" t="str">
            <v>Lynette Lewington</v>
          </cell>
        </row>
        <row r="124">
          <cell r="A124">
            <v>1198</v>
          </cell>
          <cell r="B124" t="str">
            <v>Anthony Liot</v>
          </cell>
        </row>
        <row r="125">
          <cell r="A125">
            <v>1260</v>
          </cell>
          <cell r="B125" t="str">
            <v>Alison Lucas</v>
          </cell>
        </row>
        <row r="126">
          <cell r="A126">
            <v>1361</v>
          </cell>
          <cell r="B126" t="str">
            <v>Bruce Main</v>
          </cell>
        </row>
        <row r="127">
          <cell r="A127">
            <v>1100</v>
          </cell>
          <cell r="B127" t="str">
            <v>Ian Mansfield</v>
          </cell>
        </row>
        <row r="128">
          <cell r="A128">
            <v>1385</v>
          </cell>
          <cell r="B128" t="str">
            <v>Miles Marr</v>
          </cell>
        </row>
        <row r="129">
          <cell r="A129">
            <v>1394</v>
          </cell>
          <cell r="B129" t="str">
            <v>Noah Marr</v>
          </cell>
        </row>
        <row r="130">
          <cell r="A130">
            <v>1419</v>
          </cell>
          <cell r="B130" t="str">
            <v>Ethan Marsh</v>
          </cell>
        </row>
        <row r="131">
          <cell r="A131">
            <v>967</v>
          </cell>
          <cell r="B131" t="str">
            <v>Daniel McDonnell</v>
          </cell>
        </row>
        <row r="132">
          <cell r="A132">
            <v>1373</v>
          </cell>
          <cell r="B132" t="str">
            <v>David McGraw</v>
          </cell>
        </row>
        <row r="133">
          <cell r="A133">
            <v>1045</v>
          </cell>
          <cell r="B133" t="str">
            <v>Amanda McPherson</v>
          </cell>
        </row>
        <row r="134">
          <cell r="A134">
            <v>1046</v>
          </cell>
          <cell r="B134" t="str">
            <v>Jim McPherson</v>
          </cell>
        </row>
        <row r="135">
          <cell r="A135">
            <v>1396</v>
          </cell>
          <cell r="B135" t="str">
            <v>Peter Melville</v>
          </cell>
        </row>
        <row r="136">
          <cell r="A136">
            <v>1397</v>
          </cell>
          <cell r="B136" t="str">
            <v>Rebecca Melville</v>
          </cell>
        </row>
        <row r="137">
          <cell r="A137">
            <v>1398</v>
          </cell>
          <cell r="B137" t="str">
            <v>George Melville</v>
          </cell>
        </row>
        <row r="138">
          <cell r="A138">
            <v>1399</v>
          </cell>
          <cell r="B138" t="str">
            <v>Harriet Melville</v>
          </cell>
        </row>
        <row r="139">
          <cell r="A139">
            <v>771</v>
          </cell>
          <cell r="B139" t="str">
            <v>Julian Middleton</v>
          </cell>
        </row>
        <row r="140">
          <cell r="A140">
            <v>1265</v>
          </cell>
          <cell r="B140" t="str">
            <v>Kevin Millard</v>
          </cell>
        </row>
        <row r="141">
          <cell r="A141">
            <v>532</v>
          </cell>
          <cell r="B141" t="str">
            <v>Kevin Mills</v>
          </cell>
        </row>
        <row r="142">
          <cell r="A142">
            <v>1388</v>
          </cell>
          <cell r="B142" t="str">
            <v>Sophie Mitchell</v>
          </cell>
        </row>
        <row r="143">
          <cell r="A143">
            <v>742</v>
          </cell>
          <cell r="B143" t="str">
            <v>Claire Moore</v>
          </cell>
        </row>
        <row r="144">
          <cell r="A144">
            <v>741</v>
          </cell>
          <cell r="B144" t="str">
            <v>Rob Moore</v>
          </cell>
        </row>
        <row r="145">
          <cell r="A145">
            <v>1298</v>
          </cell>
          <cell r="B145" t="str">
            <v>Jane Moore</v>
          </cell>
        </row>
        <row r="146">
          <cell r="A146">
            <v>747</v>
          </cell>
          <cell r="B146" t="str">
            <v>James Moore</v>
          </cell>
        </row>
        <row r="147">
          <cell r="A147">
            <v>1386</v>
          </cell>
          <cell r="B147" t="str">
            <v>Mea Moore</v>
          </cell>
        </row>
        <row r="148">
          <cell r="A148">
            <v>1221</v>
          </cell>
          <cell r="B148" t="str">
            <v>David Morgan</v>
          </cell>
        </row>
        <row r="149">
          <cell r="A149">
            <v>564</v>
          </cell>
          <cell r="B149" t="str">
            <v>Ian Murdey</v>
          </cell>
        </row>
        <row r="150">
          <cell r="A150">
            <v>1165</v>
          </cell>
          <cell r="B150" t="str">
            <v>Duncan Murray</v>
          </cell>
        </row>
        <row r="151">
          <cell r="A151">
            <v>405</v>
          </cell>
          <cell r="B151" t="str">
            <v>Kevin Nicholls</v>
          </cell>
        </row>
        <row r="152">
          <cell r="A152">
            <v>1346</v>
          </cell>
          <cell r="B152" t="str">
            <v>Stephen Nixon</v>
          </cell>
        </row>
        <row r="153">
          <cell r="A153">
            <v>1192</v>
          </cell>
          <cell r="B153" t="str">
            <v>Dale Norris</v>
          </cell>
        </row>
        <row r="154">
          <cell r="A154">
            <v>1157</v>
          </cell>
          <cell r="B154" t="str">
            <v>Chris Orfeur</v>
          </cell>
        </row>
        <row r="155">
          <cell r="A155">
            <v>1359</v>
          </cell>
          <cell r="B155" t="str">
            <v>George Parker</v>
          </cell>
        </row>
        <row r="156">
          <cell r="A156">
            <v>1360</v>
          </cell>
          <cell r="B156" t="str">
            <v>Charlotte Parker</v>
          </cell>
        </row>
        <row r="157">
          <cell r="A157">
            <v>1357</v>
          </cell>
          <cell r="B157" t="str">
            <v>Ian Parker</v>
          </cell>
        </row>
        <row r="158">
          <cell r="A158">
            <v>1358</v>
          </cell>
          <cell r="B158" t="str">
            <v>Mandy Parker</v>
          </cell>
        </row>
        <row r="159">
          <cell r="A159">
            <v>1390</v>
          </cell>
          <cell r="B159" t="str">
            <v>Diego Patteri</v>
          </cell>
        </row>
        <row r="160">
          <cell r="A160">
            <v>1107</v>
          </cell>
          <cell r="B160" t="str">
            <v>Milly Pinnock</v>
          </cell>
        </row>
        <row r="161">
          <cell r="A161">
            <v>35</v>
          </cell>
          <cell r="B161" t="str">
            <v>Matt Plews</v>
          </cell>
        </row>
        <row r="162">
          <cell r="A162">
            <v>1094</v>
          </cell>
          <cell r="B162" t="str">
            <v>Andy Poulton</v>
          </cell>
        </row>
        <row r="163">
          <cell r="A163">
            <v>1325</v>
          </cell>
          <cell r="B163" t="str">
            <v>Greg Prangnell</v>
          </cell>
        </row>
        <row r="164">
          <cell r="A164">
            <v>1143</v>
          </cell>
          <cell r="B164" t="str">
            <v>Rob Pullen</v>
          </cell>
        </row>
        <row r="165">
          <cell r="A165">
            <v>1401</v>
          </cell>
          <cell r="B165" t="str">
            <v>Catriona Purdon</v>
          </cell>
        </row>
        <row r="166">
          <cell r="A166">
            <v>1285</v>
          </cell>
          <cell r="B166" t="str">
            <v>Chris Ramsdale</v>
          </cell>
        </row>
        <row r="167">
          <cell r="A167">
            <v>38</v>
          </cell>
          <cell r="B167" t="str">
            <v>Phil Rayner</v>
          </cell>
        </row>
        <row r="168">
          <cell r="A168">
            <v>245</v>
          </cell>
          <cell r="B168" t="str">
            <v>David Reay</v>
          </cell>
        </row>
        <row r="169">
          <cell r="A169">
            <v>39</v>
          </cell>
          <cell r="B169" t="str">
            <v>Michael Reay</v>
          </cell>
        </row>
        <row r="170">
          <cell r="A170">
            <v>508</v>
          </cell>
          <cell r="B170" t="str">
            <v>Peter Riley</v>
          </cell>
        </row>
        <row r="171">
          <cell r="A171">
            <v>1025</v>
          </cell>
          <cell r="B171" t="str">
            <v>Leo Roberts</v>
          </cell>
        </row>
        <row r="172">
          <cell r="A172">
            <v>1024</v>
          </cell>
          <cell r="B172" t="str">
            <v>Jax Roberts</v>
          </cell>
        </row>
        <row r="173">
          <cell r="A173">
            <v>1023</v>
          </cell>
          <cell r="B173" t="str">
            <v>Gary Roberts</v>
          </cell>
        </row>
        <row r="174">
          <cell r="A174">
            <v>1232</v>
          </cell>
          <cell r="B174" t="str">
            <v>Anna Roberts</v>
          </cell>
        </row>
        <row r="175">
          <cell r="A175">
            <v>1392</v>
          </cell>
          <cell r="B175" t="str">
            <v>Sarah Robinson</v>
          </cell>
        </row>
        <row r="176">
          <cell r="A176">
            <v>1141</v>
          </cell>
          <cell r="B176" t="str">
            <v>Judith Rout</v>
          </cell>
        </row>
        <row r="177">
          <cell r="A177">
            <v>891</v>
          </cell>
          <cell r="B177" t="str">
            <v>Dawn Russell</v>
          </cell>
        </row>
        <row r="178">
          <cell r="A178">
            <v>1352</v>
          </cell>
          <cell r="B178" t="str">
            <v>Ian Scoley</v>
          </cell>
        </row>
        <row r="179">
          <cell r="A179">
            <v>1339</v>
          </cell>
          <cell r="B179" t="str">
            <v>Jack Shewring</v>
          </cell>
        </row>
        <row r="180">
          <cell r="A180">
            <v>914</v>
          </cell>
          <cell r="B180" t="str">
            <v>Charlie Simpson</v>
          </cell>
        </row>
        <row r="181">
          <cell r="A181">
            <v>597</v>
          </cell>
          <cell r="B181" t="str">
            <v>Trevor Shelley</v>
          </cell>
        </row>
        <row r="182">
          <cell r="A182">
            <v>1038</v>
          </cell>
          <cell r="B182" t="str">
            <v>Paul Simpson</v>
          </cell>
        </row>
        <row r="183">
          <cell r="A183">
            <v>1347</v>
          </cell>
          <cell r="B183" t="str">
            <v>Stuart Simpson-Smith</v>
          </cell>
        </row>
        <row r="184">
          <cell r="A184">
            <v>1242</v>
          </cell>
          <cell r="B184" t="str">
            <v>Mike Sirett</v>
          </cell>
        </row>
        <row r="185">
          <cell r="A185">
            <v>1048</v>
          </cell>
          <cell r="B185" t="str">
            <v>Andy Smith</v>
          </cell>
        </row>
        <row r="186">
          <cell r="A186">
            <v>1055</v>
          </cell>
          <cell r="B186" t="str">
            <v>Austin Smith</v>
          </cell>
        </row>
        <row r="187">
          <cell r="A187">
            <v>1095</v>
          </cell>
          <cell r="B187" t="str">
            <v>Denis Smith</v>
          </cell>
        </row>
        <row r="188">
          <cell r="A188">
            <v>820</v>
          </cell>
          <cell r="B188" t="str">
            <v>Lucy Smith</v>
          </cell>
        </row>
        <row r="189">
          <cell r="A189">
            <v>687</v>
          </cell>
          <cell r="B189" t="str">
            <v>Timothy Smith</v>
          </cell>
        </row>
        <row r="190">
          <cell r="A190">
            <v>1420</v>
          </cell>
          <cell r="B190" t="str">
            <v>Paula Stephenson</v>
          </cell>
        </row>
        <row r="191">
          <cell r="A191">
            <v>1410</v>
          </cell>
          <cell r="B191" t="str">
            <v>Ryan Stuart</v>
          </cell>
        </row>
        <row r="192">
          <cell r="A192">
            <v>1161</v>
          </cell>
          <cell r="B192" t="str">
            <v>Maciej Suchocki</v>
          </cell>
        </row>
        <row r="193">
          <cell r="A193">
            <v>890</v>
          </cell>
          <cell r="B193" t="str">
            <v>Rowland Summerlin</v>
          </cell>
        </row>
        <row r="194">
          <cell r="A194">
            <v>1166</v>
          </cell>
          <cell r="B194" t="str">
            <v>Ed Tarelli</v>
          </cell>
        </row>
        <row r="195">
          <cell r="A195">
            <v>45</v>
          </cell>
          <cell r="B195" t="str">
            <v>Ray Taylor</v>
          </cell>
        </row>
        <row r="196">
          <cell r="A196">
            <v>1160</v>
          </cell>
          <cell r="B196" t="str">
            <v>Rhys Thomas</v>
          </cell>
        </row>
        <row r="197">
          <cell r="A197">
            <v>945</v>
          </cell>
          <cell r="B197" t="str">
            <v>George Timmins</v>
          </cell>
        </row>
        <row r="198">
          <cell r="A198">
            <v>813</v>
          </cell>
          <cell r="B198" t="str">
            <v>Dawn Timmins</v>
          </cell>
        </row>
        <row r="199">
          <cell r="A199">
            <v>812</v>
          </cell>
          <cell r="B199" t="str">
            <v>Gavin Timmins</v>
          </cell>
        </row>
        <row r="200">
          <cell r="A200">
            <v>1129</v>
          </cell>
          <cell r="B200" t="str">
            <v>Doug Tincello</v>
          </cell>
        </row>
        <row r="201">
          <cell r="A201">
            <v>915</v>
          </cell>
          <cell r="B201" t="str">
            <v>Julian Twynham</v>
          </cell>
        </row>
        <row r="202">
          <cell r="A202">
            <v>1356</v>
          </cell>
          <cell r="B202" t="str">
            <v>Michiel Vaal</v>
          </cell>
        </row>
        <row r="203">
          <cell r="A203">
            <v>1422</v>
          </cell>
          <cell r="B203" t="str">
            <v>Laura Vann-Hopewell</v>
          </cell>
        </row>
        <row r="204">
          <cell r="A204">
            <v>860</v>
          </cell>
          <cell r="B204" t="str">
            <v>Millie van Nierop</v>
          </cell>
        </row>
        <row r="205">
          <cell r="A205">
            <v>756</v>
          </cell>
          <cell r="B205" t="str">
            <v>Josh van Nierop</v>
          </cell>
        </row>
        <row r="206">
          <cell r="A206">
            <v>407</v>
          </cell>
          <cell r="B206" t="str">
            <v>Hans van Nierop</v>
          </cell>
        </row>
        <row r="207">
          <cell r="A207">
            <v>1428</v>
          </cell>
          <cell r="B207" t="str">
            <v>Oliver Voice</v>
          </cell>
        </row>
        <row r="208">
          <cell r="A208">
            <v>1423</v>
          </cell>
          <cell r="B208" t="str">
            <v>Mark Vowles</v>
          </cell>
        </row>
        <row r="209">
          <cell r="A209">
            <v>1424</v>
          </cell>
          <cell r="B209" t="str">
            <v>Charlotte Vowles</v>
          </cell>
        </row>
        <row r="210">
          <cell r="A210">
            <v>1425</v>
          </cell>
          <cell r="B210" t="str">
            <v>Jasper Vowles</v>
          </cell>
        </row>
        <row r="211">
          <cell r="A211">
            <v>1426</v>
          </cell>
          <cell r="B211" t="str">
            <v>Ione Vowles</v>
          </cell>
        </row>
        <row r="212">
          <cell r="A212">
            <v>1312</v>
          </cell>
          <cell r="B212" t="str">
            <v>Judith Waddington</v>
          </cell>
        </row>
        <row r="213">
          <cell r="A213">
            <v>935</v>
          </cell>
          <cell r="B213" t="str">
            <v>Sophie Ward</v>
          </cell>
        </row>
        <row r="214">
          <cell r="A214">
            <v>999</v>
          </cell>
          <cell r="B214" t="str">
            <v>Abigail Ward</v>
          </cell>
        </row>
        <row r="215">
          <cell r="A215">
            <v>998</v>
          </cell>
          <cell r="B215" t="str">
            <v>Debbie Ward</v>
          </cell>
        </row>
        <row r="216">
          <cell r="A216">
            <v>616</v>
          </cell>
          <cell r="B216" t="str">
            <v>Simon Ward</v>
          </cell>
        </row>
        <row r="217">
          <cell r="A217">
            <v>558</v>
          </cell>
          <cell r="B217" t="str">
            <v>Andrew Weatherby</v>
          </cell>
        </row>
        <row r="218">
          <cell r="A218">
            <v>991</v>
          </cell>
          <cell r="B218" t="str">
            <v>Eleanor Webber</v>
          </cell>
        </row>
        <row r="219">
          <cell r="A219">
            <v>359</v>
          </cell>
          <cell r="B219" t="str">
            <v>John Welsford</v>
          </cell>
        </row>
        <row r="220">
          <cell r="A220">
            <v>1310</v>
          </cell>
          <cell r="B220" t="str">
            <v>Thomas Weston</v>
          </cell>
        </row>
        <row r="221">
          <cell r="A221">
            <v>1200</v>
          </cell>
          <cell r="B221" t="str">
            <v>Jules Wilks</v>
          </cell>
        </row>
        <row r="222">
          <cell r="A222">
            <v>1411</v>
          </cell>
          <cell r="B222" t="str">
            <v>Anne Wilks</v>
          </cell>
        </row>
        <row r="223">
          <cell r="A223">
            <v>1412</v>
          </cell>
          <cell r="B223" t="str">
            <v>Fie Wilks</v>
          </cell>
        </row>
        <row r="224">
          <cell r="A224">
            <v>1413</v>
          </cell>
          <cell r="B224" t="str">
            <v>Toby Wilks</v>
          </cell>
        </row>
        <row r="225">
          <cell r="A225">
            <v>1376</v>
          </cell>
          <cell r="B225" t="str">
            <v>Sally Will</v>
          </cell>
        </row>
        <row r="226">
          <cell r="A226">
            <v>1140</v>
          </cell>
          <cell r="B226" t="str">
            <v>Kevin Willett</v>
          </cell>
        </row>
        <row r="227">
          <cell r="A227">
            <v>989</v>
          </cell>
          <cell r="B227" t="str">
            <v>Jason Williams</v>
          </cell>
        </row>
        <row r="228">
          <cell r="A228">
            <v>1417</v>
          </cell>
          <cell r="B228" t="str">
            <v>Michelle Wilson</v>
          </cell>
        </row>
        <row r="229">
          <cell r="A229">
            <v>52</v>
          </cell>
          <cell r="B229" t="str">
            <v>Will Wise</v>
          </cell>
        </row>
        <row r="230">
          <cell r="A230">
            <v>62</v>
          </cell>
          <cell r="B230" t="str">
            <v>David Wilson</v>
          </cell>
        </row>
        <row r="231">
          <cell r="A231">
            <v>930</v>
          </cell>
          <cell r="B231" t="str">
            <v>Catherine Wintersgill</v>
          </cell>
        </row>
        <row r="232">
          <cell r="A232">
            <v>1254</v>
          </cell>
          <cell r="B232" t="str">
            <v>Paul White</v>
          </cell>
        </row>
        <row r="233">
          <cell r="A233">
            <v>744</v>
          </cell>
          <cell r="B233" t="str">
            <v>Robert Woodford</v>
          </cell>
        </row>
        <row r="234">
          <cell r="A234">
            <v>337</v>
          </cell>
          <cell r="B234" t="str">
            <v>Linda Yarnold</v>
          </cell>
        </row>
        <row r="235">
          <cell r="A235" t="str">
            <v/>
          </cell>
          <cell r="B235" t="str">
            <v/>
          </cell>
        </row>
        <row r="236">
          <cell r="A236" t="str">
            <v/>
          </cell>
          <cell r="B236" t="str">
            <v/>
          </cell>
        </row>
        <row r="237">
          <cell r="A237" t="str">
            <v/>
          </cell>
          <cell r="B237" t="str">
            <v/>
          </cell>
        </row>
        <row r="238">
          <cell r="A238" t="str">
            <v/>
          </cell>
          <cell r="B238" t="str">
            <v/>
          </cell>
        </row>
        <row r="239">
          <cell r="A239" t="str">
            <v/>
          </cell>
          <cell r="B239" t="str">
            <v/>
          </cell>
        </row>
        <row r="240">
          <cell r="A240" t="str">
            <v/>
          </cell>
          <cell r="B240" t="str">
            <v/>
          </cell>
        </row>
        <row r="241">
          <cell r="A241" t="str">
            <v/>
          </cell>
          <cell r="B241" t="str">
            <v/>
          </cell>
        </row>
        <row r="242">
          <cell r="A242" t="str">
            <v/>
          </cell>
          <cell r="B242" t="str">
            <v/>
          </cell>
        </row>
        <row r="243">
          <cell r="A243" t="str">
            <v/>
          </cell>
          <cell r="B243" t="str">
            <v/>
          </cell>
        </row>
        <row r="244">
          <cell r="A244" t="str">
            <v/>
          </cell>
          <cell r="B244" t="str">
            <v/>
          </cell>
        </row>
        <row r="245">
          <cell r="A245" t="str">
            <v/>
          </cell>
          <cell r="B245" t="str">
            <v/>
          </cell>
        </row>
        <row r="246">
          <cell r="A246" t="str">
            <v/>
          </cell>
          <cell r="B246" t="str">
            <v/>
          </cell>
        </row>
        <row r="247">
          <cell r="A247" t="str">
            <v/>
          </cell>
          <cell r="B247" t="str">
            <v/>
          </cell>
        </row>
        <row r="248">
          <cell r="A248" t="str">
            <v/>
          </cell>
          <cell r="B248" t="str">
            <v/>
          </cell>
        </row>
        <row r="249">
          <cell r="A249" t="str">
            <v/>
          </cell>
          <cell r="B249" t="str">
            <v/>
          </cell>
        </row>
        <row r="250">
          <cell r="A250" t="str">
            <v/>
          </cell>
          <cell r="B250" t="str">
            <v/>
          </cell>
        </row>
        <row r="251">
          <cell r="A251" t="str">
            <v/>
          </cell>
          <cell r="B251" t="str">
            <v/>
          </cell>
        </row>
        <row r="252">
          <cell r="A252" t="str">
            <v/>
          </cell>
          <cell r="B252" t="str">
            <v/>
          </cell>
        </row>
        <row r="253">
          <cell r="A253" t="str">
            <v/>
          </cell>
          <cell r="B253" t="str">
            <v/>
          </cell>
        </row>
        <row r="254">
          <cell r="A254" t="str">
            <v/>
          </cell>
          <cell r="B254" t="str">
            <v/>
          </cell>
        </row>
        <row r="255">
          <cell r="A255" t="str">
            <v/>
          </cell>
          <cell r="B255" t="str">
            <v/>
          </cell>
        </row>
        <row r="256">
          <cell r="A256" t="str">
            <v/>
          </cell>
          <cell r="B256" t="str">
            <v/>
          </cell>
        </row>
        <row r="257">
          <cell r="A257" t="str">
            <v/>
          </cell>
          <cell r="B257" t="str">
            <v/>
          </cell>
        </row>
        <row r="258">
          <cell r="A258" t="str">
            <v/>
          </cell>
          <cell r="B258" t="str">
            <v/>
          </cell>
        </row>
        <row r="259">
          <cell r="A259" t="str">
            <v/>
          </cell>
          <cell r="B259" t="str">
            <v/>
          </cell>
        </row>
        <row r="260">
          <cell r="A260" t="str">
            <v/>
          </cell>
          <cell r="B260" t="str">
            <v/>
          </cell>
        </row>
        <row r="261">
          <cell r="A261" t="str">
            <v/>
          </cell>
          <cell r="B261" t="str">
            <v/>
          </cell>
        </row>
        <row r="262">
          <cell r="A262" t="str">
            <v/>
          </cell>
          <cell r="B262" t="str">
            <v/>
          </cell>
        </row>
        <row r="263">
          <cell r="A263" t="str">
            <v/>
          </cell>
          <cell r="B263" t="str">
            <v/>
          </cell>
        </row>
        <row r="264">
          <cell r="A264" t="str">
            <v/>
          </cell>
          <cell r="B264" t="str">
            <v/>
          </cell>
        </row>
        <row r="265">
          <cell r="A265" t="str">
            <v/>
          </cell>
          <cell r="B265" t="str">
            <v/>
          </cell>
        </row>
        <row r="266">
          <cell r="A266" t="str">
            <v/>
          </cell>
          <cell r="B266" t="str">
            <v/>
          </cell>
        </row>
        <row r="267">
          <cell r="A267" t="str">
            <v/>
          </cell>
          <cell r="B267" t="str">
            <v/>
          </cell>
        </row>
        <row r="268">
          <cell r="A268" t="str">
            <v/>
          </cell>
          <cell r="B268" t="str">
            <v/>
          </cell>
        </row>
        <row r="269">
          <cell r="A269" t="str">
            <v/>
          </cell>
          <cell r="B269" t="str">
            <v/>
          </cell>
        </row>
        <row r="270">
          <cell r="A270" t="str">
            <v/>
          </cell>
          <cell r="B270" t="str">
            <v/>
          </cell>
        </row>
        <row r="271">
          <cell r="A271" t="str">
            <v/>
          </cell>
          <cell r="B271" t="str">
            <v/>
          </cell>
        </row>
        <row r="272">
          <cell r="A272" t="str">
            <v/>
          </cell>
          <cell r="B272" t="str">
            <v/>
          </cell>
        </row>
        <row r="273">
          <cell r="A273" t="str">
            <v/>
          </cell>
          <cell r="B273" t="str">
            <v/>
          </cell>
        </row>
        <row r="274">
          <cell r="A274" t="str">
            <v/>
          </cell>
          <cell r="B274" t="str">
            <v/>
          </cell>
        </row>
        <row r="275">
          <cell r="A275" t="str">
            <v/>
          </cell>
          <cell r="B275" t="str">
            <v/>
          </cell>
        </row>
        <row r="276">
          <cell r="A276" t="str">
            <v/>
          </cell>
          <cell r="B276" t="str">
            <v/>
          </cell>
        </row>
        <row r="277">
          <cell r="A277" t="str">
            <v/>
          </cell>
          <cell r="B277" t="str">
            <v/>
          </cell>
        </row>
        <row r="278">
          <cell r="A278" t="str">
            <v/>
          </cell>
          <cell r="B278" t="str">
            <v/>
          </cell>
        </row>
        <row r="279">
          <cell r="A279" t="str">
            <v/>
          </cell>
          <cell r="B279" t="str">
            <v/>
          </cell>
        </row>
        <row r="280">
          <cell r="A280" t="str">
            <v/>
          </cell>
          <cell r="B280" t="str">
            <v/>
          </cell>
        </row>
        <row r="281">
          <cell r="A281" t="str">
            <v/>
          </cell>
          <cell r="B281" t="str">
            <v/>
          </cell>
        </row>
        <row r="282">
          <cell r="A282" t="str">
            <v/>
          </cell>
          <cell r="B282" t="str">
            <v/>
          </cell>
        </row>
        <row r="283">
          <cell r="A283" t="str">
            <v/>
          </cell>
          <cell r="B283" t="str">
            <v/>
          </cell>
        </row>
        <row r="284">
          <cell r="A284" t="str">
            <v/>
          </cell>
          <cell r="B284" t="str">
            <v/>
          </cell>
        </row>
        <row r="285">
          <cell r="A285" t="str">
            <v/>
          </cell>
          <cell r="B285" t="str">
            <v/>
          </cell>
        </row>
        <row r="286">
          <cell r="A286" t="str">
            <v/>
          </cell>
          <cell r="B286" t="str">
            <v/>
          </cell>
        </row>
        <row r="287">
          <cell r="A287" t="str">
            <v/>
          </cell>
          <cell r="B287" t="str">
            <v/>
          </cell>
        </row>
        <row r="288">
          <cell r="A288" t="str">
            <v/>
          </cell>
          <cell r="B288" t="str">
            <v/>
          </cell>
        </row>
        <row r="289">
          <cell r="A289" t="str">
            <v/>
          </cell>
          <cell r="B289" t="str">
            <v/>
          </cell>
        </row>
        <row r="290">
          <cell r="A290" t="str">
            <v/>
          </cell>
          <cell r="B290" t="str">
            <v/>
          </cell>
        </row>
        <row r="291">
          <cell r="A291" t="str">
            <v/>
          </cell>
          <cell r="B291" t="str">
            <v/>
          </cell>
        </row>
        <row r="292">
          <cell r="A292" t="str">
            <v/>
          </cell>
          <cell r="B292" t="str">
            <v/>
          </cell>
        </row>
        <row r="293">
          <cell r="A293" t="str">
            <v/>
          </cell>
          <cell r="B293" t="str">
            <v/>
          </cell>
        </row>
        <row r="294">
          <cell r="A294" t="str">
            <v/>
          </cell>
          <cell r="B294" t="str">
            <v/>
          </cell>
        </row>
        <row r="295">
          <cell r="A295" t="str">
            <v/>
          </cell>
          <cell r="B295" t="str">
            <v/>
          </cell>
        </row>
        <row r="296">
          <cell r="A296" t="str">
            <v/>
          </cell>
          <cell r="B296" t="str">
            <v/>
          </cell>
        </row>
        <row r="297">
          <cell r="A297" t="str">
            <v/>
          </cell>
          <cell r="B297" t="str">
            <v/>
          </cell>
        </row>
        <row r="298">
          <cell r="A298" t="str">
            <v/>
          </cell>
          <cell r="B298" t="str">
            <v/>
          </cell>
        </row>
        <row r="299">
          <cell r="A299" t="str">
            <v/>
          </cell>
          <cell r="B299" t="str">
            <v/>
          </cell>
        </row>
        <row r="300">
          <cell r="A300" t="str">
            <v/>
          </cell>
          <cell r="B300" t="str">
            <v/>
          </cell>
        </row>
        <row r="301">
          <cell r="A301" t="str">
            <v/>
          </cell>
          <cell r="B301" t="str">
            <v/>
          </cell>
        </row>
        <row r="302">
          <cell r="A302" t="str">
            <v/>
          </cell>
          <cell r="B302" t="str">
            <v/>
          </cell>
        </row>
        <row r="303">
          <cell r="A303" t="str">
            <v/>
          </cell>
          <cell r="B303" t="str">
            <v/>
          </cell>
        </row>
        <row r="304">
          <cell r="A304" t="str">
            <v/>
          </cell>
          <cell r="B304" t="str">
            <v/>
          </cell>
        </row>
        <row r="305">
          <cell r="A305" t="str">
            <v/>
          </cell>
          <cell r="B305" t="str">
            <v/>
          </cell>
        </row>
        <row r="306">
          <cell r="A306" t="str">
            <v/>
          </cell>
          <cell r="B306" t="str">
            <v/>
          </cell>
        </row>
        <row r="307">
          <cell r="A307" t="str">
            <v/>
          </cell>
          <cell r="B307" t="str">
            <v/>
          </cell>
        </row>
        <row r="308">
          <cell r="A308" t="str">
            <v/>
          </cell>
          <cell r="B308" t="str">
            <v/>
          </cell>
        </row>
        <row r="309">
          <cell r="A309" t="str">
            <v/>
          </cell>
          <cell r="B309" t="str">
            <v/>
          </cell>
        </row>
        <row r="310">
          <cell r="A310" t="str">
            <v/>
          </cell>
          <cell r="B310" t="str">
            <v/>
          </cell>
        </row>
        <row r="311">
          <cell r="A311" t="str">
            <v/>
          </cell>
          <cell r="B311" t="str">
            <v/>
          </cell>
        </row>
        <row r="312">
          <cell r="A312" t="str">
            <v/>
          </cell>
          <cell r="B312" t="str">
            <v/>
          </cell>
        </row>
        <row r="313">
          <cell r="A313" t="str">
            <v/>
          </cell>
          <cell r="B313" t="str">
            <v/>
          </cell>
        </row>
        <row r="314">
          <cell r="A314" t="str">
            <v/>
          </cell>
          <cell r="B314" t="str">
            <v/>
          </cell>
        </row>
        <row r="315">
          <cell r="A315" t="str">
            <v/>
          </cell>
          <cell r="B315" t="str">
            <v/>
          </cell>
        </row>
        <row r="316">
          <cell r="A316" t="str">
            <v/>
          </cell>
          <cell r="B316" t="str">
            <v/>
          </cell>
        </row>
        <row r="317">
          <cell r="A317" t="str">
            <v/>
          </cell>
          <cell r="B317" t="str">
            <v/>
          </cell>
        </row>
        <row r="318">
          <cell r="A318" t="str">
            <v/>
          </cell>
          <cell r="B318" t="str">
            <v/>
          </cell>
        </row>
        <row r="319">
          <cell r="A319" t="str">
            <v/>
          </cell>
          <cell r="B319" t="str">
            <v/>
          </cell>
        </row>
        <row r="320">
          <cell r="A320" t="str">
            <v/>
          </cell>
          <cell r="B320" t="str">
            <v/>
          </cell>
        </row>
        <row r="321">
          <cell r="A321" t="str">
            <v/>
          </cell>
          <cell r="B321" t="str">
            <v/>
          </cell>
        </row>
        <row r="322">
          <cell r="A322" t="str">
            <v/>
          </cell>
          <cell r="B322" t="str">
            <v/>
          </cell>
        </row>
        <row r="323">
          <cell r="A323" t="str">
            <v/>
          </cell>
          <cell r="B323" t="str">
            <v/>
          </cell>
        </row>
        <row r="324">
          <cell r="A324" t="str">
            <v/>
          </cell>
          <cell r="B324" t="str">
            <v/>
          </cell>
        </row>
        <row r="325">
          <cell r="A325" t="str">
            <v/>
          </cell>
          <cell r="B325" t="str">
            <v/>
          </cell>
        </row>
        <row r="326">
          <cell r="A326" t="str">
            <v/>
          </cell>
          <cell r="B326" t="str">
            <v/>
          </cell>
        </row>
        <row r="327">
          <cell r="A327" t="str">
            <v/>
          </cell>
          <cell r="B327" t="str">
            <v/>
          </cell>
        </row>
        <row r="328">
          <cell r="A328" t="str">
            <v/>
          </cell>
          <cell r="B328" t="str">
            <v/>
          </cell>
        </row>
        <row r="329">
          <cell r="A329" t="str">
            <v/>
          </cell>
          <cell r="B329" t="str">
            <v/>
          </cell>
        </row>
        <row r="330">
          <cell r="A330" t="str">
            <v/>
          </cell>
          <cell r="B330" t="str">
            <v/>
          </cell>
        </row>
        <row r="331">
          <cell r="A331" t="str">
            <v/>
          </cell>
          <cell r="B331" t="str">
            <v/>
          </cell>
        </row>
        <row r="332">
          <cell r="A332" t="str">
            <v/>
          </cell>
          <cell r="B332" t="str">
            <v/>
          </cell>
        </row>
        <row r="333">
          <cell r="A333" t="str">
            <v/>
          </cell>
          <cell r="B333" t="str">
            <v/>
          </cell>
        </row>
        <row r="334">
          <cell r="A334" t="str">
            <v/>
          </cell>
          <cell r="B334" t="str">
            <v/>
          </cell>
        </row>
        <row r="335">
          <cell r="A335" t="str">
            <v/>
          </cell>
          <cell r="B335" t="str">
            <v/>
          </cell>
        </row>
        <row r="336">
          <cell r="A336" t="str">
            <v/>
          </cell>
          <cell r="B336" t="str">
            <v/>
          </cell>
        </row>
        <row r="337">
          <cell r="A337" t="str">
            <v/>
          </cell>
          <cell r="B337" t="str">
            <v/>
          </cell>
        </row>
        <row r="338">
          <cell r="A338" t="str">
            <v/>
          </cell>
          <cell r="B338" t="str">
            <v/>
          </cell>
        </row>
        <row r="339">
          <cell r="A339" t="str">
            <v/>
          </cell>
          <cell r="B339" t="str">
            <v/>
          </cell>
        </row>
        <row r="340">
          <cell r="A340" t="str">
            <v/>
          </cell>
          <cell r="B340" t="str">
            <v/>
          </cell>
        </row>
        <row r="341">
          <cell r="A341" t="str">
            <v/>
          </cell>
          <cell r="B341" t="str">
            <v/>
          </cell>
        </row>
        <row r="342">
          <cell r="A342" t="str">
            <v/>
          </cell>
          <cell r="B342" t="str">
            <v/>
          </cell>
        </row>
        <row r="343">
          <cell r="A343" t="str">
            <v/>
          </cell>
          <cell r="B343" t="str">
            <v/>
          </cell>
        </row>
        <row r="344">
          <cell r="A344" t="str">
            <v/>
          </cell>
          <cell r="B344" t="str">
            <v/>
          </cell>
        </row>
        <row r="345">
          <cell r="A345" t="str">
            <v/>
          </cell>
          <cell r="B345" t="str">
            <v/>
          </cell>
        </row>
        <row r="346">
          <cell r="A346" t="str">
            <v/>
          </cell>
          <cell r="B346" t="str">
            <v/>
          </cell>
        </row>
        <row r="347">
          <cell r="A347" t="str">
            <v/>
          </cell>
          <cell r="B347" t="str">
            <v/>
          </cell>
        </row>
        <row r="348">
          <cell r="A348" t="str">
            <v/>
          </cell>
          <cell r="B348" t="str">
            <v/>
          </cell>
        </row>
        <row r="349">
          <cell r="A349" t="str">
            <v/>
          </cell>
          <cell r="B349" t="str">
            <v/>
          </cell>
        </row>
        <row r="350">
          <cell r="A350" t="str">
            <v/>
          </cell>
          <cell r="B350" t="str">
            <v/>
          </cell>
        </row>
        <row r="351">
          <cell r="A351" t="str">
            <v/>
          </cell>
          <cell r="B351" t="str">
            <v/>
          </cell>
        </row>
        <row r="352">
          <cell r="A352" t="str">
            <v/>
          </cell>
          <cell r="B352" t="str">
            <v/>
          </cell>
        </row>
        <row r="353">
          <cell r="A353" t="str">
            <v/>
          </cell>
          <cell r="B353" t="str">
            <v/>
          </cell>
        </row>
        <row r="354">
          <cell r="A354" t="str">
            <v/>
          </cell>
          <cell r="B354" t="str">
            <v/>
          </cell>
        </row>
        <row r="355">
          <cell r="A355" t="str">
            <v/>
          </cell>
          <cell r="B355" t="str">
            <v/>
          </cell>
        </row>
        <row r="356">
          <cell r="A356" t="str">
            <v/>
          </cell>
          <cell r="B356" t="str">
            <v/>
          </cell>
        </row>
        <row r="357">
          <cell r="A357" t="str">
            <v/>
          </cell>
          <cell r="B357" t="str">
            <v/>
          </cell>
        </row>
        <row r="358">
          <cell r="A358" t="str">
            <v/>
          </cell>
          <cell r="B358" t="str">
            <v/>
          </cell>
        </row>
        <row r="359">
          <cell r="A359" t="str">
            <v/>
          </cell>
          <cell r="B359" t="str">
            <v/>
          </cell>
        </row>
        <row r="360">
          <cell r="A360" t="str">
            <v/>
          </cell>
          <cell r="B360" t="str">
            <v/>
          </cell>
        </row>
        <row r="361">
          <cell r="A361" t="str">
            <v/>
          </cell>
          <cell r="B361" t="str">
            <v/>
          </cell>
        </row>
        <row r="362">
          <cell r="A362" t="str">
            <v/>
          </cell>
          <cell r="B362" t="str">
            <v/>
          </cell>
        </row>
        <row r="363">
          <cell r="A363" t="str">
            <v/>
          </cell>
          <cell r="B363" t="str">
            <v/>
          </cell>
        </row>
        <row r="364">
          <cell r="A364" t="str">
            <v/>
          </cell>
          <cell r="B364" t="str">
            <v/>
          </cell>
        </row>
        <row r="365">
          <cell r="A365" t="str">
            <v/>
          </cell>
          <cell r="B365" t="str">
            <v/>
          </cell>
        </row>
        <row r="366">
          <cell r="A366" t="str">
            <v/>
          </cell>
          <cell r="B366" t="str">
            <v/>
          </cell>
        </row>
        <row r="367">
          <cell r="A367" t="str">
            <v/>
          </cell>
          <cell r="B367" t="str">
            <v/>
          </cell>
        </row>
        <row r="368">
          <cell r="A368" t="str">
            <v/>
          </cell>
          <cell r="B368" t="str">
            <v/>
          </cell>
        </row>
        <row r="369">
          <cell r="A369" t="str">
            <v/>
          </cell>
          <cell r="B369" t="str">
            <v/>
          </cell>
        </row>
        <row r="370">
          <cell r="A370" t="str">
            <v/>
          </cell>
          <cell r="B370" t="str">
            <v/>
          </cell>
        </row>
        <row r="371">
          <cell r="A371" t="str">
            <v/>
          </cell>
          <cell r="B371" t="str">
            <v/>
          </cell>
        </row>
        <row r="372">
          <cell r="A372" t="str">
            <v/>
          </cell>
          <cell r="B372" t="str">
            <v/>
          </cell>
        </row>
        <row r="373">
          <cell r="A373" t="str">
            <v/>
          </cell>
          <cell r="B373" t="str">
            <v/>
          </cell>
        </row>
        <row r="374">
          <cell r="A374" t="str">
            <v/>
          </cell>
          <cell r="B374" t="str">
            <v/>
          </cell>
        </row>
        <row r="375">
          <cell r="A375" t="str">
            <v/>
          </cell>
          <cell r="B375" t="str">
            <v/>
          </cell>
        </row>
        <row r="376">
          <cell r="A376" t="str">
            <v/>
          </cell>
          <cell r="B376" t="str">
            <v/>
          </cell>
        </row>
        <row r="377">
          <cell r="A377" t="str">
            <v/>
          </cell>
          <cell r="B377" t="str">
            <v/>
          </cell>
        </row>
        <row r="378">
          <cell r="A378" t="str">
            <v/>
          </cell>
          <cell r="B378" t="str">
            <v/>
          </cell>
        </row>
        <row r="379">
          <cell r="A379" t="str">
            <v/>
          </cell>
          <cell r="B379" t="str">
            <v/>
          </cell>
        </row>
        <row r="380">
          <cell r="A380" t="str">
            <v/>
          </cell>
          <cell r="B380" t="str">
            <v/>
          </cell>
        </row>
        <row r="381">
          <cell r="A381" t="str">
            <v/>
          </cell>
          <cell r="B381" t="str">
            <v/>
          </cell>
        </row>
        <row r="382">
          <cell r="A382" t="str">
            <v/>
          </cell>
          <cell r="B382" t="str">
            <v/>
          </cell>
        </row>
        <row r="383">
          <cell r="A383" t="str">
            <v/>
          </cell>
          <cell r="B383" t="str">
            <v/>
          </cell>
        </row>
        <row r="384">
          <cell r="A384" t="str">
            <v/>
          </cell>
          <cell r="B384" t="str">
            <v/>
          </cell>
        </row>
        <row r="385">
          <cell r="A385" t="str">
            <v/>
          </cell>
          <cell r="B385" t="str">
            <v/>
          </cell>
        </row>
        <row r="386">
          <cell r="A386" t="str">
            <v/>
          </cell>
          <cell r="B386" t="str">
            <v/>
          </cell>
        </row>
        <row r="387">
          <cell r="A387" t="str">
            <v/>
          </cell>
          <cell r="B387" t="str">
            <v/>
          </cell>
        </row>
        <row r="388">
          <cell r="A388" t="str">
            <v/>
          </cell>
          <cell r="B388" t="str">
            <v/>
          </cell>
        </row>
        <row r="389">
          <cell r="A389" t="str">
            <v/>
          </cell>
          <cell r="B389" t="str">
            <v/>
          </cell>
        </row>
        <row r="390">
          <cell r="A390" t="str">
            <v/>
          </cell>
          <cell r="B390" t="str">
            <v/>
          </cell>
        </row>
        <row r="391">
          <cell r="A391" t="str">
            <v/>
          </cell>
          <cell r="B391" t="str">
            <v/>
          </cell>
        </row>
        <row r="392">
          <cell r="A392" t="str">
            <v/>
          </cell>
          <cell r="B392" t="str">
            <v/>
          </cell>
        </row>
        <row r="393">
          <cell r="A393" t="str">
            <v/>
          </cell>
          <cell r="B393" t="str">
            <v/>
          </cell>
        </row>
        <row r="394">
          <cell r="A394" t="str">
            <v/>
          </cell>
          <cell r="B394" t="str">
            <v/>
          </cell>
        </row>
        <row r="395">
          <cell r="A395" t="str">
            <v/>
          </cell>
          <cell r="B395" t="str">
            <v/>
          </cell>
        </row>
        <row r="396">
          <cell r="A396" t="str">
            <v/>
          </cell>
          <cell r="B396" t="str">
            <v/>
          </cell>
        </row>
        <row r="397">
          <cell r="A397" t="str">
            <v/>
          </cell>
          <cell r="B397" t="str">
            <v/>
          </cell>
        </row>
        <row r="398">
          <cell r="A398" t="str">
            <v/>
          </cell>
          <cell r="B398" t="str">
            <v/>
          </cell>
        </row>
        <row r="399">
          <cell r="A399" t="str">
            <v/>
          </cell>
          <cell r="B399" t="str">
            <v/>
          </cell>
        </row>
        <row r="400">
          <cell r="A400" t="str">
            <v/>
          </cell>
          <cell r="B400" t="str">
            <v/>
          </cell>
        </row>
        <row r="401">
          <cell r="A401" t="str">
            <v/>
          </cell>
          <cell r="B401" t="str">
            <v/>
          </cell>
        </row>
        <row r="402">
          <cell r="A402" t="str">
            <v/>
          </cell>
          <cell r="B402" t="str">
            <v/>
          </cell>
        </row>
      </sheetData>
      <sheetData sheetId="13"/>
      <sheetData sheetId="14"/>
      <sheetData sheetId="15">
        <row r="1">
          <cell r="A1" t="str">
            <v>Name</v>
          </cell>
          <cell r="C1" t="str">
            <v>Decorated Name</v>
          </cell>
        </row>
        <row r="2">
          <cell r="A2" t="str">
            <v>Carl Dyson</v>
          </cell>
          <cell r="C2" t="str">
            <v>Carl Dyson (Aerologic)</v>
          </cell>
        </row>
        <row r="3">
          <cell r="A3" t="str">
            <v>Tommy Nolan</v>
          </cell>
          <cell r="C3" t="str">
            <v>Tommy Nolan (Ashby ICC)</v>
          </cell>
        </row>
        <row r="4">
          <cell r="A4" t="str">
            <v>Jayne Mumford (W)</v>
          </cell>
          <cell r="C4" t="str">
            <v>Jayne Mumford (W) (Cov Tri)</v>
          </cell>
        </row>
        <row r="5">
          <cell r="A5" t="str">
            <v>Simon Clarke</v>
          </cell>
          <cell r="C5" t="str">
            <v>Simon Clarke (Cov Tri)</v>
          </cell>
        </row>
        <row r="6">
          <cell r="A6" t="str">
            <v>Andy Thomas</v>
          </cell>
          <cell r="C6" t="str">
            <v>Andy Thomas (HCRC)</v>
          </cell>
        </row>
        <row r="7">
          <cell r="A7" t="str">
            <v>Colin Parkinson (SWRC)</v>
          </cell>
          <cell r="C7" t="str">
            <v>Colin Parkinson (SWRC) (HCRC)</v>
          </cell>
        </row>
        <row r="8">
          <cell r="A8" t="str">
            <v>Joe Murray (M I Racing)</v>
          </cell>
          <cell r="C8" t="str">
            <v>Joe Murray (M I Racing) (HCRC)</v>
          </cell>
        </row>
        <row r="9">
          <cell r="A9" t="str">
            <v>Mick Wills (M I Racing)</v>
          </cell>
          <cell r="C9" t="str">
            <v>Mick Wills (M I Racing) (HCRC)</v>
          </cell>
        </row>
        <row r="10">
          <cell r="A10" t="str">
            <v>Andy King</v>
          </cell>
          <cell r="C10" t="str">
            <v>Andy King (KCC)</v>
          </cell>
        </row>
        <row r="11">
          <cell r="A11" t="str">
            <v>Evan Collett Jnr</v>
          </cell>
          <cell r="C11" t="str">
            <v>Evan Collett Jnr (KCC)</v>
          </cell>
        </row>
        <row r="12">
          <cell r="A12" t="str">
            <v>Josh Brown</v>
          </cell>
          <cell r="C12" t="str">
            <v>Josh Brown (KCC)</v>
          </cell>
        </row>
        <row r="13">
          <cell r="A13" t="str">
            <v>Harriet Hughes</v>
          </cell>
          <cell r="C13" t="str">
            <v>Harriet Hughes (LFCC)</v>
          </cell>
        </row>
        <row r="14">
          <cell r="A14" t="str">
            <v>Mat Mabe</v>
          </cell>
          <cell r="C14" t="str">
            <v>Mat Mabe (LFCC)</v>
          </cell>
        </row>
        <row r="15">
          <cell r="A15" t="str">
            <v>Matt Finch</v>
          </cell>
          <cell r="C15" t="str">
            <v>Matt Finch (LFCC)</v>
          </cell>
        </row>
        <row r="16">
          <cell r="A16" t="str">
            <v>Morris Mabe</v>
          </cell>
          <cell r="C16" t="str">
            <v>Morris Mabe (LFCC)</v>
          </cell>
        </row>
        <row r="17">
          <cell r="A17" t="str">
            <v>Sam Nettel</v>
          </cell>
          <cell r="C17" t="str">
            <v>Sam Nettel (LFCC)</v>
          </cell>
        </row>
        <row r="18">
          <cell r="A18" t="str">
            <v>Talles Medevives</v>
          </cell>
          <cell r="C18" t="str">
            <v>Talles Medevives (LFCC)</v>
          </cell>
        </row>
        <row r="19">
          <cell r="A19" t="str">
            <v>Dean Tacey</v>
          </cell>
          <cell r="C19" t="str">
            <v>Dean Tacey (LRC)</v>
          </cell>
        </row>
        <row r="20">
          <cell r="A20" t="str">
            <v>Chris Booth</v>
          </cell>
          <cell r="C20" t="str">
            <v>Chris Booth (MOCC)</v>
          </cell>
        </row>
        <row r="21">
          <cell r="A21" t="str">
            <v>David Cooper</v>
          </cell>
          <cell r="C21" t="str">
            <v>David Cooper (MOCC)</v>
          </cell>
        </row>
        <row r="22">
          <cell r="A22" t="str">
            <v>Jamie Haines</v>
          </cell>
          <cell r="C22" t="str">
            <v>Jamie Haines (MOCC)</v>
          </cell>
        </row>
        <row r="23">
          <cell r="A23" t="str">
            <v>Laura Ayers (W)</v>
          </cell>
          <cell r="C23" t="str">
            <v>Laura Ayers (W) (MOCC)</v>
          </cell>
        </row>
        <row r="24">
          <cell r="A24" t="str">
            <v>Ed Tarelli</v>
          </cell>
          <cell r="C24" t="str">
            <v>Ed Tarelli (Race Hub)</v>
          </cell>
        </row>
        <row r="25">
          <cell r="A25" t="str">
            <v>Lewis Cooper</v>
          </cell>
          <cell r="C25" t="str">
            <v>Lewis Cooper (RAF Tri)</v>
          </cell>
        </row>
        <row r="26">
          <cell r="A26" t="str">
            <v>Alex Whitmore</v>
          </cell>
          <cell r="C26" t="str">
            <v>Alex Whitmore (Ratae)</v>
          </cell>
        </row>
        <row r="27">
          <cell r="A27" t="str">
            <v>Brian Lincoln</v>
          </cell>
          <cell r="C27" t="str">
            <v>Brian Lincoln (Ratae)</v>
          </cell>
        </row>
        <row r="28">
          <cell r="A28" t="str">
            <v>Chris Bonsor</v>
          </cell>
          <cell r="C28" t="str">
            <v>Chris Bonsor (Ratae)</v>
          </cell>
        </row>
        <row r="29">
          <cell r="A29" t="str">
            <v>Chris Spray</v>
          </cell>
          <cell r="C29" t="str">
            <v>Chris Spray (Ratae)</v>
          </cell>
        </row>
        <row r="30">
          <cell r="A30" t="str">
            <v>Debbie Cooper</v>
          </cell>
          <cell r="C30" t="str">
            <v>Debbie Cooper (Ratae)</v>
          </cell>
        </row>
        <row r="31">
          <cell r="A31" t="str">
            <v>Ed Watson</v>
          </cell>
          <cell r="C31" t="str">
            <v>Ed Watson (Ratae)</v>
          </cell>
        </row>
        <row r="32">
          <cell r="A32" t="str">
            <v>Jonathon Clarke</v>
          </cell>
          <cell r="C32" t="str">
            <v>Jonathon Clarke (Ratae)</v>
          </cell>
        </row>
        <row r="33">
          <cell r="A33" t="str">
            <v>Lucy Sturgess</v>
          </cell>
          <cell r="C33" t="str">
            <v>Lucy Sturgess (Ratae)</v>
          </cell>
        </row>
        <row r="34">
          <cell r="A34" t="str">
            <v>Mark Marmoy</v>
          </cell>
          <cell r="C34" t="str">
            <v>Mark Marmoy (Ratae)</v>
          </cell>
        </row>
        <row r="35">
          <cell r="A35" t="str">
            <v>Mark Newton</v>
          </cell>
          <cell r="C35" t="str">
            <v>Mark Newton (Ratae)</v>
          </cell>
        </row>
        <row r="36">
          <cell r="A36" t="str">
            <v>Marshall Briggs</v>
          </cell>
          <cell r="C36" t="str">
            <v>Marshall Briggs (Ratae)</v>
          </cell>
        </row>
        <row r="37">
          <cell r="A37" t="str">
            <v>Paul Eden</v>
          </cell>
          <cell r="C37" t="str">
            <v>Paul Eden (Ratae)</v>
          </cell>
        </row>
        <row r="38">
          <cell r="A38" t="str">
            <v>Sadie Murphy</v>
          </cell>
          <cell r="C38" t="str">
            <v>Sadie Murphy (Ratae)</v>
          </cell>
        </row>
        <row r="39">
          <cell r="A39" t="str">
            <v>Steve Pearce</v>
          </cell>
          <cell r="C39" t="str">
            <v>Steve Pearce (Ratae)</v>
          </cell>
        </row>
        <row r="40">
          <cell r="A40" t="str">
            <v>Adam Wells</v>
          </cell>
          <cell r="C40" t="str">
            <v>Adam Wells (RFW)</v>
          </cell>
        </row>
        <row r="41">
          <cell r="A41" t="str">
            <v>Alex Borrowman</v>
          </cell>
          <cell r="C41" t="str">
            <v>Alex Borrowman (RFW)</v>
          </cell>
        </row>
        <row r="42">
          <cell r="A42" t="str">
            <v>Anne Gilhespy</v>
          </cell>
          <cell r="C42" t="str">
            <v>Anne Gilhespy (RFW)</v>
          </cell>
        </row>
        <row r="43">
          <cell r="A43" t="str">
            <v>Chris Fowler</v>
          </cell>
          <cell r="C43" t="str">
            <v>Chris Fowler (RFW)</v>
          </cell>
        </row>
        <row r="44">
          <cell r="A44" t="str">
            <v>Dan Hempkin</v>
          </cell>
          <cell r="C44" t="str">
            <v>Dan Hempkin (RFW)</v>
          </cell>
        </row>
        <row r="45">
          <cell r="A45" t="str">
            <v>David Hill</v>
          </cell>
          <cell r="C45" t="str">
            <v>David Hill (RFW)</v>
          </cell>
        </row>
        <row r="46">
          <cell r="A46" t="str">
            <v>Ethan Mitchell-Clarke</v>
          </cell>
          <cell r="C46" t="str">
            <v>Ethan Mitchell-Clarke (RFW)</v>
          </cell>
        </row>
        <row r="47">
          <cell r="A47" t="str">
            <v>Giles Cooper</v>
          </cell>
          <cell r="C47" t="str">
            <v>Giles Cooper (RFW)</v>
          </cell>
        </row>
        <row r="48">
          <cell r="A48" t="str">
            <v>Gregg Payne</v>
          </cell>
          <cell r="C48" t="str">
            <v>Gregg Payne (RFW)</v>
          </cell>
        </row>
        <row r="49">
          <cell r="A49" t="str">
            <v>Lynne Scofield</v>
          </cell>
          <cell r="C49" t="str">
            <v>Lynne Scofield (RFW)</v>
          </cell>
        </row>
        <row r="50">
          <cell r="A50" t="str">
            <v>Michael Carter</v>
          </cell>
          <cell r="C50" t="str">
            <v>Michael Carter (RFW)</v>
          </cell>
        </row>
        <row r="51">
          <cell r="A51" t="str">
            <v>Paul Eden</v>
          </cell>
          <cell r="C51" t="str">
            <v>Paul Eden (RFW)</v>
          </cell>
        </row>
        <row r="52">
          <cell r="A52" t="str">
            <v>Paul Russell</v>
          </cell>
          <cell r="C52" t="str">
            <v>Paul Russell (RFW)</v>
          </cell>
        </row>
        <row r="53">
          <cell r="A53" t="str">
            <v>Paul Ryan</v>
          </cell>
          <cell r="C53" t="str">
            <v>Paul Ryan (RFW)</v>
          </cell>
        </row>
        <row r="54">
          <cell r="A54" t="str">
            <v>Phil Wilkinson</v>
          </cell>
          <cell r="C54" t="str">
            <v>Phil Wilkinson (RFW)</v>
          </cell>
        </row>
        <row r="55">
          <cell r="A55" t="str">
            <v>Adrian James</v>
          </cell>
          <cell r="C55" t="str">
            <v>Adrian James (Rugby RCC)</v>
          </cell>
        </row>
        <row r="56">
          <cell r="A56" t="str">
            <v>Carl Shaw</v>
          </cell>
          <cell r="C56" t="str">
            <v>Carl Shaw (Speedhub)</v>
          </cell>
        </row>
        <row r="57">
          <cell r="A57" t="str">
            <v>Oliver Searle</v>
          </cell>
          <cell r="C57" t="str">
            <v>Oliver Searle (St Ives CC)</v>
          </cell>
        </row>
        <row r="58">
          <cell r="A58" t="str">
            <v>Lesley Allden</v>
          </cell>
          <cell r="C58" t="str">
            <v>Lesley Allden (Ratae)</v>
          </cell>
        </row>
        <row r="59">
          <cell r="A59" t="str">
            <v>Pamela Moore</v>
          </cell>
          <cell r="C59" t="str">
            <v>Pamela Moore (Coalville Wheelers)</v>
          </cell>
        </row>
        <row r="60">
          <cell r="A60" t="str">
            <v>John Capel</v>
          </cell>
          <cell r="C60" t="str">
            <v>John Capel (Coalville Wheelers)</v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0D27-E4DD-4FE0-A863-67F5A454CA1B}">
  <sheetPr>
    <pageSetUpPr fitToPage="1"/>
  </sheetPr>
  <dimension ref="A1:O30"/>
  <sheetViews>
    <sheetView tabSelected="1" topLeftCell="B1" zoomScale="120" workbookViewId="0">
      <selection activeCell="I33" sqref="I33"/>
    </sheetView>
  </sheetViews>
  <sheetFormatPr defaultColWidth="9.1328125" defaultRowHeight="12.75" x14ac:dyDescent="0.35"/>
  <cols>
    <col min="1" max="1" width="13.33203125" style="14" bestFit="1" customWidth="1"/>
    <col min="2" max="2" width="14.19921875" style="14" customWidth="1"/>
    <col min="3" max="3" width="12.33203125" style="13" customWidth="1"/>
    <col min="4" max="4" width="31.53125" style="11" customWidth="1"/>
    <col min="5" max="5" width="7" style="11" customWidth="1"/>
    <col min="6" max="6" width="8" style="14" customWidth="1"/>
    <col min="7" max="7" width="19.6640625" style="11" bestFit="1" customWidth="1"/>
    <col min="8" max="8" width="9.46484375" style="11" bestFit="1" customWidth="1"/>
    <col min="9" max="13" width="9.1328125" style="11"/>
    <col min="14" max="14" width="13.1328125" style="11" bestFit="1" customWidth="1"/>
    <col min="15" max="16384" width="9.1328125" style="11"/>
  </cols>
  <sheetData>
    <row r="1" spans="1:15" s="4" customFormat="1" ht="39.4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6" t="s">
        <v>14</v>
      </c>
    </row>
    <row r="2" spans="1:15" x14ac:dyDescent="0.35">
      <c r="A2" s="7">
        <v>1</v>
      </c>
      <c r="B2" s="8">
        <v>46103</v>
      </c>
      <c r="C2" s="9">
        <v>0.41666666666666669</v>
      </c>
      <c r="D2" t="s">
        <v>15</v>
      </c>
      <c r="E2"/>
      <c r="F2">
        <v>9.5</v>
      </c>
      <c r="G2" t="s">
        <v>16</v>
      </c>
      <c r="H2" t="str">
        <f t="shared" ref="H2:H28" si="0">IF($B2="","",IF(ISNUMBER(SEARCH("Hillclimb",$D2)),"Y",""))</f>
        <v/>
      </c>
      <c r="I2" s="10" t="s">
        <v>17</v>
      </c>
      <c r="J2" s="10" t="str">
        <f t="shared" ref="J2:J27" si="1">IF($B2="","",IF(AND(NOT(_xlfn.ISFORMULA($F2)),$F2=10),"","Y"))</f>
        <v>Y</v>
      </c>
      <c r="K2" s="10" t="str">
        <f t="shared" ref="K2:K28" si="2">IF($B2="","",IF(AND(NOT(_xlfn.ISFORMULA($F2)),$F2=10),"Y",""))</f>
        <v/>
      </c>
      <c r="L2" s="10" t="str">
        <f t="shared" ref="L2:M28" si="3">IF($B2="","",IF(ISNUMBER(SEARCH("Hardride",$D2)),"Y",""))</f>
        <v>Y</v>
      </c>
      <c r="M2" s="10"/>
      <c r="N2" t="str">
        <f t="shared" ref="N2:N28" si="4">"Event_" &amp; TEXT(A2,"00")</f>
        <v>Event_01</v>
      </c>
      <c r="O2"/>
    </row>
    <row r="3" spans="1:15" x14ac:dyDescent="0.35">
      <c r="A3" s="7">
        <f t="shared" ref="A3:A28" si="5">A2+1</f>
        <v>2</v>
      </c>
      <c r="B3" s="8">
        <v>46110</v>
      </c>
      <c r="C3" s="9">
        <v>0.41666666666666669</v>
      </c>
      <c r="D3" t="s">
        <v>18</v>
      </c>
      <c r="E3"/>
      <c r="F3">
        <v>19.5</v>
      </c>
      <c r="G3" t="s">
        <v>16</v>
      </c>
      <c r="H3" t="str">
        <f t="shared" si="0"/>
        <v/>
      </c>
      <c r="I3" s="10" t="s">
        <v>17</v>
      </c>
      <c r="J3" s="10" t="str">
        <f t="shared" si="1"/>
        <v>Y</v>
      </c>
      <c r="K3" s="10" t="str">
        <f t="shared" si="2"/>
        <v/>
      </c>
      <c r="L3" s="10" t="str">
        <f t="shared" si="3"/>
        <v>Y</v>
      </c>
      <c r="M3" s="10"/>
      <c r="N3" t="str">
        <f t="shared" si="4"/>
        <v>Event_02</v>
      </c>
      <c r="O3"/>
    </row>
    <row r="4" spans="1:15" x14ac:dyDescent="0.35">
      <c r="A4" s="7">
        <f t="shared" si="5"/>
        <v>3</v>
      </c>
      <c r="B4" s="8">
        <v>46119</v>
      </c>
      <c r="C4" s="9">
        <v>0.77083333333333337</v>
      </c>
      <c r="D4" t="s">
        <v>19</v>
      </c>
      <c r="E4"/>
      <c r="F4">
        <v>10</v>
      </c>
      <c r="G4" t="s">
        <v>20</v>
      </c>
      <c r="H4" t="str">
        <f t="shared" si="0"/>
        <v/>
      </c>
      <c r="I4" s="10" t="s">
        <v>17</v>
      </c>
      <c r="J4" s="10" t="str">
        <f t="shared" si="1"/>
        <v/>
      </c>
      <c r="K4" s="10" t="str">
        <f t="shared" si="2"/>
        <v>Y</v>
      </c>
      <c r="L4" s="10" t="str">
        <f t="shared" si="3"/>
        <v/>
      </c>
      <c r="M4" s="10" t="str">
        <f t="shared" si="3"/>
        <v/>
      </c>
      <c r="N4" t="str">
        <f t="shared" si="4"/>
        <v>Event_03</v>
      </c>
      <c r="O4"/>
    </row>
    <row r="5" spans="1:15" x14ac:dyDescent="0.35">
      <c r="A5" s="7">
        <f t="shared" si="5"/>
        <v>4</v>
      </c>
      <c r="B5" s="8">
        <v>46126</v>
      </c>
      <c r="C5" s="9">
        <v>0.77083333333333337</v>
      </c>
      <c r="D5" t="s">
        <v>19</v>
      </c>
      <c r="E5"/>
      <c r="F5">
        <v>10</v>
      </c>
      <c r="G5" t="s">
        <v>20</v>
      </c>
      <c r="H5" t="str">
        <f t="shared" si="0"/>
        <v/>
      </c>
      <c r="I5" s="10" t="s">
        <v>17</v>
      </c>
      <c r="J5" s="10" t="str">
        <f t="shared" si="1"/>
        <v/>
      </c>
      <c r="K5" s="10" t="str">
        <f t="shared" si="2"/>
        <v>Y</v>
      </c>
      <c r="L5" s="10" t="str">
        <f t="shared" si="3"/>
        <v/>
      </c>
      <c r="M5" s="10" t="str">
        <f t="shared" si="3"/>
        <v/>
      </c>
      <c r="N5" t="str">
        <f t="shared" si="4"/>
        <v>Event_04</v>
      </c>
      <c r="O5"/>
    </row>
    <row r="6" spans="1:15" x14ac:dyDescent="0.35">
      <c r="A6" s="7">
        <f t="shared" si="5"/>
        <v>5</v>
      </c>
      <c r="B6" s="8">
        <v>46133</v>
      </c>
      <c r="C6" s="9">
        <v>0.77083333333333337</v>
      </c>
      <c r="D6" t="s">
        <v>21</v>
      </c>
      <c r="E6"/>
      <c r="F6">
        <v>10</v>
      </c>
      <c r="G6" t="s">
        <v>22</v>
      </c>
      <c r="H6" t="str">
        <f t="shared" si="0"/>
        <v/>
      </c>
      <c r="I6" s="10" t="s">
        <v>17</v>
      </c>
      <c r="J6" s="10" t="str">
        <f t="shared" si="1"/>
        <v/>
      </c>
      <c r="K6" s="10" t="str">
        <f t="shared" si="2"/>
        <v>Y</v>
      </c>
      <c r="L6" s="10" t="str">
        <f t="shared" si="3"/>
        <v/>
      </c>
      <c r="M6" s="10" t="str">
        <f t="shared" si="3"/>
        <v/>
      </c>
      <c r="N6" t="str">
        <f t="shared" si="4"/>
        <v>Event_05</v>
      </c>
      <c r="O6"/>
    </row>
    <row r="7" spans="1:15" x14ac:dyDescent="0.35">
      <c r="A7" s="7">
        <f t="shared" si="5"/>
        <v>6</v>
      </c>
      <c r="B7" s="8">
        <v>46145</v>
      </c>
      <c r="C7" s="9">
        <v>0.33333333333333331</v>
      </c>
      <c r="D7" t="s">
        <v>23</v>
      </c>
      <c r="E7"/>
      <c r="F7">
        <v>25</v>
      </c>
      <c r="G7" t="s">
        <v>24</v>
      </c>
      <c r="H7" t="str">
        <f t="shared" si="0"/>
        <v/>
      </c>
      <c r="I7" s="10" t="s">
        <v>17</v>
      </c>
      <c r="J7" s="10" t="str">
        <f t="shared" si="1"/>
        <v>Y</v>
      </c>
      <c r="K7" s="10" t="str">
        <f t="shared" si="2"/>
        <v/>
      </c>
      <c r="L7" s="10" t="str">
        <f t="shared" si="3"/>
        <v/>
      </c>
      <c r="M7" s="10" t="str">
        <f t="shared" si="3"/>
        <v/>
      </c>
      <c r="N7" t="str">
        <f t="shared" si="4"/>
        <v>Event_06</v>
      </c>
      <c r="O7"/>
    </row>
    <row r="8" spans="1:15" x14ac:dyDescent="0.35">
      <c r="A8" s="7">
        <f t="shared" si="5"/>
        <v>7</v>
      </c>
      <c r="B8" s="8">
        <v>46147</v>
      </c>
      <c r="C8" s="9">
        <v>0.77083333333333337</v>
      </c>
      <c r="D8" t="s">
        <v>25</v>
      </c>
      <c r="E8"/>
      <c r="F8" s="12">
        <f>5+5</f>
        <v>10</v>
      </c>
      <c r="G8" t="s">
        <v>26</v>
      </c>
      <c r="H8" t="str">
        <f t="shared" si="0"/>
        <v/>
      </c>
      <c r="I8" s="10" t="s">
        <v>17</v>
      </c>
      <c r="J8" s="10" t="str">
        <f t="shared" si="1"/>
        <v>Y</v>
      </c>
      <c r="K8" s="10" t="str">
        <f t="shared" si="2"/>
        <v/>
      </c>
      <c r="L8" s="10" t="str">
        <f t="shared" si="3"/>
        <v/>
      </c>
      <c r="M8" s="10" t="str">
        <f t="shared" si="3"/>
        <v/>
      </c>
      <c r="N8" t="str">
        <f t="shared" si="4"/>
        <v>Event_07</v>
      </c>
      <c r="O8"/>
    </row>
    <row r="9" spans="1:15" x14ac:dyDescent="0.35">
      <c r="A9" s="7">
        <f t="shared" si="5"/>
        <v>8</v>
      </c>
      <c r="B9" s="8">
        <v>46161</v>
      </c>
      <c r="C9" s="9">
        <v>0.79166666666666663</v>
      </c>
      <c r="D9" t="s">
        <v>19</v>
      </c>
      <c r="E9"/>
      <c r="F9">
        <v>10</v>
      </c>
      <c r="G9" t="s">
        <v>20</v>
      </c>
      <c r="H9" t="str">
        <f t="shared" si="0"/>
        <v/>
      </c>
      <c r="I9" s="10" t="s">
        <v>17</v>
      </c>
      <c r="J9" s="10" t="str">
        <f t="shared" si="1"/>
        <v/>
      </c>
      <c r="K9" s="10" t="str">
        <f t="shared" si="2"/>
        <v>Y</v>
      </c>
      <c r="L9" s="10" t="str">
        <f t="shared" si="3"/>
        <v/>
      </c>
      <c r="M9" s="10" t="str">
        <f t="shared" si="3"/>
        <v/>
      </c>
      <c r="N9" t="str">
        <f t="shared" si="4"/>
        <v>Event_08</v>
      </c>
      <c r="O9"/>
    </row>
    <row r="10" spans="1:15" x14ac:dyDescent="0.35">
      <c r="A10" s="7">
        <f t="shared" si="5"/>
        <v>9</v>
      </c>
      <c r="B10" s="8">
        <v>46166</v>
      </c>
      <c r="C10" s="9">
        <v>0.33333333333333331</v>
      </c>
      <c r="D10" t="s">
        <v>23</v>
      </c>
      <c r="E10"/>
      <c r="F10">
        <v>25</v>
      </c>
      <c r="G10" t="s">
        <v>24</v>
      </c>
      <c r="H10" t="str">
        <f t="shared" si="0"/>
        <v/>
      </c>
      <c r="I10" s="10" t="s">
        <v>17</v>
      </c>
      <c r="J10" s="10" t="str">
        <f t="shared" si="1"/>
        <v>Y</v>
      </c>
      <c r="K10" s="10" t="str">
        <f t="shared" si="2"/>
        <v/>
      </c>
      <c r="L10" s="10" t="str">
        <f t="shared" si="3"/>
        <v/>
      </c>
      <c r="M10" s="10" t="str">
        <f t="shared" si="3"/>
        <v/>
      </c>
      <c r="N10" t="str">
        <f t="shared" si="4"/>
        <v>Event_09</v>
      </c>
      <c r="O10"/>
    </row>
    <row r="11" spans="1:15" x14ac:dyDescent="0.35">
      <c r="A11" s="7">
        <f t="shared" si="5"/>
        <v>10</v>
      </c>
      <c r="B11" s="8">
        <v>46175</v>
      </c>
      <c r="C11" s="9">
        <v>0.8125</v>
      </c>
      <c r="D11" t="s">
        <v>27</v>
      </c>
      <c r="E11"/>
      <c r="F11">
        <v>10</v>
      </c>
      <c r="G11" t="s">
        <v>24</v>
      </c>
      <c r="H11" t="str">
        <f t="shared" si="0"/>
        <v/>
      </c>
      <c r="I11" s="10" t="s">
        <v>17</v>
      </c>
      <c r="J11" s="10" t="str">
        <f t="shared" si="1"/>
        <v/>
      </c>
      <c r="K11" s="10" t="str">
        <f t="shared" si="2"/>
        <v>Y</v>
      </c>
      <c r="L11" s="10" t="str">
        <f t="shared" si="3"/>
        <v/>
      </c>
      <c r="M11" s="10" t="str">
        <f t="shared" si="3"/>
        <v/>
      </c>
      <c r="N11" t="str">
        <f t="shared" si="4"/>
        <v>Event_10</v>
      </c>
      <c r="O11"/>
    </row>
    <row r="12" spans="1:15" x14ac:dyDescent="0.35">
      <c r="A12" s="7">
        <f t="shared" si="5"/>
        <v>11</v>
      </c>
      <c r="B12" s="8">
        <v>46189</v>
      </c>
      <c r="C12" s="9">
        <v>0.8125</v>
      </c>
      <c r="D12" t="s">
        <v>27</v>
      </c>
      <c r="E12"/>
      <c r="F12">
        <v>10</v>
      </c>
      <c r="G12" t="s">
        <v>24</v>
      </c>
      <c r="H12" t="str">
        <f t="shared" si="0"/>
        <v/>
      </c>
      <c r="I12" s="10" t="s">
        <v>17</v>
      </c>
      <c r="J12" s="10" t="str">
        <f t="shared" si="1"/>
        <v/>
      </c>
      <c r="K12" s="10" t="str">
        <f t="shared" si="2"/>
        <v>Y</v>
      </c>
      <c r="L12" s="10" t="str">
        <f t="shared" si="3"/>
        <v/>
      </c>
      <c r="M12" s="10" t="str">
        <f t="shared" si="3"/>
        <v/>
      </c>
      <c r="N12" t="str">
        <f t="shared" si="4"/>
        <v>Event_11</v>
      </c>
      <c r="O12"/>
    </row>
    <row r="13" spans="1:15" x14ac:dyDescent="0.35">
      <c r="A13" s="7">
        <f t="shared" si="5"/>
        <v>12</v>
      </c>
      <c r="B13" s="8">
        <v>46194</v>
      </c>
      <c r="C13" s="9">
        <v>0.79166666666666663</v>
      </c>
      <c r="D13" t="s">
        <v>28</v>
      </c>
      <c r="E13"/>
      <c r="F13">
        <v>25</v>
      </c>
      <c r="G13" t="s">
        <v>24</v>
      </c>
      <c r="H13" t="str">
        <f t="shared" si="0"/>
        <v/>
      </c>
      <c r="I13" s="10" t="s">
        <v>17</v>
      </c>
      <c r="J13" s="10" t="str">
        <f t="shared" si="1"/>
        <v>Y</v>
      </c>
      <c r="K13" s="10" t="str">
        <f t="shared" si="2"/>
        <v/>
      </c>
      <c r="L13" s="10" t="str">
        <f t="shared" si="3"/>
        <v/>
      </c>
      <c r="M13" s="10" t="str">
        <f t="shared" si="3"/>
        <v/>
      </c>
      <c r="N13" t="str">
        <f t="shared" si="4"/>
        <v>Event_12</v>
      </c>
      <c r="O13"/>
    </row>
    <row r="14" spans="1:15" x14ac:dyDescent="0.35">
      <c r="A14" s="7">
        <f t="shared" si="5"/>
        <v>13</v>
      </c>
      <c r="B14" s="8">
        <v>46197</v>
      </c>
      <c r="C14" s="9">
        <v>0.79166666666666663</v>
      </c>
      <c r="D14" t="s">
        <v>29</v>
      </c>
      <c r="E14" t="s">
        <v>30</v>
      </c>
      <c r="F14">
        <v>9</v>
      </c>
      <c r="G14" t="s">
        <v>31</v>
      </c>
      <c r="H14" t="str">
        <f t="shared" si="0"/>
        <v/>
      </c>
      <c r="I14" s="10" t="s">
        <v>17</v>
      </c>
      <c r="J14" s="10"/>
      <c r="K14" s="10" t="s">
        <v>17</v>
      </c>
      <c r="L14" s="10" t="str">
        <f t="shared" si="3"/>
        <v/>
      </c>
      <c r="M14" s="10" t="s">
        <v>17</v>
      </c>
      <c r="N14" t="str">
        <f t="shared" si="4"/>
        <v>Event_13</v>
      </c>
      <c r="O14"/>
    </row>
    <row r="15" spans="1:15" x14ac:dyDescent="0.35">
      <c r="A15" s="7">
        <f t="shared" si="5"/>
        <v>14</v>
      </c>
      <c r="B15" s="8">
        <v>46203</v>
      </c>
      <c r="C15" s="9">
        <v>0.79166666666666663</v>
      </c>
      <c r="D15" t="s">
        <v>32</v>
      </c>
      <c r="E15" t="s">
        <v>33</v>
      </c>
      <c r="F15">
        <v>10</v>
      </c>
      <c r="G15" t="s">
        <v>34</v>
      </c>
      <c r="H15" t="str">
        <f t="shared" si="0"/>
        <v/>
      </c>
      <c r="I15" s="10" t="s">
        <v>17</v>
      </c>
      <c r="J15" s="10" t="str">
        <f t="shared" si="1"/>
        <v/>
      </c>
      <c r="K15" s="10" t="str">
        <f t="shared" si="2"/>
        <v>Y</v>
      </c>
      <c r="L15" s="10" t="str">
        <f t="shared" si="3"/>
        <v/>
      </c>
      <c r="M15" s="10" t="s">
        <v>17</v>
      </c>
      <c r="N15" t="str">
        <f t="shared" si="4"/>
        <v>Event_14</v>
      </c>
      <c r="O15"/>
    </row>
    <row r="16" spans="1:15" x14ac:dyDescent="0.35">
      <c r="A16" s="7">
        <f t="shared" si="5"/>
        <v>15</v>
      </c>
      <c r="B16" s="8">
        <v>46205</v>
      </c>
      <c r="C16" s="9">
        <v>0.79166666666666663</v>
      </c>
      <c r="D16" t="s">
        <v>35</v>
      </c>
      <c r="E16" t="s">
        <v>36</v>
      </c>
      <c r="F16">
        <v>10</v>
      </c>
      <c r="G16" t="s">
        <v>37</v>
      </c>
      <c r="H16" t="str">
        <f t="shared" si="0"/>
        <v/>
      </c>
      <c r="I16" s="10" t="s">
        <v>17</v>
      </c>
      <c r="J16" s="10" t="str">
        <f t="shared" si="1"/>
        <v/>
      </c>
      <c r="K16" s="10" t="str">
        <f t="shared" si="2"/>
        <v>Y</v>
      </c>
      <c r="L16" s="10" t="str">
        <f t="shared" si="3"/>
        <v/>
      </c>
      <c r="M16" s="10" t="s">
        <v>17</v>
      </c>
      <c r="N16" t="str">
        <f t="shared" si="4"/>
        <v>Event_15</v>
      </c>
      <c r="O16"/>
    </row>
    <row r="17" spans="1:15" x14ac:dyDescent="0.35">
      <c r="A17" s="7">
        <f t="shared" si="5"/>
        <v>16</v>
      </c>
      <c r="B17" s="8">
        <v>46211</v>
      </c>
      <c r="C17" s="9">
        <v>0.79166666666666663</v>
      </c>
      <c r="D17" t="s">
        <v>38</v>
      </c>
      <c r="E17" t="s">
        <v>30</v>
      </c>
      <c r="F17">
        <v>10</v>
      </c>
      <c r="G17" t="s">
        <v>39</v>
      </c>
      <c r="H17" t="str">
        <f t="shared" si="0"/>
        <v/>
      </c>
      <c r="I17" s="10" t="s">
        <v>17</v>
      </c>
      <c r="J17" s="10" t="str">
        <f t="shared" si="1"/>
        <v/>
      </c>
      <c r="K17" s="10" t="str">
        <f t="shared" si="2"/>
        <v>Y</v>
      </c>
      <c r="L17" s="10" t="str">
        <f t="shared" si="3"/>
        <v/>
      </c>
      <c r="M17" s="10" t="s">
        <v>17</v>
      </c>
      <c r="N17" t="str">
        <f t="shared" si="4"/>
        <v>Event_16</v>
      </c>
      <c r="O17"/>
    </row>
    <row r="18" spans="1:15" x14ac:dyDescent="0.35">
      <c r="A18" s="7">
        <f t="shared" si="5"/>
        <v>17</v>
      </c>
      <c r="B18" s="8">
        <v>46214</v>
      </c>
      <c r="C18" s="9">
        <v>0.45833333333333331</v>
      </c>
      <c r="D18" t="s">
        <v>40</v>
      </c>
      <c r="E18" t="s">
        <v>41</v>
      </c>
      <c r="F18">
        <v>10</v>
      </c>
      <c r="G18" t="s">
        <v>42</v>
      </c>
      <c r="H18" t="str">
        <f t="shared" si="0"/>
        <v/>
      </c>
      <c r="I18" s="10" t="s">
        <v>17</v>
      </c>
      <c r="J18" s="10" t="str">
        <f t="shared" si="1"/>
        <v/>
      </c>
      <c r="K18" s="10" t="str">
        <f t="shared" si="2"/>
        <v>Y</v>
      </c>
      <c r="L18" s="10" t="str">
        <f t="shared" si="3"/>
        <v/>
      </c>
      <c r="M18" s="10" t="s">
        <v>17</v>
      </c>
      <c r="N18" t="str">
        <f t="shared" si="4"/>
        <v>Event_17</v>
      </c>
      <c r="O18"/>
    </row>
    <row r="19" spans="1:15" x14ac:dyDescent="0.35">
      <c r="A19" s="7">
        <f t="shared" si="5"/>
        <v>18</v>
      </c>
      <c r="B19" s="8">
        <v>46217</v>
      </c>
      <c r="C19" s="9">
        <v>0.79166666666666663</v>
      </c>
      <c r="D19" t="s">
        <v>43</v>
      </c>
      <c r="E19" t="s">
        <v>44</v>
      </c>
      <c r="F19">
        <v>10</v>
      </c>
      <c r="G19" t="s">
        <v>45</v>
      </c>
      <c r="H19" t="str">
        <f>IF($B19="","",IF(ISNUMBER(SEARCH("Hillclimb",#REF!)),"Y",""))</f>
        <v/>
      </c>
      <c r="I19" s="10" t="s">
        <v>17</v>
      </c>
      <c r="J19" s="10" t="str">
        <f t="shared" si="1"/>
        <v/>
      </c>
      <c r="K19" s="10" t="str">
        <f t="shared" si="2"/>
        <v>Y</v>
      </c>
      <c r="L19" s="10" t="str">
        <f t="shared" si="3"/>
        <v/>
      </c>
      <c r="M19" s="10" t="s">
        <v>17</v>
      </c>
      <c r="N19" t="str">
        <f t="shared" si="4"/>
        <v>Event_18</v>
      </c>
      <c r="O19"/>
    </row>
    <row r="20" spans="1:15" x14ac:dyDescent="0.35">
      <c r="A20" s="7">
        <f t="shared" si="5"/>
        <v>19</v>
      </c>
      <c r="B20" s="8">
        <v>46224</v>
      </c>
      <c r="C20" s="9">
        <v>0.79166666666666663</v>
      </c>
      <c r="D20" t="s">
        <v>46</v>
      </c>
      <c r="E20" t="s">
        <v>47</v>
      </c>
      <c r="F20">
        <v>10</v>
      </c>
      <c r="G20" t="s">
        <v>48</v>
      </c>
      <c r="H20" t="str">
        <f t="shared" si="0"/>
        <v/>
      </c>
      <c r="I20" s="10" t="s">
        <v>17</v>
      </c>
      <c r="J20" s="10" t="str">
        <f t="shared" si="1"/>
        <v/>
      </c>
      <c r="K20" s="10" t="str">
        <f t="shared" si="2"/>
        <v>Y</v>
      </c>
      <c r="L20" s="10" t="str">
        <f t="shared" si="3"/>
        <v/>
      </c>
      <c r="M20" s="10" t="s">
        <v>17</v>
      </c>
      <c r="N20" t="str">
        <f t="shared" si="4"/>
        <v>Event_19</v>
      </c>
      <c r="O20"/>
    </row>
    <row r="21" spans="1:15" x14ac:dyDescent="0.35">
      <c r="A21" s="7">
        <f t="shared" si="5"/>
        <v>20</v>
      </c>
      <c r="B21" s="8">
        <v>46228</v>
      </c>
      <c r="C21" s="9">
        <v>0.45833333333333331</v>
      </c>
      <c r="D21" t="s">
        <v>40</v>
      </c>
      <c r="E21" t="s">
        <v>41</v>
      </c>
      <c r="F21">
        <v>10</v>
      </c>
      <c r="G21" t="s">
        <v>42</v>
      </c>
      <c r="H21" t="str">
        <f t="shared" si="0"/>
        <v/>
      </c>
      <c r="I21" s="10" t="s">
        <v>17</v>
      </c>
      <c r="J21" s="10" t="str">
        <f t="shared" si="1"/>
        <v/>
      </c>
      <c r="K21" s="10" t="str">
        <f t="shared" si="2"/>
        <v>Y</v>
      </c>
      <c r="L21" s="10" t="str">
        <f t="shared" si="3"/>
        <v/>
      </c>
      <c r="M21" s="10" t="s">
        <v>17</v>
      </c>
      <c r="N21" t="str">
        <f t="shared" si="4"/>
        <v>Event_20</v>
      </c>
      <c r="O21"/>
    </row>
    <row r="22" spans="1:15" x14ac:dyDescent="0.35">
      <c r="A22" s="7">
        <f t="shared" si="5"/>
        <v>21</v>
      </c>
      <c r="B22" s="8">
        <v>46231</v>
      </c>
      <c r="C22" s="9">
        <v>0.79166666666666663</v>
      </c>
      <c r="D22" t="s">
        <v>43</v>
      </c>
      <c r="E22" t="s">
        <v>44</v>
      </c>
      <c r="F22">
        <v>10</v>
      </c>
      <c r="G22" t="s">
        <v>45</v>
      </c>
      <c r="H22" t="str">
        <f t="shared" si="0"/>
        <v/>
      </c>
      <c r="I22" s="10" t="s">
        <v>17</v>
      </c>
      <c r="J22" s="10" t="str">
        <f t="shared" si="1"/>
        <v/>
      </c>
      <c r="K22" s="10" t="str">
        <f t="shared" si="2"/>
        <v>Y</v>
      </c>
      <c r="L22" s="10" t="str">
        <f t="shared" si="3"/>
        <v/>
      </c>
      <c r="M22" s="10" t="s">
        <v>17</v>
      </c>
      <c r="N22" t="str">
        <f t="shared" si="4"/>
        <v>Event_21</v>
      </c>
      <c r="O22"/>
    </row>
    <row r="23" spans="1:15" x14ac:dyDescent="0.35">
      <c r="A23" s="7">
        <f t="shared" si="5"/>
        <v>22</v>
      </c>
      <c r="B23" s="8">
        <v>46238</v>
      </c>
      <c r="C23" s="9">
        <v>0.79166666666666663</v>
      </c>
      <c r="D23" t="s">
        <v>32</v>
      </c>
      <c r="E23" t="s">
        <v>33</v>
      </c>
      <c r="F23">
        <v>10</v>
      </c>
      <c r="G23" t="s">
        <v>34</v>
      </c>
      <c r="H23" t="str">
        <f t="shared" si="0"/>
        <v/>
      </c>
      <c r="I23" s="10" t="s">
        <v>17</v>
      </c>
      <c r="J23" s="10" t="str">
        <f t="shared" si="1"/>
        <v/>
      </c>
      <c r="K23" s="10" t="str">
        <f t="shared" si="2"/>
        <v>Y</v>
      </c>
      <c r="L23" s="10" t="str">
        <f t="shared" si="3"/>
        <v/>
      </c>
      <c r="M23" s="10" t="s">
        <v>17</v>
      </c>
      <c r="N23" t="str">
        <f t="shared" si="4"/>
        <v>Event_22</v>
      </c>
      <c r="O23"/>
    </row>
    <row r="24" spans="1:15" x14ac:dyDescent="0.35">
      <c r="A24" s="7">
        <f t="shared" si="5"/>
        <v>23</v>
      </c>
      <c r="B24" s="8">
        <v>46247</v>
      </c>
      <c r="C24" s="9">
        <v>0.79166666666666663</v>
      </c>
      <c r="D24" t="s">
        <v>35</v>
      </c>
      <c r="E24" t="s">
        <v>36</v>
      </c>
      <c r="F24">
        <v>9.4</v>
      </c>
      <c r="G24" t="s">
        <v>37</v>
      </c>
      <c r="H24" t="str">
        <f t="shared" si="0"/>
        <v/>
      </c>
      <c r="I24" s="10" t="s">
        <v>17</v>
      </c>
      <c r="J24" s="10"/>
      <c r="K24" s="10" t="s">
        <v>17</v>
      </c>
      <c r="L24" s="10" t="str">
        <f t="shared" si="3"/>
        <v/>
      </c>
      <c r="M24" s="10" t="s">
        <v>17</v>
      </c>
      <c r="N24" t="str">
        <f t="shared" si="4"/>
        <v>Event_23</v>
      </c>
      <c r="O24"/>
    </row>
    <row r="25" spans="1:15" x14ac:dyDescent="0.35">
      <c r="A25" s="7">
        <f t="shared" si="5"/>
        <v>24</v>
      </c>
      <c r="B25" s="8">
        <v>46252</v>
      </c>
      <c r="C25" s="9">
        <v>0.79166666666666663</v>
      </c>
      <c r="D25" t="s">
        <v>46</v>
      </c>
      <c r="E25" t="s">
        <v>47</v>
      </c>
      <c r="F25">
        <v>10</v>
      </c>
      <c r="G25" t="s">
        <v>48</v>
      </c>
      <c r="H25" t="str">
        <f t="shared" si="0"/>
        <v/>
      </c>
      <c r="I25" s="10" t="s">
        <v>17</v>
      </c>
      <c r="J25" s="10" t="str">
        <f t="shared" si="1"/>
        <v/>
      </c>
      <c r="K25" s="10" t="str">
        <f t="shared" si="2"/>
        <v>Y</v>
      </c>
      <c r="L25" s="10" t="str">
        <f t="shared" si="3"/>
        <v/>
      </c>
      <c r="M25" s="10" t="s">
        <v>17</v>
      </c>
      <c r="N25" t="str">
        <f t="shared" si="4"/>
        <v>Event_24</v>
      </c>
      <c r="O25"/>
    </row>
    <row r="26" spans="1:15" x14ac:dyDescent="0.35">
      <c r="A26" s="7">
        <f t="shared" si="5"/>
        <v>25</v>
      </c>
      <c r="B26" s="8">
        <v>46271</v>
      </c>
      <c r="C26" s="9">
        <v>0.79166666666666663</v>
      </c>
      <c r="D26" t="s">
        <v>49</v>
      </c>
      <c r="E26"/>
      <c r="F26">
        <v>25</v>
      </c>
      <c r="G26" t="s">
        <v>50</v>
      </c>
      <c r="H26" t="str">
        <f t="shared" si="0"/>
        <v/>
      </c>
      <c r="I26" s="10" t="s">
        <v>17</v>
      </c>
      <c r="J26" s="10" t="str">
        <f t="shared" si="1"/>
        <v>Y</v>
      </c>
      <c r="K26" s="10" t="str">
        <f t="shared" si="2"/>
        <v/>
      </c>
      <c r="L26" s="10" t="str">
        <f t="shared" si="3"/>
        <v>Y</v>
      </c>
      <c r="M26" s="10"/>
      <c r="N26" t="str">
        <f t="shared" si="4"/>
        <v>Event_25</v>
      </c>
      <c r="O26"/>
    </row>
    <row r="27" spans="1:15" x14ac:dyDescent="0.35">
      <c r="A27" s="7">
        <f t="shared" si="5"/>
        <v>26</v>
      </c>
      <c r="B27" s="8">
        <v>46292</v>
      </c>
      <c r="C27" s="13">
        <v>0.375</v>
      </c>
      <c r="D27" s="11" t="s">
        <v>51</v>
      </c>
      <c r="F27" s="14">
        <v>0.88</v>
      </c>
      <c r="G27" s="11" t="s">
        <v>52</v>
      </c>
      <c r="H27" t="str">
        <f t="shared" si="0"/>
        <v>Y</v>
      </c>
      <c r="I27" s="10" t="s">
        <v>17</v>
      </c>
      <c r="J27" s="10" t="str">
        <f t="shared" si="1"/>
        <v>Y</v>
      </c>
      <c r="K27" s="10" t="str">
        <f t="shared" si="2"/>
        <v/>
      </c>
      <c r="L27" s="10" t="str">
        <f t="shared" si="3"/>
        <v/>
      </c>
      <c r="M27" s="10" t="str">
        <f t="shared" si="3"/>
        <v/>
      </c>
      <c r="N27" t="str">
        <f t="shared" si="4"/>
        <v>Event_26</v>
      </c>
      <c r="O27"/>
    </row>
    <row r="28" spans="1:15" x14ac:dyDescent="0.35">
      <c r="A28" s="7">
        <f t="shared" si="5"/>
        <v>27</v>
      </c>
      <c r="B28" s="8">
        <v>46382</v>
      </c>
      <c r="C28" s="13">
        <v>0.41666666666666669</v>
      </c>
      <c r="D28" s="11" t="s">
        <v>53</v>
      </c>
      <c r="F28">
        <v>10</v>
      </c>
      <c r="G28" s="11" t="s">
        <v>20</v>
      </c>
      <c r="H28" t="str">
        <f t="shared" si="0"/>
        <v/>
      </c>
      <c r="I28" s="10"/>
      <c r="J28" s="10" t="str">
        <f>IF($B28="","",IF($F28=10,"","Y"))</f>
        <v/>
      </c>
      <c r="K28" s="10" t="str">
        <f t="shared" si="2"/>
        <v>Y</v>
      </c>
      <c r="L28" s="10" t="str">
        <f t="shared" si="3"/>
        <v/>
      </c>
      <c r="M28" s="10" t="str">
        <f t="shared" si="3"/>
        <v/>
      </c>
      <c r="N28" t="str">
        <f t="shared" si="4"/>
        <v>Event_27</v>
      </c>
    </row>
    <row r="29" spans="1:15" x14ac:dyDescent="0.35">
      <c r="A29" s="7"/>
      <c r="B29" s="8"/>
      <c r="F29"/>
      <c r="H29"/>
      <c r="I29" s="10"/>
      <c r="J29" s="10"/>
      <c r="K29" s="10"/>
      <c r="L29" s="10"/>
      <c r="M29" s="10"/>
      <c r="N29"/>
    </row>
    <row r="30" spans="1:15" x14ac:dyDescent="0.35">
      <c r="A30" s="7"/>
    </row>
  </sheetData>
  <sheetProtection formatCells="0" formatColumns="0" formatRows="0" insertColumns="0" insertRows="0" insertHyperlinks="0" deleteColumns="0" deleteRows="0" pivotTables="0"/>
  <conditionalFormatting sqref="B2:B29">
    <cfRule type="expression" dxfId="0" priority="1">
      <formula>NOT(YEAR(B2)=CompetitionYear)</formula>
    </cfRule>
  </conditionalFormatting>
  <printOptions horizontalCentered="1" gridLines="1"/>
  <pageMargins left="0.74803149606299213" right="0.74803149606299213" top="0.98425196850393704" bottom="0.98425196850393704" header="0.51181102362204722" footer="0.51181102362204722"/>
  <pageSetup paperSize="9" scale="75" orientation="landscape"/>
  <headerFooter>
    <oddHeader>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Calendar</vt:lpstr>
      <vt:lpstr>Calendar</vt:lpstr>
      <vt:lpstr>CalendarEventNumbers</vt:lpstr>
      <vt:lpstr>NonTenEvents</vt:lpstr>
      <vt:lpstr>TenMileEvents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Ives</dc:creator>
  <cp:lastModifiedBy>Mike Ives</cp:lastModifiedBy>
  <dcterms:created xsi:type="dcterms:W3CDTF">2026-05-18T21:09:19Z</dcterms:created>
  <dcterms:modified xsi:type="dcterms:W3CDTF">2026-05-18T21:10:01Z</dcterms:modified>
</cp:coreProperties>
</file>