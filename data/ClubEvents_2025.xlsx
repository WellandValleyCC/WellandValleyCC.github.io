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8F2189B-0557-457F-896A-9BE45391476D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5" l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/>
  <c r="B103" i="7" a="1"/>
  <c r="B103" i="7"/>
  <c r="B103" i="8" a="1"/>
  <c r="B103" i="8"/>
  <c r="B103" i="9" a="1"/>
  <c r="B103" i="9"/>
  <c r="B103" i="10" a="1"/>
  <c r="B103" i="10"/>
  <c r="B103" i="11" a="1"/>
  <c r="B103" i="11"/>
  <c r="B103" i="12" a="1"/>
  <c r="B103" i="12"/>
  <c r="B103" i="13" a="1"/>
  <c r="B103" i="13"/>
  <c r="B103" i="14" a="1"/>
  <c r="B103" i="14"/>
  <c r="B103" i="15" a="1"/>
  <c r="B103" i="15"/>
  <c r="B103" i="16" a="1"/>
  <c r="B103" i="16"/>
  <c r="B103" i="17" a="1"/>
  <c r="B103" i="17"/>
  <c r="B103" i="18" a="1"/>
  <c r="B103" i="18"/>
  <c r="B103" i="19" a="1"/>
  <c r="B103" i="19"/>
  <c r="B103" i="20" a="1"/>
  <c r="B103" i="20"/>
  <c r="B103" i="21" a="1"/>
  <c r="B103" i="21"/>
  <c r="B103" i="22" a="1"/>
  <c r="B103" i="22"/>
  <c r="B103" i="23" a="1"/>
  <c r="B103" i="23"/>
  <c r="B103" i="24" a="1"/>
  <c r="B103" i="24"/>
  <c r="B103" i="25" a="1"/>
  <c r="B103" i="25"/>
  <c r="B103" i="26" a="1"/>
  <c r="B103" i="26"/>
  <c r="B103" i="27" a="1"/>
  <c r="B103" i="27"/>
  <c r="B103" i="28" a="1"/>
  <c r="B103" i="28"/>
  <c r="B103" i="29" a="1"/>
  <c r="B103" i="29"/>
  <c r="B103" i="30" a="1"/>
  <c r="B103" i="30"/>
  <c r="B103" i="5" a="1"/>
  <c r="B1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B104" i="6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/>
  <c r="I6" i="6"/>
  <c r="G6" i="6"/>
  <c r="I7" i="6"/>
  <c r="G7" i="6"/>
  <c r="I8" i="6"/>
  <c r="G8" i="6"/>
  <c r="I9" i="6"/>
  <c r="G9" i="6"/>
  <c r="I10" i="6"/>
  <c r="G10" i="6"/>
  <c r="I11" i="6"/>
  <c r="G11" i="6"/>
  <c r="I12" i="6"/>
  <c r="G12" i="6"/>
  <c r="I13" i="6"/>
  <c r="G13" i="6"/>
  <c r="I14" i="6"/>
  <c r="G14" i="6"/>
  <c r="I17" i="6"/>
  <c r="G17" i="6"/>
  <c r="I18" i="6"/>
  <c r="G18" i="6"/>
  <c r="I19" i="6"/>
  <c r="G19" i="6"/>
  <c r="I20" i="6"/>
  <c r="G20" i="6"/>
  <c r="I21" i="6"/>
  <c r="G21" i="6"/>
  <c r="I22" i="6"/>
  <c r="G22" i="6"/>
  <c r="I23" i="6"/>
  <c r="G23" i="6"/>
  <c r="I25" i="6"/>
  <c r="G25" i="6"/>
  <c r="I26" i="6"/>
  <c r="G26" i="6"/>
  <c r="I27" i="6"/>
  <c r="G27" i="6"/>
  <c r="I28" i="6"/>
  <c r="G28" i="6"/>
  <c r="I29" i="6"/>
  <c r="G29" i="6"/>
  <c r="I30" i="6"/>
  <c r="G30" i="6"/>
  <c r="I31" i="6"/>
  <c r="G31" i="6"/>
  <c r="I32" i="6"/>
  <c r="G32" i="6"/>
  <c r="I33" i="6"/>
  <c r="G33" i="6"/>
  <c r="I34" i="6"/>
  <c r="G34" i="6"/>
  <c r="I35" i="6"/>
  <c r="G35" i="6"/>
  <c r="I36" i="6"/>
  <c r="G36" i="6"/>
  <c r="I37" i="6"/>
  <c r="G37" i="6"/>
  <c r="I38" i="6"/>
  <c r="G38" i="6"/>
  <c r="I39" i="6"/>
  <c r="G39" i="6"/>
  <c r="I41" i="6"/>
  <c r="G41" i="6"/>
  <c r="I42" i="6"/>
  <c r="G42" i="6"/>
  <c r="I43" i="6"/>
  <c r="G43" i="6"/>
  <c r="I44" i="6"/>
  <c r="G44" i="6"/>
  <c r="I45" i="6"/>
  <c r="G45" i="6"/>
  <c r="I47" i="6"/>
  <c r="G47" i="6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/>
  <c r="I6" i="8"/>
  <c r="G6" i="8"/>
  <c r="I7" i="8"/>
  <c r="G7" i="8"/>
  <c r="I8" i="8"/>
  <c r="G8" i="8"/>
  <c r="I9" i="8"/>
  <c r="G9" i="8"/>
  <c r="I10" i="8"/>
  <c r="G10" i="8"/>
  <c r="I11" i="8"/>
  <c r="G11" i="8"/>
  <c r="I12" i="8"/>
  <c r="G12" i="8"/>
  <c r="I13" i="8"/>
  <c r="G13" i="8"/>
  <c r="I14" i="8"/>
  <c r="G14" i="8"/>
  <c r="I15" i="8"/>
  <c r="G15" i="8"/>
  <c r="I16" i="8"/>
  <c r="G16" i="8"/>
  <c r="I17" i="8"/>
  <c r="G17" i="8"/>
  <c r="I18" i="8"/>
  <c r="G18" i="8"/>
  <c r="I19" i="8"/>
  <c r="G19" i="8"/>
  <c r="I20" i="8"/>
  <c r="G20" i="8"/>
  <c r="I22" i="8"/>
  <c r="G22" i="8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20" i="9"/>
  <c r="G20" i="9"/>
  <c r="I22" i="9"/>
  <c r="G22" i="9"/>
  <c r="I23" i="9"/>
  <c r="G23" i="9"/>
  <c r="I25" i="9"/>
  <c r="G25" i="9"/>
  <c r="I26" i="9"/>
  <c r="G26" i="9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/>
  <c r="I7" i="12"/>
  <c r="G7" i="12"/>
  <c r="I8" i="12"/>
  <c r="G8" i="12"/>
  <c r="I9" i="12"/>
  <c r="G9" i="12"/>
  <c r="I10" i="12"/>
  <c r="G10" i="12"/>
  <c r="I12" i="12"/>
  <c r="G12" i="12"/>
  <c r="I13" i="12"/>
  <c r="G13" i="12"/>
  <c r="I14" i="12"/>
  <c r="G14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4" i="13"/>
  <c r="G14" i="13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/>
  <c r="I7" i="14"/>
  <c r="G7" i="14"/>
  <c r="I8" i="14"/>
  <c r="G8" i="14"/>
  <c r="I10" i="14"/>
  <c r="G10" i="14"/>
  <c r="I11" i="14"/>
  <c r="G11" i="14"/>
  <c r="I13" i="14"/>
  <c r="G13" i="14"/>
  <c r="I14" i="14"/>
  <c r="G14" i="14"/>
  <c r="I15" i="14"/>
  <c r="G15" i="14"/>
  <c r="I16" i="14"/>
  <c r="G16" i="14"/>
  <c r="I17" i="14"/>
  <c r="G17" i="14"/>
  <c r="I18" i="14"/>
  <c r="G18" i="14"/>
  <c r="I19" i="14"/>
  <c r="G19" i="14"/>
  <c r="I21" i="14"/>
  <c r="G21" i="14"/>
  <c r="I22" i="14"/>
  <c r="G22" i="14"/>
  <c r="I23" i="14"/>
  <c r="G23" i="14"/>
  <c r="I24" i="14"/>
  <c r="G24" i="14"/>
  <c r="I25" i="14"/>
  <c r="G25" i="14"/>
  <c r="I27" i="14"/>
  <c r="G27" i="14"/>
  <c r="I28" i="14"/>
  <c r="G28" i="14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/>
  <c r="I6" i="15"/>
  <c r="G6" i="15"/>
  <c r="I8" i="15"/>
  <c r="G8" i="15"/>
  <c r="I10" i="15"/>
  <c r="G10" i="15"/>
  <c r="I11" i="15"/>
  <c r="G11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/>
  <c r="I7" i="16"/>
  <c r="G7" i="16"/>
  <c r="I8" i="16"/>
  <c r="G8" i="16"/>
  <c r="I9" i="16"/>
  <c r="G9" i="16"/>
  <c r="I10" i="16"/>
  <c r="G10" i="16"/>
  <c r="I11" i="16"/>
  <c r="G11" i="16"/>
  <c r="I12" i="16"/>
  <c r="G12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/>
  <c r="I6" i="17"/>
  <c r="G6" i="17"/>
  <c r="I7" i="17"/>
  <c r="G7" i="17"/>
  <c r="I8" i="17"/>
  <c r="G8" i="17"/>
  <c r="I10" i="17"/>
  <c r="G10" i="17"/>
  <c r="I11" i="17"/>
  <c r="G11" i="17"/>
  <c r="I12" i="17"/>
  <c r="G12" i="17"/>
  <c r="I13" i="17"/>
  <c r="G13" i="17"/>
  <c r="I14" i="17"/>
  <c r="G14" i="17"/>
  <c r="I15" i="17"/>
  <c r="G15" i="17"/>
  <c r="I16" i="17"/>
  <c r="G16" i="17"/>
  <c r="I18" i="17"/>
  <c r="G18" i="17"/>
  <c r="I20" i="17"/>
  <c r="G20" i="17"/>
  <c r="I21" i="17"/>
  <c r="G21" i="17"/>
  <c r="I23" i="17"/>
  <c r="G23" i="17"/>
  <c r="I24" i="17"/>
  <c r="G24" i="17"/>
  <c r="I25" i="17"/>
  <c r="G25" i="17"/>
  <c r="I27" i="17"/>
  <c r="G27" i="17"/>
  <c r="I28" i="17"/>
  <c r="G28" i="17"/>
  <c r="I29" i="17"/>
  <c r="G29" i="17"/>
  <c r="I30" i="17"/>
  <c r="G30" i="17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7" i="18"/>
  <c r="G17" i="18"/>
  <c r="I18" i="18"/>
  <c r="G18" i="18"/>
  <c r="I19" i="18"/>
  <c r="G19" i="18"/>
  <c r="I20" i="18"/>
  <c r="G20" i="18"/>
  <c r="I21" i="18"/>
  <c r="G21" i="18"/>
  <c r="I22" i="18"/>
  <c r="G22" i="18"/>
  <c r="I24" i="18"/>
  <c r="G24" i="18"/>
  <c r="I25" i="18"/>
  <c r="G25" i="18"/>
  <c r="I26" i="18"/>
  <c r="G26" i="18"/>
  <c r="I27" i="18"/>
  <c r="G27" i="18"/>
  <c r="I28" i="18"/>
  <c r="G28" i="18"/>
  <c r="I30" i="18"/>
  <c r="G30" i="18"/>
  <c r="I31" i="18"/>
  <c r="G31" i="18"/>
  <c r="I33" i="18"/>
  <c r="G33" i="18"/>
  <c r="I35" i="18"/>
  <c r="G35" i="18"/>
  <c r="I36" i="18"/>
  <c r="G36" i="18"/>
  <c r="I38" i="18"/>
  <c r="G38" i="18"/>
  <c r="I39" i="18"/>
  <c r="G39" i="18"/>
  <c r="I40" i="18"/>
  <c r="G40" i="18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/>
  <c r="I8" i="19"/>
  <c r="G8" i="19"/>
  <c r="I11" i="19"/>
  <c r="G11" i="19"/>
  <c r="I12" i="19"/>
  <c r="G12" i="19"/>
  <c r="I14" i="19"/>
  <c r="G14" i="19"/>
  <c r="I15" i="19"/>
  <c r="G15" i="19"/>
  <c r="I16" i="19"/>
  <c r="G16" i="19"/>
  <c r="I17" i="19"/>
  <c r="G17" i="19"/>
  <c r="I20" i="19"/>
  <c r="G20" i="19"/>
  <c r="I21" i="19"/>
  <c r="G21" i="19"/>
  <c r="I22" i="19"/>
  <c r="G22" i="19"/>
  <c r="I23" i="19"/>
  <c r="G23" i="19"/>
  <c r="I24" i="19"/>
  <c r="G24" i="19"/>
  <c r="I25" i="19"/>
  <c r="G25" i="19"/>
  <c r="I26" i="19"/>
  <c r="G26" i="19"/>
  <c r="I27" i="19"/>
  <c r="G27" i="19"/>
  <c r="I29" i="19"/>
  <c r="G29" i="19"/>
  <c r="I30" i="19"/>
  <c r="G30" i="19"/>
  <c r="I31" i="19"/>
  <c r="G31" i="19"/>
  <c r="I32" i="19"/>
  <c r="G32" i="19"/>
  <c r="I33" i="19"/>
  <c r="G33" i="19"/>
  <c r="I34" i="19"/>
  <c r="G34" i="19"/>
  <c r="I36" i="19"/>
  <c r="G36" i="19"/>
  <c r="I37" i="19"/>
  <c r="G37" i="19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/>
  <c r="I8" i="20"/>
  <c r="G8" i="20"/>
  <c r="I9" i="20"/>
  <c r="G9" i="20"/>
  <c r="I11" i="20"/>
  <c r="G11" i="20"/>
  <c r="I12" i="20"/>
  <c r="G12" i="20"/>
  <c r="I13" i="20"/>
  <c r="G13" i="20"/>
  <c r="I14" i="20"/>
  <c r="G14" i="20"/>
  <c r="I17" i="20"/>
  <c r="G17" i="20"/>
  <c r="I18" i="20"/>
  <c r="G18" i="20"/>
  <c r="I19" i="20"/>
  <c r="G19" i="20"/>
  <c r="I20" i="20"/>
  <c r="G20" i="20"/>
  <c r="I21" i="20"/>
  <c r="G21" i="20"/>
  <c r="I22" i="20"/>
  <c r="G22" i="20"/>
  <c r="I23" i="20"/>
  <c r="G23" i="20"/>
  <c r="I25" i="20"/>
  <c r="G25" i="20"/>
  <c r="I26" i="20"/>
  <c r="G26" i="20"/>
  <c r="I27" i="20"/>
  <c r="G27" i="20"/>
  <c r="I32" i="20"/>
  <c r="G32" i="20"/>
  <c r="I33" i="20"/>
  <c r="G33" i="20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/>
  <c r="I8" i="21"/>
  <c r="G8" i="21"/>
  <c r="I9" i="21"/>
  <c r="G9" i="21"/>
  <c r="I11" i="21"/>
  <c r="G11" i="21"/>
  <c r="I13" i="21"/>
  <c r="G13" i="21"/>
  <c r="I14" i="21"/>
  <c r="G14" i="21"/>
  <c r="I15" i="21"/>
  <c r="G15" i="21"/>
  <c r="I19" i="21"/>
  <c r="G19" i="21"/>
  <c r="I20" i="21"/>
  <c r="G20" i="21"/>
  <c r="I21" i="21"/>
  <c r="G21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30" i="21"/>
  <c r="G30" i="21"/>
  <c r="I31" i="21"/>
  <c r="G31" i="21"/>
  <c r="I33" i="21"/>
  <c r="G33" i="21"/>
  <c r="I34" i="21"/>
  <c r="G34" i="21"/>
  <c r="I36" i="21"/>
  <c r="G36" i="21"/>
  <c r="I37" i="21"/>
  <c r="G37" i="21"/>
  <c r="I38" i="21"/>
  <c r="G38" i="21"/>
  <c r="I39" i="21"/>
  <c r="G39" i="2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/>
  <c r="I11" i="22"/>
  <c r="G11" i="22"/>
  <c r="I12" i="22"/>
  <c r="G12" i="22"/>
  <c r="I13" i="22"/>
  <c r="G13" i="22"/>
  <c r="I14" i="22"/>
  <c r="G14" i="22"/>
  <c r="I15" i="22"/>
  <c r="G15" i="22"/>
  <c r="I16" i="22"/>
  <c r="G16" i="22"/>
  <c r="I17" i="22"/>
  <c r="G17" i="22"/>
  <c r="I19" i="22"/>
  <c r="G19" i="22"/>
  <c r="I21" i="22"/>
  <c r="G21" i="22"/>
  <c r="I23" i="22"/>
  <c r="G23" i="22"/>
  <c r="I24" i="22"/>
  <c r="G24" i="22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/>
  <c r="I36" i="22"/>
  <c r="G36" i="22"/>
  <c r="I37" i="22"/>
  <c r="G37" i="22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/>
  <c r="I9" i="23"/>
  <c r="G9" i="23"/>
  <c r="I12" i="23"/>
  <c r="G12" i="23"/>
  <c r="I13" i="23"/>
  <c r="G13" i="23"/>
  <c r="I14" i="23"/>
  <c r="G14" i="23"/>
  <c r="I15" i="23"/>
  <c r="G15" i="23"/>
  <c r="I18" i="23"/>
  <c r="G18" i="23"/>
  <c r="I19" i="23"/>
  <c r="G19" i="23"/>
  <c r="I22" i="23"/>
  <c r="G22" i="23"/>
  <c r="I24" i="23"/>
  <c r="G24" i="23"/>
  <c r="I25" i="23"/>
  <c r="G25" i="23"/>
  <c r="I26" i="23"/>
  <c r="G26" i="23"/>
  <c r="I27" i="23"/>
  <c r="G27" i="23"/>
  <c r="I29" i="23"/>
  <c r="G29" i="23"/>
  <c r="I31" i="23"/>
  <c r="G31" i="23"/>
  <c r="I32" i="23"/>
  <c r="G32" i="23"/>
  <c r="I34" i="23"/>
  <c r="G34" i="23"/>
  <c r="I36" i="23"/>
  <c r="G36" i="23"/>
  <c r="I38" i="23"/>
  <c r="G38" i="23"/>
  <c r="I39" i="23"/>
  <c r="G39" i="23"/>
  <c r="I41" i="23"/>
  <c r="G41" i="23"/>
  <c r="I45" i="23"/>
  <c r="G45" i="23"/>
  <c r="I47" i="23"/>
  <c r="G47" i="23"/>
  <c r="I51" i="23"/>
  <c r="G51" i="23"/>
  <c r="I52" i="23"/>
  <c r="G52" i="23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/>
  <c r="I6" i="24"/>
  <c r="G6" i="24"/>
  <c r="I7" i="24"/>
  <c r="G7" i="24"/>
  <c r="I9" i="24"/>
  <c r="G9" i="24"/>
  <c r="I10" i="24"/>
  <c r="G10" i="24"/>
  <c r="I12" i="24"/>
  <c r="G12" i="24"/>
  <c r="I13" i="24"/>
  <c r="G13" i="24"/>
  <c r="I14" i="24"/>
  <c r="G14" i="24"/>
  <c r="I17" i="24"/>
  <c r="G17" i="24"/>
  <c r="I20" i="24"/>
  <c r="G20" i="24"/>
  <c r="I22" i="24"/>
  <c r="G22" i="24"/>
  <c r="I23" i="24"/>
  <c r="G23" i="24"/>
  <c r="I24" i="24"/>
  <c r="G24" i="24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6" i="25"/>
  <c r="G16" i="25"/>
  <c r="I17" i="25"/>
  <c r="G17" i="25"/>
  <c r="I18" i="25"/>
  <c r="G18" i="25"/>
  <c r="I22" i="25"/>
  <c r="G22" i="25"/>
  <c r="I24" i="25"/>
  <c r="G24" i="25"/>
  <c r="I26" i="25"/>
  <c r="G26" i="25"/>
  <c r="I28" i="25"/>
  <c r="G28" i="25"/>
  <c r="I29" i="25"/>
  <c r="G29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1" i="25"/>
  <c r="G41" i="25"/>
  <c r="I42" i="25"/>
  <c r="G42" i="25"/>
  <c r="I43" i="25"/>
  <c r="G43" i="25"/>
  <c r="I44" i="25"/>
  <c r="G44" i="25"/>
  <c r="I46" i="25"/>
  <c r="G46" i="25"/>
  <c r="I47" i="25"/>
  <c r="G47" i="25"/>
  <c r="I49" i="25"/>
  <c r="G49" i="25"/>
  <c r="I50" i="25"/>
  <c r="G50" i="25"/>
  <c r="I52" i="25"/>
  <c r="G52" i="25"/>
  <c r="I54" i="25"/>
  <c r="G54" i="25"/>
  <c r="I55" i="25"/>
  <c r="G55" i="25"/>
  <c r="I56" i="25"/>
  <c r="G56" i="25"/>
  <c r="I57" i="25"/>
  <c r="G57" i="25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/>
  <c r="I6" i="26"/>
  <c r="G6" i="26"/>
  <c r="I7" i="26"/>
  <c r="G7" i="26"/>
  <c r="I8" i="26"/>
  <c r="G8" i="26"/>
  <c r="I10" i="26"/>
  <c r="G10" i="26"/>
  <c r="I12" i="26"/>
  <c r="G12" i="26"/>
  <c r="I13" i="26"/>
  <c r="G13" i="26"/>
  <c r="I16" i="26"/>
  <c r="G16" i="26"/>
  <c r="I17" i="26"/>
  <c r="G17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26" i="26"/>
  <c r="G26" i="26"/>
  <c r="I29" i="26"/>
  <c r="G29" i="26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/>
  <c r="I6" i="27"/>
  <c r="G6" i="27"/>
  <c r="I7" i="27"/>
  <c r="G7" i="27"/>
  <c r="I8" i="27"/>
  <c r="G8" i="27"/>
  <c r="I9" i="27"/>
  <c r="G9" i="27"/>
  <c r="I11" i="27"/>
  <c r="G11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/>
  <c r="I6" i="28"/>
  <c r="G6" i="28"/>
  <c r="I7" i="28"/>
  <c r="G7" i="28"/>
  <c r="I8" i="28"/>
  <c r="G8" i="28"/>
  <c r="I9" i="28"/>
  <c r="G9" i="28"/>
  <c r="I10" i="28"/>
  <c r="G10" i="28"/>
  <c r="I11" i="28"/>
  <c r="G11" i="28"/>
  <c r="I12" i="28"/>
  <c r="G12" i="28"/>
  <c r="I13" i="28"/>
  <c r="G13" i="28"/>
  <c r="I14" i="28"/>
  <c r="G14" i="28"/>
  <c r="I15" i="28"/>
  <c r="G15" i="28"/>
  <c r="I17" i="28"/>
  <c r="G17" i="28"/>
  <c r="I18" i="28"/>
  <c r="G18" i="28"/>
  <c r="I19" i="28"/>
  <c r="G19" i="28"/>
  <c r="I20" i="28"/>
  <c r="G20" i="28"/>
  <c r="I22" i="28"/>
  <c r="G22" i="28"/>
  <c r="I23" i="28"/>
  <c r="G23" i="28"/>
  <c r="I24" i="28"/>
  <c r="G24" i="28"/>
  <c r="I25" i="28"/>
  <c r="G25" i="28"/>
  <c r="I27" i="28"/>
  <c r="G27" i="28"/>
  <c r="I28" i="28"/>
  <c r="G28" i="28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/>
  <c r="I3" i="6"/>
  <c r="G3" i="6"/>
  <c r="I4" i="6"/>
  <c r="G4" i="6"/>
  <c r="I3" i="8"/>
  <c r="G3" i="8"/>
  <c r="I4" i="9"/>
  <c r="G4" i="9"/>
  <c r="I3" i="10"/>
  <c r="G3" i="10"/>
  <c r="I4" i="10"/>
  <c r="G4" i="10"/>
  <c r="I3" i="11"/>
  <c r="G3" i="11"/>
  <c r="I4" i="11"/>
  <c r="G4" i="11"/>
  <c r="I3" i="12"/>
  <c r="G3" i="12"/>
  <c r="I4" i="12"/>
  <c r="G4" i="12"/>
  <c r="I3" i="13"/>
  <c r="G3" i="13"/>
  <c r="I4" i="13"/>
  <c r="G4" i="13"/>
  <c r="I3" i="14"/>
  <c r="G3" i="14"/>
  <c r="I4" i="14"/>
  <c r="G4" i="14"/>
  <c r="I3" i="15"/>
  <c r="G3" i="15"/>
  <c r="I3" i="16"/>
  <c r="G3" i="16"/>
  <c r="I3" i="17"/>
  <c r="G3" i="17"/>
  <c r="I4" i="17"/>
  <c r="G4" i="17"/>
  <c r="I3" i="18"/>
  <c r="G3" i="18"/>
  <c r="I4" i="18"/>
  <c r="G4" i="18"/>
  <c r="I3" i="19"/>
  <c r="G3" i="19"/>
  <c r="I4" i="20"/>
  <c r="G4" i="20"/>
  <c r="I4" i="21"/>
  <c r="G4" i="21"/>
  <c r="I4" i="22"/>
  <c r="G4" i="22"/>
  <c r="I3" i="26"/>
  <c r="G3" i="26"/>
  <c r="I4" i="26"/>
  <c r="G4" i="26"/>
  <c r="I3" i="27"/>
  <c r="G3" i="27"/>
  <c r="I4" i="27"/>
  <c r="G4" i="27"/>
  <c r="I3" i="28"/>
  <c r="G3" i="28"/>
  <c r="I4" i="28"/>
  <c r="G4" i="28"/>
  <c r="G3" i="29"/>
  <c r="I3" i="29"/>
  <c r="I4" i="29"/>
  <c r="G4" i="29"/>
  <c r="I3" i="30"/>
  <c r="G3" i="30"/>
  <c r="I4" i="30"/>
  <c r="G4" i="30"/>
  <c r="I3" i="7"/>
  <c r="G3" i="7"/>
  <c r="I4" i="7"/>
  <c r="G4" i="7"/>
  <c r="I2" i="5"/>
  <c r="G2" i="5"/>
  <c r="I2" i="6"/>
  <c r="G2" i="6"/>
  <c r="I2" i="8"/>
  <c r="G2" i="8"/>
  <c r="I2" i="9"/>
  <c r="G2" i="9"/>
  <c r="G2" i="11"/>
  <c r="I2" i="11"/>
  <c r="I2" i="12"/>
  <c r="G2" i="12"/>
  <c r="I2" i="13"/>
  <c r="G2" i="13"/>
  <c r="I2" i="14"/>
  <c r="G2" i="14"/>
  <c r="I2" i="15"/>
  <c r="G2" i="15"/>
  <c r="I2" i="16"/>
  <c r="G2" i="16"/>
  <c r="I2" i="17"/>
  <c r="G2" i="17"/>
  <c r="I2" i="18"/>
  <c r="G2" i="18"/>
  <c r="I2" i="19"/>
  <c r="G2" i="19"/>
  <c r="I2" i="22"/>
  <c r="G2" i="22"/>
  <c r="I2" i="25"/>
  <c r="G2" i="25"/>
  <c r="I2" i="27"/>
  <c r="G2" i="27"/>
  <c r="I2" i="28"/>
  <c r="G2" i="28"/>
  <c r="G2" i="29"/>
  <c r="I2" i="29"/>
  <c r="G2" i="30"/>
  <c r="I2" i="30"/>
  <c r="I2" i="7"/>
  <c r="G2" i="7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/>
  <c r="G2" i="26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/>
  <c r="G19" i="19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I30" i="20"/>
  <c r="G30" i="20"/>
  <c r="A15" i="6"/>
  <c r="I15" i="6"/>
  <c r="G15" i="6"/>
  <c r="A9" i="19"/>
  <c r="I9" i="19"/>
  <c r="G9" i="19"/>
  <c r="N4" i="2"/>
  <c r="A5" i="2"/>
  <c r="A25" i="25"/>
  <c r="A23" i="23"/>
  <c r="I40" i="23"/>
  <c r="G40" i="23"/>
  <c r="A23" i="25"/>
  <c r="A53" i="23"/>
  <c r="A6" i="25"/>
  <c r="A2" i="23"/>
  <c r="A3" i="23"/>
  <c r="A3" i="25"/>
  <c r="A2" i="24"/>
  <c r="I30" i="23"/>
  <c r="G30" i="23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/>
  <c r="I26" i="24"/>
  <c r="G26" i="24"/>
  <c r="I3" i="24"/>
  <c r="G3" i="24"/>
  <c r="I15" i="24"/>
  <c r="G15" i="24"/>
  <c r="I11" i="24"/>
  <c r="G11" i="24"/>
  <c r="I5" i="23"/>
  <c r="G5" i="23"/>
  <c r="I16" i="23"/>
  <c r="G16" i="23"/>
  <c r="I10" i="23"/>
  <c r="G10" i="23"/>
  <c r="A19" i="25"/>
  <c r="A18" i="19"/>
  <c r="I19" i="24"/>
  <c r="G19" i="24"/>
  <c r="I50" i="23"/>
  <c r="G50" i="23"/>
  <c r="I27" i="24"/>
  <c r="G27" i="24"/>
  <c r="A48" i="25"/>
  <c r="A25" i="24"/>
  <c r="I42" i="23"/>
  <c r="G42" i="23"/>
  <c r="I49" i="23"/>
  <c r="G49" i="23"/>
  <c r="A4" i="25"/>
  <c r="A4" i="23"/>
  <c r="A5" i="25"/>
  <c r="A6" i="23"/>
  <c r="B104" i="7"/>
  <c r="N5" i="2"/>
  <c r="B104" i="8"/>
  <c r="A6" i="2"/>
  <c r="I25" i="25"/>
  <c r="G25" i="25"/>
  <c r="I23" i="23"/>
  <c r="G23" i="23"/>
  <c r="I23" i="25"/>
  <c r="G23" i="25"/>
  <c r="I53" i="23"/>
  <c r="G53" i="23"/>
  <c r="I6" i="25"/>
  <c r="G6" i="25"/>
  <c r="I2" i="23"/>
  <c r="G2" i="23"/>
  <c r="I3" i="23"/>
  <c r="G3" i="23"/>
  <c r="I3" i="25"/>
  <c r="G3" i="25"/>
  <c r="I2" i="24"/>
  <c r="G2" i="24"/>
  <c r="I6" i="14"/>
  <c r="G6" i="14"/>
  <c r="I15" i="13"/>
  <c r="G15" i="13"/>
  <c r="I9" i="15"/>
  <c r="G9" i="15"/>
  <c r="I7" i="21"/>
  <c r="G7" i="21"/>
  <c r="I11" i="23"/>
  <c r="G11" i="23"/>
  <c r="I5" i="16"/>
  <c r="G5" i="16"/>
  <c r="I5" i="20"/>
  <c r="G5" i="20"/>
  <c r="I4" i="8"/>
  <c r="G4" i="8"/>
  <c r="I5" i="18"/>
  <c r="G5" i="18"/>
  <c r="I15" i="25"/>
  <c r="G15" i="25"/>
  <c r="I8" i="22"/>
  <c r="G8" i="22"/>
  <c r="I12" i="21"/>
  <c r="G12" i="21"/>
  <c r="I21" i="25"/>
  <c r="G21" i="25"/>
  <c r="I12" i="15"/>
  <c r="G12" i="15"/>
  <c r="I12" i="27"/>
  <c r="G12" i="27"/>
  <c r="I17" i="23"/>
  <c r="G17" i="23"/>
  <c r="I13" i="19"/>
  <c r="G13" i="19"/>
  <c r="I32" i="21"/>
  <c r="G32" i="21"/>
  <c r="I28" i="20"/>
  <c r="G28" i="20"/>
  <c r="I35" i="19"/>
  <c r="G35" i="19"/>
  <c r="I21" i="8"/>
  <c r="G21" i="8"/>
  <c r="I32" i="18"/>
  <c r="G32" i="18"/>
  <c r="I40" i="6"/>
  <c r="G40" i="6"/>
  <c r="I43" i="23"/>
  <c r="G43" i="23"/>
  <c r="I51" i="25"/>
  <c r="G51" i="25"/>
  <c r="I31" i="14"/>
  <c r="G31" i="14"/>
  <c r="I26" i="15"/>
  <c r="G26" i="15"/>
  <c r="I33" i="22"/>
  <c r="G33" i="22"/>
  <c r="I13" i="13"/>
  <c r="G13" i="13"/>
  <c r="I10" i="27"/>
  <c r="G10" i="27"/>
  <c r="I10" i="21"/>
  <c r="G10" i="21"/>
  <c r="I4" i="15"/>
  <c r="G4" i="15"/>
  <c r="I3" i="21"/>
  <c r="G3" i="21"/>
  <c r="I7" i="19"/>
  <c r="G7" i="19"/>
  <c r="I5" i="22"/>
  <c r="G5" i="22"/>
  <c r="I7" i="23"/>
  <c r="G7" i="23"/>
  <c r="I3" i="20"/>
  <c r="G3" i="20"/>
  <c r="I16" i="6"/>
  <c r="G16" i="6"/>
  <c r="I4" i="16"/>
  <c r="G4" i="16"/>
  <c r="I6" i="21"/>
  <c r="G6" i="21"/>
  <c r="I7" i="15"/>
  <c r="G7" i="15"/>
  <c r="I7" i="22"/>
  <c r="G7" i="22"/>
  <c r="I8" i="25"/>
  <c r="G8" i="25"/>
  <c r="I8" i="24"/>
  <c r="G8" i="24"/>
  <c r="I6" i="19"/>
  <c r="G6" i="19"/>
  <c r="I19" i="9"/>
  <c r="G19" i="9"/>
  <c r="I40" i="25"/>
  <c r="G40" i="25"/>
  <c r="I19" i="26"/>
  <c r="G19" i="26"/>
  <c r="I21" i="28"/>
  <c r="G21" i="28"/>
  <c r="I16" i="20"/>
  <c r="G16" i="20"/>
  <c r="I22" i="21"/>
  <c r="G22" i="21"/>
  <c r="I33" i="23"/>
  <c r="G33" i="23"/>
  <c r="I20" i="14"/>
  <c r="G20" i="14"/>
  <c r="I21" i="24"/>
  <c r="G21" i="24"/>
  <c r="I22" i="22"/>
  <c r="G22" i="22"/>
  <c r="I23" i="18"/>
  <c r="G23" i="18"/>
  <c r="I17" i="17"/>
  <c r="G17" i="17"/>
  <c r="I31" i="20"/>
  <c r="G31" i="20"/>
  <c r="I35" i="21"/>
  <c r="G35" i="21"/>
  <c r="I28" i="26"/>
  <c r="G28" i="26"/>
  <c r="I38" i="19"/>
  <c r="G38" i="19"/>
  <c r="I37" i="18"/>
  <c r="G37" i="18"/>
  <c r="I29" i="24"/>
  <c r="G29" i="24"/>
  <c r="I53" i="25"/>
  <c r="G53" i="25"/>
  <c r="I48" i="23"/>
  <c r="G48" i="23"/>
  <c r="I29" i="14"/>
  <c r="G29" i="14"/>
  <c r="I29" i="9"/>
  <c r="G29" i="9"/>
  <c r="I29" i="18"/>
  <c r="G29" i="18"/>
  <c r="I18" i="24"/>
  <c r="G18" i="24"/>
  <c r="I16" i="28"/>
  <c r="G16" i="28"/>
  <c r="I24" i="20"/>
  <c r="G24" i="20"/>
  <c r="I22" i="17"/>
  <c r="G22" i="17"/>
  <c r="I26" i="22"/>
  <c r="G26" i="22"/>
  <c r="I15" i="26"/>
  <c r="G15" i="26"/>
  <c r="I28" i="23"/>
  <c r="G28" i="23"/>
  <c r="I28" i="19"/>
  <c r="G28" i="19"/>
  <c r="I29" i="21"/>
  <c r="G29" i="21"/>
  <c r="I20" i="23"/>
  <c r="G20" i="23"/>
  <c r="I28" i="24"/>
  <c r="G28" i="24"/>
  <c r="I20" i="22"/>
  <c r="G20" i="22"/>
  <c r="I15" i="20"/>
  <c r="G15" i="20"/>
  <c r="I14" i="26"/>
  <c r="G14" i="26"/>
  <c r="I26" i="14"/>
  <c r="G26" i="14"/>
  <c r="I19" i="17"/>
  <c r="G19" i="17"/>
  <c r="I20" i="25"/>
  <c r="G20" i="25"/>
  <c r="I37" i="23"/>
  <c r="G37" i="23"/>
  <c r="I45" i="25"/>
  <c r="G45" i="25"/>
  <c r="I27" i="22"/>
  <c r="G27" i="22"/>
  <c r="I27" i="25"/>
  <c r="G27" i="25"/>
  <c r="I10" i="20"/>
  <c r="G10" i="20"/>
  <c r="I9" i="26"/>
  <c r="G9" i="26"/>
  <c r="I18" i="21"/>
  <c r="G18" i="21"/>
  <c r="I15" i="5"/>
  <c r="G15" i="5"/>
  <c r="I9" i="14"/>
  <c r="G9" i="14"/>
  <c r="I24" i="6"/>
  <c r="G24" i="6"/>
  <c r="I46" i="6"/>
  <c r="G46" i="6"/>
  <c r="I7" i="20"/>
  <c r="G7" i="20"/>
  <c r="I16" i="21"/>
  <c r="G16" i="21"/>
  <c r="I9" i="17"/>
  <c r="G9" i="17"/>
  <c r="I18" i="22"/>
  <c r="G18" i="22"/>
  <c r="I21" i="9"/>
  <c r="G21" i="9"/>
  <c r="I30" i="25"/>
  <c r="G30" i="25"/>
  <c r="I21" i="23"/>
  <c r="G21" i="23"/>
  <c r="I11" i="12"/>
  <c r="G11" i="12"/>
  <c r="I11" i="26"/>
  <c r="G11" i="26"/>
  <c r="I17" i="21"/>
  <c r="G17" i="21"/>
  <c r="I12" i="14"/>
  <c r="G12" i="14"/>
  <c r="I16" i="18"/>
  <c r="G16" i="18"/>
  <c r="I16" i="24"/>
  <c r="G16" i="24"/>
  <c r="I46" i="23"/>
  <c r="G46" i="23"/>
  <c r="I26" i="17"/>
  <c r="G26" i="17"/>
  <c r="I24" i="9"/>
  <c r="G24" i="9"/>
  <c r="I15" i="12"/>
  <c r="G15" i="12"/>
  <c r="I27" i="26"/>
  <c r="G27" i="26"/>
  <c r="I29" i="20"/>
  <c r="G29" i="20"/>
  <c r="I26" i="28"/>
  <c r="G26" i="28"/>
  <c r="I34" i="18"/>
  <c r="G34" i="18"/>
  <c r="I2" i="20"/>
  <c r="G2" i="20"/>
  <c r="I3" i="22"/>
  <c r="G3" i="22"/>
  <c r="I4" i="19"/>
  <c r="G4" i="19"/>
  <c r="I2" i="21"/>
  <c r="G2" i="21"/>
  <c r="I3" i="9"/>
  <c r="G3" i="9"/>
  <c r="I34" i="20"/>
  <c r="G34" i="20"/>
  <c r="I4" i="24"/>
  <c r="G4" i="24"/>
  <c r="I2" i="10"/>
  <c r="G2" i="10"/>
  <c r="I19" i="25"/>
  <c r="G19" i="25"/>
  <c r="I18" i="19"/>
  <c r="G18" i="19"/>
  <c r="I48" i="25"/>
  <c r="G48" i="25"/>
  <c r="I25" i="24"/>
  <c r="G25" i="24"/>
  <c r="I4" i="25"/>
  <c r="G4" i="25"/>
  <c r="I4" i="23"/>
  <c r="G4" i="23"/>
  <c r="I5" i="25"/>
  <c r="G5" i="25"/>
  <c r="I6" i="23"/>
  <c r="G6" i="23"/>
  <c r="N6" i="2"/>
  <c r="B104" i="9"/>
  <c r="A7" i="2"/>
  <c r="N7" i="2"/>
  <c r="B104" i="10"/>
  <c r="A8" i="2"/>
  <c r="A9" i="2"/>
  <c r="N8" i="2"/>
  <c r="N9" i="2"/>
  <c r="A10" i="2"/>
  <c r="B104" i="11"/>
  <c r="A11" i="2"/>
  <c r="N10" i="2"/>
  <c r="B104" i="12"/>
  <c r="N11" i="2"/>
  <c r="A12" i="2"/>
  <c r="B104" i="13"/>
  <c r="N12" i="2"/>
  <c r="A13" i="2"/>
  <c r="B104" i="14"/>
  <c r="N13" i="2"/>
  <c r="A14" i="2"/>
  <c r="N14" i="2"/>
  <c r="B104" i="17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B104" i="16"/>
  <c r="B104" i="18"/>
  <c r="B104" i="19"/>
  <c r="B104" i="23"/>
  <c r="B104" i="22"/>
  <c r="B104" i="21"/>
  <c r="B104" i="24"/>
  <c r="B104" i="20"/>
  <c r="A24" i="2"/>
  <c r="N23" i="2"/>
  <c r="B104" i="26"/>
  <c r="B104" i="25"/>
  <c r="N24" i="2"/>
  <c r="A25" i="2"/>
  <c r="B104" i="27"/>
  <c r="N25" i="2"/>
  <c r="A26" i="2"/>
  <c r="A27" i="2"/>
  <c r="N27" i="2"/>
  <c r="B104" i="15"/>
  <c r="N26" i="2"/>
  <c r="B104" i="28"/>
  <c r="B104" i="30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<sst xmlns="http://schemas.openxmlformats.org/spreadsheetml/2006/main" count="4517" uniqueCount="674">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</sst>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worksheet" Target="worksheets/sheet26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34" Type="http://schemas.openxmlformats.org/officeDocument/2006/relationships/styles" Target="styles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worksheet" Target="worksheets/sheet25.xml" /><Relationship Id="rId33" Type="http://schemas.openxmlformats.org/officeDocument/2006/relationships/theme" Target="theme/theme1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29" Type="http://schemas.openxmlformats.org/officeDocument/2006/relationships/worksheet" Target="worksheets/sheet29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worksheet" Target="worksheets/sheet24.xml" /><Relationship Id="rId32" Type="http://schemas.openxmlformats.org/officeDocument/2006/relationships/worksheet" Target="worksheets/sheet32.xml" /><Relationship Id="rId37" Type="http://schemas.openxmlformats.org/officeDocument/2006/relationships/calcChain" Target="calcChain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28" Type="http://schemas.openxmlformats.org/officeDocument/2006/relationships/worksheet" Target="worksheets/sheet28.xml" /><Relationship Id="rId36" Type="http://schemas.openxmlformats.org/officeDocument/2006/relationships/sheetMetadata" Target="metadata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31" Type="http://schemas.openxmlformats.org/officeDocument/2006/relationships/worksheet" Target="worksheets/sheet3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worksheet" Target="worksheets/sheet27.xml" /><Relationship Id="rId30" Type="http://schemas.openxmlformats.org/officeDocument/2006/relationships/worksheet" Target="worksheets/sheet30.xml" /><Relationship Id="rId35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 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 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 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 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 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 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 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 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 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 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 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 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 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 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 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 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15"/>
  <cols>
    <col min="1" max="1" width="10.11328125" style="1" bestFit="1" customWidth="1"/>
    <col min="2" max="2" width="12.67578125" style="1" bestFit="1" customWidth="1"/>
    <col min="3" max="3" width="126.76171875" bestFit="1" customWidth="1"/>
    <col min="4" max="4" width="45.17578125" customWidth="1"/>
  </cols>
  <sheetData>
    <row r="1" spans="1:3" x14ac:dyDescent="0.15">
      <c r="A1" s="1">
        <v>42404</v>
      </c>
      <c r="B1" s="1" t="s">
        <v>0</v>
      </c>
      <c r="C1" t="s">
        <v>1</v>
      </c>
    </row>
    <row r="2" spans="1:3" x14ac:dyDescent="0.15">
      <c r="A2" s="1">
        <v>45949</v>
      </c>
      <c r="B2" s="1" t="s">
        <v>0</v>
      </c>
      <c r="C2" t="s">
        <v>280</v>
      </c>
    </row>
    <row r="3" spans="1:3" x14ac:dyDescent="0.15">
      <c r="C3" t="s">
        <v>281</v>
      </c>
    </row>
    <row r="4" spans="1:3" x14ac:dyDescent="0.15">
      <c r="C4" t="s">
        <v>282</v>
      </c>
    </row>
    <row r="5" spans="1:3" x14ac:dyDescent="0.15">
      <c r="C5" t="s">
        <v>283</v>
      </c>
    </row>
    <row r="6" spans="1:3" x14ac:dyDescent="0.15">
      <c r="C6" t="s">
        <v>639</v>
      </c>
    </row>
    <row r="7" spans="1:3" x14ac:dyDescent="0.15">
      <c r="A7" s="1">
        <v>45954</v>
      </c>
      <c r="B7" s="1" t="s">
        <v>0</v>
      </c>
      <c r="C7" t="s">
        <v>574</v>
      </c>
    </row>
    <row r="8" spans="1:3" x14ac:dyDescent="0.15">
      <c r="A8" s="1">
        <v>46046</v>
      </c>
      <c r="B8" s="1" t="s">
        <v>0</v>
      </c>
      <c r="C8" t="s">
        <v>655</v>
      </c>
    </row>
    <row r="9" spans="1:3" x14ac:dyDescent="0.1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15"/>
  <cols>
    <col min="8" max="8" width="9.84375" bestFit="1" customWidth="1"/>
    <col min="10" max="10" width="9.9765625" bestFit="1" customWidth="1"/>
  </cols>
  <sheetData>
    <row r="1" spans="1:10" x14ac:dyDescent="0.1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1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1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1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1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1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1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1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1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1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1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1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1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1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1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1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1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1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1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1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1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1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1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1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1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1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1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1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1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1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1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1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1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1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1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1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1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1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1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1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1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1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1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1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1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1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1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1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1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1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1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1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1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1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1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1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1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1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1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1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1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1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1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1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1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1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1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1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1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1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1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1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1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1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1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1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1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1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1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1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1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1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1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1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1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1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1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1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1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1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1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1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1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1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1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1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1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1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1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1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1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1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1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1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1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1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1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1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1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1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1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1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1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1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1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1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1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1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1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1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1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1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1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1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1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1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1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1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1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1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1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1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1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1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1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1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1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1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1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1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1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1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1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1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1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1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1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1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1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1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1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1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1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1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1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1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1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1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1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1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1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1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1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1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1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1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1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1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1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1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1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1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1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1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1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1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1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1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1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1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1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1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1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1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1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1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1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1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1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1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1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1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1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1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1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1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1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1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1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1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1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1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1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1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1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1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1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1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1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1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1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1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1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1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1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1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1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1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1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1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1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1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1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1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1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1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1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1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1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1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1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1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1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1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1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1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1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1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1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1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1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1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1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1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1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1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1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1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1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15"/>
  <cols>
    <col min="2" max="2" width="18.47265625" bestFit="1" customWidth="1"/>
  </cols>
  <sheetData>
    <row r="1" spans="1:2" x14ac:dyDescent="0.15">
      <c r="A1" t="s">
        <v>628</v>
      </c>
      <c r="B1" t="s">
        <v>629</v>
      </c>
    </row>
    <row r="2" spans="1:2" x14ac:dyDescent="0.1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1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1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1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1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1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1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1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1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1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1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1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1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1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1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1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1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1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1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1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1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1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1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1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1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1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1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1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1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1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1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1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1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1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1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1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1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1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1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1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1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1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1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1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1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1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1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1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1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1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1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1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1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1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1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1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1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1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1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1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1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1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1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1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1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1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1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1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1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1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1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1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1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1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1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1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1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1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1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1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1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1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1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1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1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1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1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1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1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1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1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1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1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1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1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1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1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1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1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1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1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1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1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1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1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1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1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1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1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1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1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1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1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1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1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1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1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1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1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1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1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1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1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1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1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1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1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1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1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1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1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1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1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1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1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1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1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1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1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1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1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1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1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1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1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1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1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1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1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1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1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1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1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1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1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1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1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1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1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1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1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1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1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1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1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1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1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1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1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1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1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1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1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1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1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1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1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1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1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1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1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1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1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1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1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1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1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1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1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1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1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1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1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1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1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1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1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1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1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1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1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1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1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1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1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1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1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1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1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1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1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1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1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1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1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1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1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1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1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1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1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1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1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1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1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1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1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1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1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1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1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1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1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1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1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1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1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1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1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1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1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1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1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1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1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1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1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1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1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1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1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1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1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1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1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1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1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1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1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1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1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1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1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1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1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1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1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1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1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1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1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1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1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1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1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1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1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1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1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1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1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1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1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1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1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1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1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1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1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1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1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1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1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1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1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1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1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1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1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1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1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1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1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1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1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1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1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1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1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1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1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1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1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1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1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1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1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1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1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1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1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1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1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1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1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1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1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1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1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1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1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1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1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1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1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1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1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1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1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1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1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1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1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1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1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1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1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1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1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1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1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1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1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1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1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1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1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1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1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1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1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1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1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1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1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1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1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1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1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1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1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1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1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1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1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1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1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1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1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1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1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1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1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1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1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1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1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1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1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1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1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1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1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1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1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1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1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1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1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1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1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6796875" defaultRowHeight="12.75" x14ac:dyDescent="0.15"/>
  <cols>
    <col min="1" max="1" width="13.34765625" style="7" bestFit="1" customWidth="1"/>
    <col min="2" max="2" width="14.15625" style="7" customWidth="1"/>
    <col min="3" max="3" width="12.26953125" style="8" customWidth="1"/>
    <col min="4" max="4" width="31.5546875" style="8" customWidth="1"/>
    <col min="5" max="5" width="11.73046875" style="8" bestFit="1" customWidth="1"/>
    <col min="6" max="6" width="7.953125" style="7" customWidth="1"/>
    <col min="7" max="7" width="19.6875" style="8" bestFit="1" customWidth="1"/>
    <col min="8" max="8" width="9.4375" style="8" bestFit="1" customWidth="1"/>
    <col min="9" max="12" width="9.16796875" style="8"/>
    <col min="13" max="13" width="7.8203125" style="8" customWidth="1"/>
    <col min="14" max="14" width="13.078125" style="8" bestFit="1" customWidth="1"/>
    <col min="15" max="16384" width="9.16796875" style="8"/>
  </cols>
  <sheetData>
    <row r="1" spans="1:15" s="5" customFormat="1" ht="35.25" x14ac:dyDescent="0.15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1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1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1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1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1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1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1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1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1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1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1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1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1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1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1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1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1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1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1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1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1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1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1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1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1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1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15"/>
  <cols>
    <col min="1" max="1" width="11.8671875" bestFit="1" customWidth="1"/>
    <col min="2" max="2" width="23.59765625" customWidth="1"/>
    <col min="3" max="3" width="16.046875" style="39" customWidth="1"/>
  </cols>
  <sheetData>
    <row r="1" spans="1:3" s="37" customFormat="1" x14ac:dyDescent="0.15">
      <c r="A1" s="37" t="s">
        <v>292</v>
      </c>
      <c r="B1" s="37" t="s">
        <v>626</v>
      </c>
      <c r="C1" s="38" t="s">
        <v>627</v>
      </c>
    </row>
    <row r="2" spans="1:3" x14ac:dyDescent="0.1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15">
      <c r="A3">
        <f t="shared" si="0"/>
        <v>933</v>
      </c>
      <c r="B3" t="s">
        <v>581</v>
      </c>
      <c r="C3" s="39" t="s">
        <v>580</v>
      </c>
    </row>
    <row r="4" spans="1:3" x14ac:dyDescent="0.15">
      <c r="A4">
        <f t="shared" si="0"/>
        <v>1023</v>
      </c>
      <c r="B4" t="s">
        <v>582</v>
      </c>
      <c r="C4" s="39" t="s">
        <v>580</v>
      </c>
    </row>
    <row r="5" spans="1:3" x14ac:dyDescent="0.15">
      <c r="A5">
        <f t="shared" si="0"/>
        <v>407</v>
      </c>
      <c r="B5" t="s">
        <v>583</v>
      </c>
      <c r="C5" s="39" t="s">
        <v>580</v>
      </c>
    </row>
    <row r="6" spans="1:3" x14ac:dyDescent="0.15">
      <c r="A6">
        <f t="shared" si="0"/>
        <v>1144</v>
      </c>
      <c r="B6" t="s">
        <v>584</v>
      </c>
      <c r="C6" s="39" t="s">
        <v>580</v>
      </c>
    </row>
    <row r="7" spans="1:3" x14ac:dyDescent="0.15">
      <c r="A7">
        <f t="shared" si="0"/>
        <v>989</v>
      </c>
      <c r="B7" t="s">
        <v>585</v>
      </c>
      <c r="C7" s="39" t="s">
        <v>580</v>
      </c>
    </row>
    <row r="8" spans="1:3" x14ac:dyDescent="0.15">
      <c r="A8">
        <f t="shared" si="0"/>
        <v>699</v>
      </c>
      <c r="B8" t="s">
        <v>586</v>
      </c>
      <c r="C8" s="39" t="s">
        <v>580</v>
      </c>
    </row>
    <row r="9" spans="1:3" x14ac:dyDescent="0.15">
      <c r="A9">
        <f t="shared" si="0"/>
        <v>1161</v>
      </c>
      <c r="B9" t="s">
        <v>587</v>
      </c>
      <c r="C9" s="39" t="s">
        <v>580</v>
      </c>
    </row>
    <row r="10" spans="1:3" x14ac:dyDescent="0.15">
      <c r="A10">
        <f t="shared" si="0"/>
        <v>35</v>
      </c>
      <c r="B10" t="s">
        <v>588</v>
      </c>
      <c r="C10" s="39" t="s">
        <v>580</v>
      </c>
    </row>
    <row r="11" spans="1:3" x14ac:dyDescent="0.15">
      <c r="A11">
        <f t="shared" si="0"/>
        <v>1055</v>
      </c>
      <c r="B11" t="s">
        <v>589</v>
      </c>
      <c r="C11" s="39">
        <v>1</v>
      </c>
    </row>
    <row r="12" spans="1:3" x14ac:dyDescent="0.15">
      <c r="A12">
        <f t="shared" si="0"/>
        <v>1192</v>
      </c>
      <c r="B12" t="s">
        <v>590</v>
      </c>
      <c r="C12" s="39">
        <v>1</v>
      </c>
    </row>
    <row r="13" spans="1:3" x14ac:dyDescent="0.15">
      <c r="A13">
        <f t="shared" si="0"/>
        <v>1137</v>
      </c>
      <c r="B13" t="s">
        <v>171</v>
      </c>
      <c r="C13" s="39">
        <v>1</v>
      </c>
    </row>
    <row r="14" spans="1:3" x14ac:dyDescent="0.15">
      <c r="A14">
        <f t="shared" si="0"/>
        <v>747</v>
      </c>
      <c r="B14" t="s">
        <v>591</v>
      </c>
      <c r="C14" s="39">
        <v>1</v>
      </c>
    </row>
    <row r="15" spans="1:3" x14ac:dyDescent="0.15">
      <c r="A15">
        <f t="shared" si="0"/>
        <v>756</v>
      </c>
      <c r="B15" t="s">
        <v>592</v>
      </c>
      <c r="C15" s="39">
        <v>1</v>
      </c>
    </row>
    <row r="16" spans="1:3" x14ac:dyDescent="0.15">
      <c r="A16">
        <f t="shared" si="0"/>
        <v>1364</v>
      </c>
      <c r="B16" t="s">
        <v>209</v>
      </c>
      <c r="C16" s="39">
        <v>1</v>
      </c>
    </row>
    <row r="17" spans="1:3" x14ac:dyDescent="0.15">
      <c r="A17">
        <f t="shared" si="0"/>
        <v>567</v>
      </c>
      <c r="B17" t="s">
        <v>593</v>
      </c>
      <c r="C17" s="39">
        <v>1</v>
      </c>
    </row>
    <row r="18" spans="1:3" x14ac:dyDescent="0.15">
      <c r="A18">
        <f t="shared" si="0"/>
        <v>415</v>
      </c>
      <c r="B18" t="s">
        <v>594</v>
      </c>
      <c r="C18" s="39">
        <v>1</v>
      </c>
    </row>
    <row r="19" spans="1:3" x14ac:dyDescent="0.15">
      <c r="A19">
        <f t="shared" si="0"/>
        <v>1375</v>
      </c>
      <c r="B19" t="s">
        <v>595</v>
      </c>
      <c r="C19" s="39">
        <v>1</v>
      </c>
    </row>
    <row r="20" spans="1:3" x14ac:dyDescent="0.15">
      <c r="A20">
        <f t="shared" si="0"/>
        <v>1129</v>
      </c>
      <c r="B20" t="s">
        <v>596</v>
      </c>
      <c r="C20" s="39">
        <v>2</v>
      </c>
    </row>
    <row r="21" spans="1:3" x14ac:dyDescent="0.15">
      <c r="A21">
        <f t="shared" si="0"/>
        <v>1339</v>
      </c>
      <c r="B21" t="s">
        <v>597</v>
      </c>
      <c r="C21" s="39">
        <v>2</v>
      </c>
    </row>
    <row r="22" spans="1:3" x14ac:dyDescent="0.15">
      <c r="A22">
        <f t="shared" si="0"/>
        <v>1237</v>
      </c>
      <c r="B22" t="s">
        <v>598</v>
      </c>
      <c r="C22" s="39">
        <v>2</v>
      </c>
    </row>
    <row r="23" spans="1:3" x14ac:dyDescent="0.15">
      <c r="A23">
        <f t="shared" si="0"/>
        <v>468</v>
      </c>
      <c r="B23" t="s">
        <v>599</v>
      </c>
      <c r="C23" s="39">
        <v>2</v>
      </c>
    </row>
    <row r="24" spans="1:3" x14ac:dyDescent="0.15">
      <c r="A24">
        <f t="shared" si="0"/>
        <v>1107</v>
      </c>
      <c r="B24" t="s">
        <v>600</v>
      </c>
      <c r="C24" s="39">
        <v>2</v>
      </c>
    </row>
    <row r="25" spans="1:3" x14ac:dyDescent="0.15">
      <c r="A25">
        <f t="shared" si="0"/>
        <v>846</v>
      </c>
      <c r="B25" t="s">
        <v>601</v>
      </c>
      <c r="C25" s="39">
        <v>2</v>
      </c>
    </row>
    <row r="26" spans="1:3" x14ac:dyDescent="0.15">
      <c r="A26">
        <f t="shared" si="0"/>
        <v>1152</v>
      </c>
      <c r="B26" t="s">
        <v>602</v>
      </c>
      <c r="C26" s="39">
        <v>2</v>
      </c>
    </row>
    <row r="27" spans="1:3" x14ac:dyDescent="0.15">
      <c r="A27">
        <f t="shared" si="0"/>
        <v>203</v>
      </c>
      <c r="B27" t="s">
        <v>603</v>
      </c>
      <c r="C27" s="39">
        <v>3</v>
      </c>
    </row>
    <row r="28" spans="1:3" x14ac:dyDescent="0.15">
      <c r="A28">
        <f t="shared" si="0"/>
        <v>1355</v>
      </c>
      <c r="B28" t="s">
        <v>604</v>
      </c>
      <c r="C28" s="39">
        <v>3</v>
      </c>
    </row>
    <row r="29" spans="1:3" x14ac:dyDescent="0.15">
      <c r="A29">
        <f t="shared" si="0"/>
        <v>704</v>
      </c>
      <c r="B29" t="s">
        <v>605</v>
      </c>
      <c r="C29" s="39">
        <v>3</v>
      </c>
    </row>
    <row r="30" spans="1:3" x14ac:dyDescent="0.15">
      <c r="A30">
        <f t="shared" si="0"/>
        <v>23</v>
      </c>
      <c r="B30" t="s">
        <v>606</v>
      </c>
      <c r="C30" s="39">
        <v>3</v>
      </c>
    </row>
    <row r="31" spans="1:3" x14ac:dyDescent="0.15">
      <c r="A31">
        <f t="shared" si="0"/>
        <v>1112</v>
      </c>
      <c r="B31" t="s">
        <v>607</v>
      </c>
      <c r="C31" s="39">
        <v>3</v>
      </c>
    </row>
    <row r="32" spans="1:3" x14ac:dyDescent="0.15">
      <c r="A32">
        <f t="shared" si="0"/>
        <v>1024</v>
      </c>
      <c r="B32" t="s">
        <v>608</v>
      </c>
      <c r="C32" s="39">
        <v>3</v>
      </c>
    </row>
    <row r="33" spans="1:3" x14ac:dyDescent="0.15">
      <c r="A33">
        <f t="shared" si="0"/>
        <v>532</v>
      </c>
      <c r="B33" t="s">
        <v>609</v>
      </c>
      <c r="C33" s="39">
        <v>3</v>
      </c>
    </row>
    <row r="34" spans="1:3" x14ac:dyDescent="0.1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15">
      <c r="A35">
        <f t="shared" si="1"/>
        <v>1194</v>
      </c>
      <c r="B35" t="s">
        <v>611</v>
      </c>
      <c r="C35" s="39">
        <v>4</v>
      </c>
    </row>
    <row r="36" spans="1:3" x14ac:dyDescent="0.15">
      <c r="A36">
        <f t="shared" si="1"/>
        <v>1048</v>
      </c>
      <c r="B36" t="s">
        <v>612</v>
      </c>
      <c r="C36" s="39">
        <v>4</v>
      </c>
    </row>
    <row r="37" spans="1:3" x14ac:dyDescent="0.15">
      <c r="A37">
        <f t="shared" si="1"/>
        <v>1195</v>
      </c>
      <c r="B37" t="s">
        <v>613</v>
      </c>
      <c r="C37" s="39">
        <v>4</v>
      </c>
    </row>
    <row r="38" spans="1:3" x14ac:dyDescent="0.15">
      <c r="A38">
        <f t="shared" si="1"/>
        <v>1298</v>
      </c>
      <c r="B38" t="s">
        <v>614</v>
      </c>
      <c r="C38" s="39">
        <v>4</v>
      </c>
    </row>
    <row r="39" spans="1:3" x14ac:dyDescent="0.15">
      <c r="A39">
        <f t="shared" si="1"/>
        <v>1332</v>
      </c>
      <c r="B39" t="s">
        <v>615</v>
      </c>
      <c r="C39" s="39">
        <v>4</v>
      </c>
    </row>
    <row r="40" spans="1:3" x14ac:dyDescent="0.15">
      <c r="A40">
        <f t="shared" si="1"/>
        <v>1377</v>
      </c>
      <c r="B40" t="s">
        <v>616</v>
      </c>
      <c r="C40" s="39">
        <v>4</v>
      </c>
    </row>
    <row r="41" spans="1:3" x14ac:dyDescent="0.15">
      <c r="A41">
        <f t="shared" si="1"/>
        <v>1193</v>
      </c>
      <c r="B41" t="s">
        <v>617</v>
      </c>
      <c r="C41" s="39">
        <v>4</v>
      </c>
    </row>
    <row r="42" spans="1:3" x14ac:dyDescent="0.15">
      <c r="A42">
        <f t="shared" si="1"/>
        <v>1244</v>
      </c>
      <c r="B42" t="s">
        <v>618</v>
      </c>
      <c r="C42" s="39">
        <v>4</v>
      </c>
    </row>
    <row r="43" spans="1:3" x14ac:dyDescent="0.15">
      <c r="A43">
        <f t="shared" si="1"/>
        <v>38</v>
      </c>
      <c r="B43" t="s">
        <v>619</v>
      </c>
      <c r="C43" s="39" t="s">
        <v>580</v>
      </c>
    </row>
    <row r="44" spans="1:3" x14ac:dyDescent="0.15">
      <c r="A44">
        <f t="shared" si="1"/>
        <v>967</v>
      </c>
      <c r="B44" t="s">
        <v>620</v>
      </c>
      <c r="C44" s="39">
        <v>1</v>
      </c>
    </row>
    <row r="45" spans="1:3" x14ac:dyDescent="0.15">
      <c r="A45">
        <f t="shared" si="1"/>
        <v>1242</v>
      </c>
      <c r="B45" t="s">
        <v>621</v>
      </c>
      <c r="C45" s="39">
        <v>2</v>
      </c>
    </row>
    <row r="46" spans="1:3" x14ac:dyDescent="0.15">
      <c r="A46">
        <f t="shared" si="1"/>
        <v>1135</v>
      </c>
      <c r="B46" t="s">
        <v>622</v>
      </c>
      <c r="C46" s="39">
        <v>2</v>
      </c>
    </row>
    <row r="47" spans="1:3" x14ac:dyDescent="0.15">
      <c r="A47">
        <f t="shared" si="1"/>
        <v>715</v>
      </c>
      <c r="B47" t="s">
        <v>623</v>
      </c>
      <c r="C47" s="39">
        <v>3</v>
      </c>
    </row>
    <row r="48" spans="1:3" x14ac:dyDescent="0.15">
      <c r="A48">
        <f t="shared" si="1"/>
        <v>1254</v>
      </c>
      <c r="B48" t="s">
        <v>624</v>
      </c>
      <c r="C48" s="39">
        <v>3</v>
      </c>
    </row>
    <row r="49" spans="1:3" x14ac:dyDescent="0.15">
      <c r="A49">
        <f t="shared" si="1"/>
        <v>1385</v>
      </c>
      <c r="B49" t="s">
        <v>213</v>
      </c>
      <c r="C49" s="39">
        <v>3</v>
      </c>
    </row>
    <row r="50" spans="1:3" x14ac:dyDescent="0.15">
      <c r="A50">
        <f t="shared" si="1"/>
        <v>7</v>
      </c>
      <c r="B50" t="s">
        <v>625</v>
      </c>
      <c r="C50" s="39">
        <v>4</v>
      </c>
    </row>
    <row r="51" spans="1:3" x14ac:dyDescent="0.15">
      <c r="A51" t="str">
        <f t="shared" si="1"/>
        <v/>
      </c>
    </row>
    <row r="52" spans="1:3" x14ac:dyDescent="0.15">
      <c r="A52" t="str">
        <f t="shared" si="1"/>
        <v/>
      </c>
    </row>
    <row r="53" spans="1:3" x14ac:dyDescent="0.15">
      <c r="A53" t="str">
        <f t="shared" si="1"/>
        <v/>
      </c>
    </row>
    <row r="54" spans="1:3" x14ac:dyDescent="0.15">
      <c r="A54" t="str">
        <f t="shared" si="1"/>
        <v/>
      </c>
    </row>
    <row r="55" spans="1:3" x14ac:dyDescent="0.15">
      <c r="A55" t="str">
        <f t="shared" si="1"/>
        <v/>
      </c>
    </row>
    <row r="56" spans="1:3" x14ac:dyDescent="0.15">
      <c r="A56" t="str">
        <f t="shared" si="1"/>
        <v/>
      </c>
    </row>
    <row r="57" spans="1:3" x14ac:dyDescent="0.15">
      <c r="A57" t="str">
        <f t="shared" si="1"/>
        <v/>
      </c>
    </row>
    <row r="58" spans="1:3" x14ac:dyDescent="0.15">
      <c r="A58" t="str">
        <f t="shared" si="1"/>
        <v/>
      </c>
    </row>
    <row r="59" spans="1:3" x14ac:dyDescent="0.15">
      <c r="A59" t="str">
        <f t="shared" si="1"/>
        <v/>
      </c>
    </row>
    <row r="60" spans="1:3" x14ac:dyDescent="0.15">
      <c r="A60" t="str">
        <f t="shared" si="1"/>
        <v/>
      </c>
    </row>
    <row r="61" spans="1:3" x14ac:dyDescent="0.15">
      <c r="A61" t="str">
        <f t="shared" si="1"/>
        <v/>
      </c>
    </row>
    <row r="62" spans="1:3" x14ac:dyDescent="0.15">
      <c r="A62" t="str">
        <f t="shared" si="1"/>
        <v/>
      </c>
    </row>
    <row r="63" spans="1:3" x14ac:dyDescent="0.15">
      <c r="A63" t="str">
        <f t="shared" si="1"/>
        <v/>
      </c>
    </row>
    <row r="64" spans="1:3" x14ac:dyDescent="0.15">
      <c r="A64" t="str">
        <f t="shared" si="1"/>
        <v/>
      </c>
    </row>
    <row r="65" spans="1:1" x14ac:dyDescent="0.15">
      <c r="A65" t="str">
        <f t="shared" si="1"/>
        <v/>
      </c>
    </row>
    <row r="66" spans="1:1" x14ac:dyDescent="0.15">
      <c r="A66" t="str">
        <f t="shared" ref="A66:A97" si="2">IF(ISBLANK(B66),"",_xlfn.XLOOKUP(B66,ClubNames,ClubNumbers))</f>
        <v/>
      </c>
    </row>
    <row r="67" spans="1:1" x14ac:dyDescent="0.15">
      <c r="A67" t="str">
        <f t="shared" si="2"/>
        <v/>
      </c>
    </row>
    <row r="68" spans="1:1" x14ac:dyDescent="0.15">
      <c r="A68" t="str">
        <f t="shared" si="2"/>
        <v/>
      </c>
    </row>
    <row r="69" spans="1:1" x14ac:dyDescent="0.15">
      <c r="A69" t="str">
        <f t="shared" si="2"/>
        <v/>
      </c>
    </row>
    <row r="70" spans="1:1" x14ac:dyDescent="0.15">
      <c r="A70" t="str">
        <f t="shared" si="2"/>
        <v/>
      </c>
    </row>
    <row r="71" spans="1:1" x14ac:dyDescent="0.15">
      <c r="A71" t="str">
        <f t="shared" si="2"/>
        <v/>
      </c>
    </row>
    <row r="72" spans="1:1" x14ac:dyDescent="0.15">
      <c r="A72" t="str">
        <f t="shared" si="2"/>
        <v/>
      </c>
    </row>
    <row r="73" spans="1:1" x14ac:dyDescent="0.15">
      <c r="A73" t="str">
        <f t="shared" si="2"/>
        <v/>
      </c>
    </row>
    <row r="74" spans="1:1" x14ac:dyDescent="0.15">
      <c r="A74" t="str">
        <f t="shared" si="2"/>
        <v/>
      </c>
    </row>
    <row r="75" spans="1:1" x14ac:dyDescent="0.15">
      <c r="A75" t="str">
        <f t="shared" si="2"/>
        <v/>
      </c>
    </row>
    <row r="76" spans="1:1" x14ac:dyDescent="0.15">
      <c r="A76" t="str">
        <f t="shared" si="2"/>
        <v/>
      </c>
    </row>
    <row r="77" spans="1:1" x14ac:dyDescent="0.15">
      <c r="A77" t="str">
        <f t="shared" si="2"/>
        <v/>
      </c>
    </row>
    <row r="78" spans="1:1" x14ac:dyDescent="0.15">
      <c r="A78" t="str">
        <f t="shared" si="2"/>
        <v/>
      </c>
    </row>
    <row r="79" spans="1:1" x14ac:dyDescent="0.15">
      <c r="A79" t="str">
        <f t="shared" si="2"/>
        <v/>
      </c>
    </row>
    <row r="80" spans="1:1" x14ac:dyDescent="0.15">
      <c r="A80" t="str">
        <f t="shared" si="2"/>
        <v/>
      </c>
    </row>
    <row r="81" spans="1:1" x14ac:dyDescent="0.15">
      <c r="A81" t="str">
        <f t="shared" si="2"/>
        <v/>
      </c>
    </row>
    <row r="82" spans="1:1" x14ac:dyDescent="0.15">
      <c r="A82" t="str">
        <f t="shared" si="2"/>
        <v/>
      </c>
    </row>
    <row r="83" spans="1:1" x14ac:dyDescent="0.15">
      <c r="A83" t="str">
        <f t="shared" si="2"/>
        <v/>
      </c>
    </row>
    <row r="84" spans="1:1" x14ac:dyDescent="0.15">
      <c r="A84" t="str">
        <f t="shared" si="2"/>
        <v/>
      </c>
    </row>
    <row r="85" spans="1:1" x14ac:dyDescent="0.15">
      <c r="A85" t="str">
        <f t="shared" si="2"/>
        <v/>
      </c>
    </row>
    <row r="86" spans="1:1" x14ac:dyDescent="0.15">
      <c r="A86" t="str">
        <f t="shared" si="2"/>
        <v/>
      </c>
    </row>
    <row r="87" spans="1:1" x14ac:dyDescent="0.15">
      <c r="A87" t="str">
        <f t="shared" si="2"/>
        <v/>
      </c>
    </row>
    <row r="88" spans="1:1" x14ac:dyDescent="0.15">
      <c r="A88" t="str">
        <f t="shared" si="2"/>
        <v/>
      </c>
    </row>
    <row r="89" spans="1:1" x14ac:dyDescent="0.15">
      <c r="A89" t="str">
        <f t="shared" si="2"/>
        <v/>
      </c>
    </row>
    <row r="90" spans="1:1" x14ac:dyDescent="0.15">
      <c r="A90" t="str">
        <f t="shared" si="2"/>
        <v/>
      </c>
    </row>
    <row r="91" spans="1:1" x14ac:dyDescent="0.15">
      <c r="A91" t="str">
        <f t="shared" si="2"/>
        <v/>
      </c>
    </row>
    <row r="92" spans="1:1" x14ac:dyDescent="0.15">
      <c r="A92" t="str">
        <f t="shared" si="2"/>
        <v/>
      </c>
    </row>
    <row r="93" spans="1:1" x14ac:dyDescent="0.15">
      <c r="A93" t="str">
        <f t="shared" si="2"/>
        <v/>
      </c>
    </row>
    <row r="94" spans="1:1" x14ac:dyDescent="0.15">
      <c r="A94" t="str">
        <f t="shared" si="2"/>
        <v/>
      </c>
    </row>
    <row r="95" spans="1:1" x14ac:dyDescent="0.15">
      <c r="A95" t="str">
        <f t="shared" si="2"/>
        <v/>
      </c>
    </row>
    <row r="96" spans="1:1" x14ac:dyDescent="0.15">
      <c r="A96" t="str">
        <f t="shared" si="2"/>
        <v/>
      </c>
    </row>
    <row r="97" spans="1:1" x14ac:dyDescent="0.15">
      <c r="A97" t="str">
        <f t="shared" si="2"/>
        <v/>
      </c>
    </row>
    <row r="98" spans="1:1" x14ac:dyDescent="0.15">
      <c r="A98" t="str">
        <f t="shared" ref="A98:A101" si="3">IF(ISBLANK(B98),"",_xlfn.XLOOKUP(B98,ClubNames,ClubNumbers))</f>
        <v/>
      </c>
    </row>
    <row r="99" spans="1:1" x14ac:dyDescent="0.15">
      <c r="A99" t="str">
        <f t="shared" si="3"/>
        <v/>
      </c>
    </row>
    <row r="100" spans="1:1" x14ac:dyDescent="0.15">
      <c r="A100" t="str">
        <f t="shared" si="3"/>
        <v/>
      </c>
    </row>
    <row r="101" spans="1:1" x14ac:dyDescent="0.1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15"/>
  <cols>
    <col min="1" max="1" width="24.8125" customWidth="1"/>
    <col min="2" max="2" width="19.1484375" customWidth="1"/>
    <col min="3" max="3" width="25.62109375" bestFit="1" customWidth="1"/>
  </cols>
  <sheetData>
    <row r="1" spans="1:10" s="37" customFormat="1" x14ac:dyDescent="0.15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5" x14ac:dyDescent="0.2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5" x14ac:dyDescent="0.2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5" x14ac:dyDescent="0.2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5" x14ac:dyDescent="0.2">
      <c r="A5" t="s">
        <v>121</v>
      </c>
      <c r="B5" t="s">
        <v>120</v>
      </c>
      <c r="C5" s="41" t="str">
        <f t="shared" si="0"/>
        <v>Simon Clarke (Cov Tri)</v>
      </c>
    </row>
    <row r="6" spans="1:10" ht="15" x14ac:dyDescent="0.2">
      <c r="A6" t="s">
        <v>253</v>
      </c>
      <c r="B6" t="s">
        <v>660</v>
      </c>
      <c r="C6" s="41" t="str">
        <f t="shared" si="0"/>
        <v>Andy Thomas (HCRC)</v>
      </c>
    </row>
    <row r="7" spans="1:10" ht="15" x14ac:dyDescent="0.2">
      <c r="A7" t="s">
        <v>665</v>
      </c>
      <c r="B7" t="s">
        <v>660</v>
      </c>
      <c r="C7" s="41" t="str">
        <f t="shared" si="0"/>
        <v>Colin Parkinson (SWRC) (HCRC)</v>
      </c>
    </row>
    <row r="8" spans="1:10" ht="15" x14ac:dyDescent="0.2">
      <c r="A8" t="s">
        <v>662</v>
      </c>
      <c r="B8" t="s">
        <v>660</v>
      </c>
      <c r="C8" s="41" t="str">
        <f t="shared" si="0"/>
        <v>Joe Murray (M I Racing) (HCRC)</v>
      </c>
    </row>
    <row r="9" spans="1:10" ht="15" x14ac:dyDescent="0.2">
      <c r="A9" t="s">
        <v>666</v>
      </c>
      <c r="B9" t="s">
        <v>660</v>
      </c>
      <c r="C9" s="41" t="str">
        <f t="shared" si="0"/>
        <v>Mick Wills (M I Racing) (HCRC)</v>
      </c>
    </row>
    <row r="10" spans="1:10" ht="15" x14ac:dyDescent="0.2">
      <c r="A10" t="s">
        <v>236</v>
      </c>
      <c r="B10" t="s">
        <v>123</v>
      </c>
      <c r="C10" s="41" t="str">
        <f t="shared" si="0"/>
        <v>Andy King (KCC)</v>
      </c>
    </row>
    <row r="11" spans="1:10" ht="15" x14ac:dyDescent="0.2">
      <c r="A11" t="s">
        <v>122</v>
      </c>
      <c r="B11" t="s">
        <v>123</v>
      </c>
      <c r="C11" s="41" t="str">
        <f t="shared" si="0"/>
        <v>Evan Collett Jnr (KCC)</v>
      </c>
    </row>
    <row r="12" spans="1:10" ht="15" x14ac:dyDescent="0.2">
      <c r="A12" t="s">
        <v>235</v>
      </c>
      <c r="B12" t="s">
        <v>123</v>
      </c>
      <c r="C12" s="41" t="str">
        <f t="shared" si="0"/>
        <v>Josh Brown (KCC)</v>
      </c>
    </row>
    <row r="13" spans="1:10" ht="15" x14ac:dyDescent="0.2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5" x14ac:dyDescent="0.2">
      <c r="A14" t="s">
        <v>126</v>
      </c>
      <c r="B14" t="s">
        <v>125</v>
      </c>
      <c r="C14" s="41" t="str">
        <f t="shared" si="0"/>
        <v>Mat Mabe (LFCC)</v>
      </c>
    </row>
    <row r="15" spans="1:10" ht="15" x14ac:dyDescent="0.2">
      <c r="A15" t="s">
        <v>127</v>
      </c>
      <c r="B15" t="s">
        <v>125</v>
      </c>
      <c r="C15" s="41" t="str">
        <f t="shared" si="0"/>
        <v>Matt Finch (LFCC)</v>
      </c>
    </row>
    <row r="16" spans="1:10" ht="15" x14ac:dyDescent="0.2">
      <c r="A16" t="s">
        <v>128</v>
      </c>
      <c r="B16" t="s">
        <v>125</v>
      </c>
      <c r="C16" s="41" t="str">
        <f t="shared" si="0"/>
        <v>Morris Mabe (LFCC)</v>
      </c>
    </row>
    <row r="17" spans="1:4" ht="15" x14ac:dyDescent="0.2">
      <c r="A17" t="s">
        <v>129</v>
      </c>
      <c r="B17" t="s">
        <v>125</v>
      </c>
      <c r="C17" s="41" t="str">
        <f t="shared" si="0"/>
        <v>Sam Nettel (LFCC)</v>
      </c>
    </row>
    <row r="18" spans="1:4" ht="15" x14ac:dyDescent="0.2">
      <c r="A18" t="s">
        <v>130</v>
      </c>
      <c r="B18" t="s">
        <v>125</v>
      </c>
      <c r="C18" s="41" t="str">
        <f t="shared" si="0"/>
        <v>Talles Medevives (LFCC)</v>
      </c>
    </row>
    <row r="19" spans="1:4" ht="15" x14ac:dyDescent="0.2">
      <c r="A19" t="s">
        <v>131</v>
      </c>
      <c r="B19" t="s">
        <v>132</v>
      </c>
      <c r="C19" s="41" t="str">
        <f t="shared" si="0"/>
        <v>Dean Tacey (LRC)</v>
      </c>
    </row>
    <row r="20" spans="1:4" ht="15" x14ac:dyDescent="0.2">
      <c r="A20" t="s">
        <v>133</v>
      </c>
      <c r="B20" t="s">
        <v>134</v>
      </c>
      <c r="C20" s="41" t="str">
        <f t="shared" si="0"/>
        <v>Chris Booth (MOCC)</v>
      </c>
    </row>
    <row r="21" spans="1:4" ht="15" x14ac:dyDescent="0.2">
      <c r="A21" t="s">
        <v>135</v>
      </c>
      <c r="B21" t="s">
        <v>134</v>
      </c>
      <c r="C21" s="41" t="str">
        <f t="shared" si="0"/>
        <v>David Cooper (MOCC)</v>
      </c>
    </row>
    <row r="22" spans="1:4" ht="15" x14ac:dyDescent="0.2">
      <c r="A22" t="s">
        <v>136</v>
      </c>
      <c r="B22" t="s">
        <v>134</v>
      </c>
      <c r="C22" s="41" t="str">
        <f t="shared" si="0"/>
        <v>Jamie Haines (MOCC)</v>
      </c>
    </row>
    <row r="23" spans="1:4" ht="15" x14ac:dyDescent="0.2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5" x14ac:dyDescent="0.2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5" x14ac:dyDescent="0.2">
      <c r="A25" t="s">
        <v>137</v>
      </c>
      <c r="B25" t="s">
        <v>138</v>
      </c>
      <c r="C25" s="41" t="str">
        <f t="shared" si="0"/>
        <v>Lewis Cooper (RAF Tri)</v>
      </c>
    </row>
    <row r="26" spans="1:4" ht="15" x14ac:dyDescent="0.2">
      <c r="A26" t="s">
        <v>139</v>
      </c>
      <c r="B26" t="s">
        <v>664</v>
      </c>
      <c r="C26" s="41" t="str">
        <f t="shared" si="0"/>
        <v>Alex Whitmore (Ratae)</v>
      </c>
    </row>
    <row r="27" spans="1:4" ht="15" x14ac:dyDescent="0.2">
      <c r="A27" t="s">
        <v>140</v>
      </c>
      <c r="B27" t="s">
        <v>664</v>
      </c>
      <c r="C27" s="41" t="str">
        <f t="shared" si="0"/>
        <v>Brian Lincoln (Ratae)</v>
      </c>
    </row>
    <row r="28" spans="1:4" ht="15" x14ac:dyDescent="0.2">
      <c r="A28" t="s">
        <v>141</v>
      </c>
      <c r="B28" t="s">
        <v>664</v>
      </c>
      <c r="C28" s="41" t="str">
        <f t="shared" si="0"/>
        <v>Chris Bonsor (Ratae)</v>
      </c>
    </row>
    <row r="29" spans="1:4" ht="15" x14ac:dyDescent="0.2">
      <c r="A29" t="s">
        <v>142</v>
      </c>
      <c r="B29" t="s">
        <v>664</v>
      </c>
      <c r="C29" s="41" t="str">
        <f t="shared" si="0"/>
        <v>Chris Spray (Ratae)</v>
      </c>
    </row>
    <row r="30" spans="1:4" ht="15" x14ac:dyDescent="0.2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5" x14ac:dyDescent="0.2">
      <c r="A31" t="s">
        <v>143</v>
      </c>
      <c r="B31" t="s">
        <v>664</v>
      </c>
      <c r="C31" s="41" t="str">
        <f t="shared" si="0"/>
        <v>Ed Watson (Ratae)</v>
      </c>
    </row>
    <row r="32" spans="1:4" ht="15" x14ac:dyDescent="0.2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5" x14ac:dyDescent="0.2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5" x14ac:dyDescent="0.2">
      <c r="A34" t="s">
        <v>144</v>
      </c>
      <c r="B34" t="s">
        <v>664</v>
      </c>
      <c r="C34" s="41" t="str">
        <f t="shared" si="0"/>
        <v>Mark Marmoy (Ratae)</v>
      </c>
    </row>
    <row r="35" spans="1:4" ht="15" x14ac:dyDescent="0.2">
      <c r="A35" t="s">
        <v>145</v>
      </c>
      <c r="B35" t="s">
        <v>664</v>
      </c>
      <c r="C35" s="41" t="str">
        <f t="shared" si="0"/>
        <v>Mark Newton (Ratae)</v>
      </c>
    </row>
    <row r="36" spans="1:4" ht="15" x14ac:dyDescent="0.2">
      <c r="A36" t="s">
        <v>146</v>
      </c>
      <c r="B36" t="s">
        <v>664</v>
      </c>
      <c r="C36" s="41" t="str">
        <f t="shared" si="0"/>
        <v>Marshall Briggs (Ratae)</v>
      </c>
    </row>
    <row r="37" spans="1:4" ht="15" x14ac:dyDescent="0.2">
      <c r="A37" t="s">
        <v>147</v>
      </c>
      <c r="B37" t="s">
        <v>664</v>
      </c>
      <c r="C37" s="41" t="str">
        <f t="shared" si="0"/>
        <v>Paul Eden (Ratae)</v>
      </c>
    </row>
    <row r="38" spans="1:4" ht="15" x14ac:dyDescent="0.2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5" x14ac:dyDescent="0.2">
      <c r="A39" t="s">
        <v>149</v>
      </c>
      <c r="B39" t="s">
        <v>664</v>
      </c>
      <c r="C39" s="41" t="str">
        <f t="shared" si="0"/>
        <v>Steve Pearce (Ratae)</v>
      </c>
    </row>
    <row r="40" spans="1:4" ht="15" x14ac:dyDescent="0.2">
      <c r="A40" t="s">
        <v>150</v>
      </c>
      <c r="B40" t="s">
        <v>151</v>
      </c>
      <c r="C40" s="41" t="str">
        <f t="shared" si="0"/>
        <v>Adam Wells (RFW)</v>
      </c>
    </row>
    <row r="41" spans="1:4" ht="15" x14ac:dyDescent="0.2">
      <c r="A41" t="s">
        <v>152</v>
      </c>
      <c r="B41" t="s">
        <v>151</v>
      </c>
      <c r="C41" s="41" t="str">
        <f t="shared" si="0"/>
        <v>Alex Borrowman (RFW)</v>
      </c>
    </row>
    <row r="42" spans="1:4" ht="15" x14ac:dyDescent="0.2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5" x14ac:dyDescent="0.2">
      <c r="A43" t="s">
        <v>153</v>
      </c>
      <c r="B43" t="s">
        <v>151</v>
      </c>
      <c r="C43" s="41" t="str">
        <f t="shared" si="0"/>
        <v>Chris Fowler (RFW)</v>
      </c>
    </row>
    <row r="44" spans="1:4" ht="15" x14ac:dyDescent="0.2">
      <c r="A44" t="s">
        <v>667</v>
      </c>
      <c r="B44" t="s">
        <v>151</v>
      </c>
      <c r="C44" s="41" t="str">
        <f t="shared" si="0"/>
        <v>Dan Hempkin (RFW)</v>
      </c>
    </row>
    <row r="45" spans="1:4" ht="15" x14ac:dyDescent="0.2">
      <c r="A45" t="s">
        <v>225</v>
      </c>
      <c r="B45" t="s">
        <v>151</v>
      </c>
      <c r="C45" s="41" t="str">
        <f t="shared" si="0"/>
        <v>David Hill (RFW)</v>
      </c>
    </row>
    <row r="46" spans="1:4" ht="15" x14ac:dyDescent="0.2">
      <c r="A46" t="s">
        <v>154</v>
      </c>
      <c r="B46" t="s">
        <v>151</v>
      </c>
      <c r="C46" s="41" t="str">
        <f t="shared" si="0"/>
        <v>Ethan Mitchell-Clarke (RFW)</v>
      </c>
    </row>
    <row r="47" spans="1:4" ht="15" x14ac:dyDescent="0.2">
      <c r="A47" t="s">
        <v>237</v>
      </c>
      <c r="B47" t="s">
        <v>151</v>
      </c>
      <c r="C47" s="41" t="str">
        <f t="shared" si="0"/>
        <v>Giles Cooper (RFW)</v>
      </c>
    </row>
    <row r="48" spans="1:4" ht="15" x14ac:dyDescent="0.2">
      <c r="A48" t="s">
        <v>241</v>
      </c>
      <c r="B48" t="s">
        <v>151</v>
      </c>
      <c r="C48" s="41" t="str">
        <f t="shared" si="0"/>
        <v>Gregg Payne (RFW)</v>
      </c>
    </row>
    <row r="49" spans="1:4" ht="15" x14ac:dyDescent="0.2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5" x14ac:dyDescent="0.2">
      <c r="A50" t="s">
        <v>156</v>
      </c>
      <c r="B50" t="s">
        <v>151</v>
      </c>
      <c r="C50" s="41" t="str">
        <f t="shared" si="0"/>
        <v>Michael Carter (RFW)</v>
      </c>
    </row>
    <row r="51" spans="1:4" ht="15" x14ac:dyDescent="0.2">
      <c r="A51" t="s">
        <v>147</v>
      </c>
      <c r="B51" t="s">
        <v>151</v>
      </c>
      <c r="C51" s="41" t="str">
        <f t="shared" si="0"/>
        <v>Paul Eden (RFW)</v>
      </c>
    </row>
    <row r="52" spans="1:4" ht="15" x14ac:dyDescent="0.2">
      <c r="A52" t="s">
        <v>244</v>
      </c>
      <c r="B52" t="s">
        <v>151</v>
      </c>
      <c r="C52" s="41" t="str">
        <f t="shared" si="0"/>
        <v>Paul Russell (RFW)</v>
      </c>
    </row>
    <row r="53" spans="1:4" ht="15" x14ac:dyDescent="0.2">
      <c r="A53" t="s">
        <v>242</v>
      </c>
      <c r="B53" t="s">
        <v>151</v>
      </c>
      <c r="C53" s="41" t="str">
        <f t="shared" si="0"/>
        <v>Paul Ryan (RFW)</v>
      </c>
    </row>
    <row r="54" spans="1:4" ht="15" x14ac:dyDescent="0.2">
      <c r="A54" t="s">
        <v>157</v>
      </c>
      <c r="B54" t="s">
        <v>151</v>
      </c>
      <c r="C54" s="41" t="str">
        <f t="shared" si="0"/>
        <v>Phil Wilkinson (RFW)</v>
      </c>
    </row>
    <row r="55" spans="1:4" ht="15" x14ac:dyDescent="0.2">
      <c r="A55" t="s">
        <v>158</v>
      </c>
      <c r="B55" t="s">
        <v>159</v>
      </c>
      <c r="C55" s="41" t="str">
        <f t="shared" si="0"/>
        <v>Adrian James (Rugby RCC)</v>
      </c>
    </row>
    <row r="56" spans="1:4" ht="15" x14ac:dyDescent="0.2">
      <c r="A56" t="s">
        <v>160</v>
      </c>
      <c r="B56" t="s">
        <v>161</v>
      </c>
      <c r="C56" s="41" t="str">
        <f t="shared" si="0"/>
        <v>Carl Shaw (Speedhub)</v>
      </c>
    </row>
    <row r="57" spans="1:4" ht="15" x14ac:dyDescent="0.2">
      <c r="A57" t="s">
        <v>162</v>
      </c>
      <c r="B57" t="s">
        <v>163</v>
      </c>
      <c r="C57" s="41" t="str">
        <f t="shared" si="0"/>
        <v>Oliver Searle (St Ives CC)</v>
      </c>
    </row>
    <row r="61" spans="1:4" ht="15" x14ac:dyDescent="0.2">
      <c r="C61" s="41" t="str">
        <f>IF(ISBLANK(B61), IF(ISBLANK(A61),"",A61), _xlfn.CONCAT(A61," (",B61,")"))</f>
        <v/>
      </c>
    </row>
    <row r="62" spans="1:4" ht="15" x14ac:dyDescent="0.2">
      <c r="C62" s="41" t="str">
        <f t="shared" ref="C62:C88" si="1">IF(ISBLANK(B62), IF(ISBLANK(A62),"",A62), _xlfn.CONCAT(A62," (",B62,")"))</f>
        <v/>
      </c>
    </row>
    <row r="63" spans="1:4" ht="15" x14ac:dyDescent="0.2">
      <c r="C63" s="41" t="str">
        <f t="shared" si="1"/>
        <v/>
      </c>
    </row>
    <row r="64" spans="1:4" ht="15" x14ac:dyDescent="0.2">
      <c r="C64" s="41" t="str">
        <f t="shared" si="1"/>
        <v/>
      </c>
    </row>
    <row r="65" spans="3:3" ht="15" x14ac:dyDescent="0.2">
      <c r="C65" s="41" t="str">
        <f t="shared" si="1"/>
        <v/>
      </c>
    </row>
    <row r="66" spans="3:3" ht="15" x14ac:dyDescent="0.2">
      <c r="C66" s="41" t="str">
        <f t="shared" si="1"/>
        <v/>
      </c>
    </row>
    <row r="67" spans="3:3" ht="15" x14ac:dyDescent="0.2">
      <c r="C67" s="41" t="str">
        <f t="shared" si="1"/>
        <v/>
      </c>
    </row>
    <row r="68" spans="3:3" ht="15" x14ac:dyDescent="0.2">
      <c r="C68" s="41" t="str">
        <f t="shared" si="1"/>
        <v/>
      </c>
    </row>
    <row r="69" spans="3:3" ht="15" x14ac:dyDescent="0.2">
      <c r="C69" s="41" t="str">
        <f t="shared" si="1"/>
        <v/>
      </c>
    </row>
    <row r="70" spans="3:3" ht="15" x14ac:dyDescent="0.2">
      <c r="C70" s="41" t="str">
        <f t="shared" si="1"/>
        <v/>
      </c>
    </row>
    <row r="71" spans="3:3" ht="15" x14ac:dyDescent="0.2">
      <c r="C71" s="41" t="str">
        <f t="shared" si="1"/>
        <v/>
      </c>
    </row>
    <row r="72" spans="3:3" ht="15" x14ac:dyDescent="0.2">
      <c r="C72" s="41" t="str">
        <f t="shared" si="1"/>
        <v/>
      </c>
    </row>
    <row r="73" spans="3:3" ht="15" x14ac:dyDescent="0.2">
      <c r="C73" s="41" t="str">
        <f t="shared" si="1"/>
        <v/>
      </c>
    </row>
    <row r="74" spans="3:3" ht="15" x14ac:dyDescent="0.2">
      <c r="C74" s="41" t="str">
        <f t="shared" si="1"/>
        <v/>
      </c>
    </row>
    <row r="75" spans="3:3" ht="15" x14ac:dyDescent="0.2">
      <c r="C75" s="41" t="str">
        <f t="shared" si="1"/>
        <v/>
      </c>
    </row>
    <row r="76" spans="3:3" ht="15" x14ac:dyDescent="0.2">
      <c r="C76" s="41" t="str">
        <f t="shared" si="1"/>
        <v/>
      </c>
    </row>
    <row r="77" spans="3:3" ht="15" x14ac:dyDescent="0.2">
      <c r="C77" s="41" t="str">
        <f t="shared" si="1"/>
        <v/>
      </c>
    </row>
    <row r="78" spans="3:3" ht="15" x14ac:dyDescent="0.2">
      <c r="C78" s="41" t="str">
        <f t="shared" si="1"/>
        <v/>
      </c>
    </row>
    <row r="79" spans="3:3" ht="15" x14ac:dyDescent="0.2">
      <c r="C79" s="41" t="str">
        <f t="shared" si="1"/>
        <v/>
      </c>
    </row>
    <row r="80" spans="3:3" ht="15" x14ac:dyDescent="0.2">
      <c r="C80" s="41" t="str">
        <f t="shared" si="1"/>
        <v/>
      </c>
    </row>
    <row r="81" spans="3:3" ht="15" x14ac:dyDescent="0.2">
      <c r="C81" s="41" t="str">
        <f t="shared" si="1"/>
        <v/>
      </c>
    </row>
    <row r="82" spans="3:3" ht="15" x14ac:dyDescent="0.2">
      <c r="C82" s="41" t="str">
        <f t="shared" si="1"/>
        <v/>
      </c>
    </row>
    <row r="83" spans="3:3" ht="15" x14ac:dyDescent="0.2">
      <c r="C83" s="41" t="str">
        <f t="shared" si="1"/>
        <v/>
      </c>
    </row>
    <row r="84" spans="3:3" ht="15" x14ac:dyDescent="0.2">
      <c r="C84" s="41" t="str">
        <f t="shared" si="1"/>
        <v/>
      </c>
    </row>
    <row r="85" spans="3:3" ht="15" x14ac:dyDescent="0.2">
      <c r="C85" s="41" t="str">
        <f t="shared" si="1"/>
        <v/>
      </c>
    </row>
    <row r="86" spans="3:3" ht="15" x14ac:dyDescent="0.2">
      <c r="C86" s="41" t="str">
        <f t="shared" si="1"/>
        <v/>
      </c>
    </row>
    <row r="87" spans="3:3" ht="15" x14ac:dyDescent="0.2">
      <c r="C87" s="41" t="str">
        <f t="shared" si="1"/>
        <v/>
      </c>
    </row>
    <row r="88" spans="3:3" ht="15" x14ac:dyDescent="0.2">
      <c r="C88" s="41" t="str">
        <f t="shared" si="1"/>
        <v/>
      </c>
    </row>
    <row r="89" spans="3:3" s="9" customFormat="1" x14ac:dyDescent="0.1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6796875" defaultRowHeight="12.75" x14ac:dyDescent="0.15"/>
  <cols>
    <col min="1" max="1" width="20.49609375" bestFit="1" customWidth="1"/>
    <col min="2" max="3" width="4.71875" customWidth="1"/>
    <col min="4" max="4" width="7.14453125" customWidth="1"/>
    <col min="5" max="6" width="11.0546875" customWidth="1"/>
    <col min="7" max="7" width="30.609375" bestFit="1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 ca="1">IF(OR(A2="",ISNUMBER(A2)),"","X")</f>
        <v/>
      </c>
      <c r="J2" s="40" t="s">
        <v>584</v>
      </c>
    </row>
    <row r="3" spans="1:10" ht="14.25" x14ac:dyDescent="0.15">
      <c r="A3" s="17">
        <f t="shared" ca="1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 ca="1"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ca="1" si="2"/>
        <v/>
      </c>
      <c r="J4" s="40" t="s">
        <v>209</v>
      </c>
    </row>
    <row r="5" spans="1:10" ht="14.25" x14ac:dyDescent="0.15">
      <c r="A5" s="17">
        <f t="shared" ca="1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ca="1" si="2"/>
        <v/>
      </c>
      <c r="J6" s="40" t="s">
        <v>602</v>
      </c>
    </row>
    <row r="7" spans="1:10" ht="14.25" x14ac:dyDescent="0.15">
      <c r="A7" s="17">
        <f t="shared" ca="1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 ca="1"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ca="1" si="2"/>
        <v/>
      </c>
      <c r="J8" s="40" t="s">
        <v>590</v>
      </c>
    </row>
    <row r="9" spans="1:10" ht="14.25" x14ac:dyDescent="0.15">
      <c r="A9" s="17">
        <f t="shared" ca="1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ca="1" si="2"/>
        <v/>
      </c>
      <c r="J9" s="40" t="s">
        <v>589</v>
      </c>
    </row>
    <row r="10" spans="1:10" ht="14.25" x14ac:dyDescent="0.15">
      <c r="A10" s="17">
        <f t="shared" ca="1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ca="1" si="2"/>
        <v/>
      </c>
      <c r="J10" s="40" t="s">
        <v>579</v>
      </c>
    </row>
    <row r="11" spans="1:10" ht="14.25" x14ac:dyDescent="0.15">
      <c r="A11" s="17">
        <f t="shared" ca="1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ca="1" si="2"/>
        <v/>
      </c>
      <c r="J11" s="40" t="s">
        <v>586</v>
      </c>
    </row>
    <row r="12" spans="1:10" ht="14.25" x14ac:dyDescent="0.15">
      <c r="A12" s="17">
        <f t="shared" ca="1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ca="1" si="2"/>
        <v/>
      </c>
      <c r="J12" s="40" t="s">
        <v>598</v>
      </c>
    </row>
    <row r="13" spans="1:10" ht="14.25" x14ac:dyDescent="0.15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4.25" x14ac:dyDescent="0.15">
      <c r="A14" s="17">
        <f t="shared" ca="1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ca="1" si="2"/>
        <v/>
      </c>
      <c r="J14" s="40" t="s">
        <v>599</v>
      </c>
    </row>
    <row r="15" spans="1:10" ht="14.25" x14ac:dyDescent="0.15">
      <c r="A15" s="17" t="str">
        <f t="shared" ca="1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ca="1" si="2"/>
        <v>X</v>
      </c>
      <c r="J15" s="40" t="s">
        <v>143</v>
      </c>
    </row>
    <row r="16" spans="1:10" ht="14.25" x14ac:dyDescent="0.15">
      <c r="A16" s="17">
        <f t="shared" ca="1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 ca="1"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ca="1" si="2"/>
        <v/>
      </c>
      <c r="J18" s="40" t="s">
        <v>609</v>
      </c>
    </row>
    <row r="19" spans="1:10" ht="14.25" x14ac:dyDescent="0.15">
      <c r="A19" s="17">
        <f t="shared" ca="1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 ca="1"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ca="1" si="2"/>
        <v/>
      </c>
      <c r="J20" s="40" t="s">
        <v>606</v>
      </c>
    </row>
    <row r="21" spans="1:10" ht="14.25" x14ac:dyDescent="0.15">
      <c r="A21" s="17">
        <f t="shared" ca="1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 ca="1"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ca="1" si="2"/>
        <v/>
      </c>
      <c r="J21" s="40" t="s">
        <v>607</v>
      </c>
    </row>
    <row r="22" spans="1:10" ht="14.25" x14ac:dyDescent="0.15">
      <c r="A22" s="17">
        <f t="shared" ca="1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 ca="1"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ca="1" si="2"/>
        <v/>
      </c>
      <c r="J22" s="40" t="s">
        <v>610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6796875" defaultRowHeight="12.75" x14ac:dyDescent="0.15"/>
  <cols>
    <col min="1" max="1" width="23.05859375" bestFit="1" customWidth="1"/>
    <col min="2" max="3" width="4.71875" customWidth="1"/>
    <col min="4" max="4" width="6.2031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 ca="1"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 ca="1">IF(OR(A2="",ISNUMBER(A2)),"","X")</f>
        <v>X</v>
      </c>
      <c r="J2" s="40" t="s">
        <v>172</v>
      </c>
    </row>
    <row r="3" spans="1:10" ht="14.25" x14ac:dyDescent="0.15">
      <c r="A3" s="17" t="str">
        <f t="shared" ca="1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 ca="1"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ca="1" si="2">IF(OR(A3="",ISNUMBER(A3)),"","X")</f>
        <v>X</v>
      </c>
      <c r="J3" s="40" t="s">
        <v>174</v>
      </c>
    </row>
    <row r="4" spans="1:10" ht="14.25" x14ac:dyDescent="0.15">
      <c r="A4" s="17" t="str">
        <f t="shared" ca="1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 ca="1"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ca="1" si="2"/>
        <v>X</v>
      </c>
      <c r="J4" s="40" t="s">
        <v>175</v>
      </c>
    </row>
    <row r="5" spans="1:10" ht="14.25" x14ac:dyDescent="0.15">
      <c r="A5" s="17" t="str">
        <f t="shared" ca="1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 ca="1"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ca="1" si="2"/>
        <v>X</v>
      </c>
      <c r="J5" s="40" t="s">
        <v>176</v>
      </c>
    </row>
    <row r="6" spans="1:10" ht="14.25" x14ac:dyDescent="0.15">
      <c r="A6" s="17" t="str">
        <f t="shared" ca="1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 ca="1"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ca="1" si="2"/>
        <v>X</v>
      </c>
      <c r="J6" s="40" t="s">
        <v>177</v>
      </c>
    </row>
    <row r="7" spans="1:10" ht="14.25" x14ac:dyDescent="0.15">
      <c r="A7" s="17">
        <f t="shared" ca="1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 ca="1"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ca="1" si="2"/>
        <v/>
      </c>
      <c r="J7" s="40" t="s">
        <v>583</v>
      </c>
    </row>
    <row r="8" spans="1:10" ht="14.25" x14ac:dyDescent="0.15">
      <c r="A8" s="17" t="str">
        <f t="shared" ca="1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ca="1" si="2"/>
        <v>X</v>
      </c>
      <c r="J8" s="40" t="s">
        <v>178</v>
      </c>
    </row>
    <row r="9" spans="1:10" ht="14.25" x14ac:dyDescent="0.15">
      <c r="A9" s="17" t="str">
        <f t="shared" ca="1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ca="1" si="2"/>
        <v>X</v>
      </c>
      <c r="J9" s="40" t="s">
        <v>179</v>
      </c>
    </row>
    <row r="10" spans="1:10" ht="14.25" x14ac:dyDescent="0.15">
      <c r="A10" s="17" t="str">
        <f t="shared" ca="1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ca="1" si="2"/>
        <v>X</v>
      </c>
      <c r="J10" s="40" t="s">
        <v>180</v>
      </c>
    </row>
    <row r="11" spans="1:10" ht="14.25" x14ac:dyDescent="0.15">
      <c r="A11" s="17" t="str">
        <f t="shared" ca="1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ca="1" si="2"/>
        <v>X</v>
      </c>
      <c r="J11" s="40" t="s">
        <v>181</v>
      </c>
    </row>
    <row r="12" spans="1:10" ht="14.25" x14ac:dyDescent="0.15">
      <c r="A12" s="17" t="str">
        <f t="shared" ca="1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ca="1" si="2"/>
        <v>X</v>
      </c>
      <c r="J12" s="40" t="s">
        <v>182</v>
      </c>
    </row>
    <row r="13" spans="1:10" ht="14.25" x14ac:dyDescent="0.15">
      <c r="A13" s="17" t="str">
        <f t="shared" ca="1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ca="1" si="2"/>
        <v>X</v>
      </c>
      <c r="J13" s="40" t="s">
        <v>183</v>
      </c>
    </row>
    <row r="14" spans="1:10" ht="14.25" x14ac:dyDescent="0.15">
      <c r="A14" s="17" t="str">
        <f t="shared" ca="1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 ca="1"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ca="1" si="2"/>
        <v>X</v>
      </c>
      <c r="J14" s="40" t="s">
        <v>184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ca="1" si="2"/>
        <v>X</v>
      </c>
      <c r="J15" s="40" t="s">
        <v>157</v>
      </c>
    </row>
    <row r="16" spans="1:10" ht="14.25" x14ac:dyDescent="0.15">
      <c r="A16" s="17" t="str">
        <f t="shared" ca="1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 ca="1"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ca="1" si="2"/>
        <v>X</v>
      </c>
      <c r="J16" s="40" t="s">
        <v>150</v>
      </c>
    </row>
    <row r="17" spans="1:10" ht="14.25" x14ac:dyDescent="0.15">
      <c r="A17" s="17" t="str">
        <f t="shared" ca="1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 ca="1"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ca="1" si="2"/>
        <v>X</v>
      </c>
      <c r="J17" s="40" t="s">
        <v>185</v>
      </c>
    </row>
    <row r="18" spans="1:10" ht="14.25" x14ac:dyDescent="0.15">
      <c r="A18" s="17" t="str">
        <f t="shared" ca="1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 ca="1"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ca="1" si="2"/>
        <v>X</v>
      </c>
      <c r="J18" s="40" t="s">
        <v>186</v>
      </c>
    </row>
    <row r="19" spans="1:10" ht="14.25" x14ac:dyDescent="0.15">
      <c r="A19" s="17">
        <f t="shared" ca="1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 ca="1"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ca="1" si="2"/>
        <v/>
      </c>
      <c r="J19" s="40" t="s">
        <v>587</v>
      </c>
    </row>
    <row r="20" spans="1:10" ht="14.25" x14ac:dyDescent="0.15">
      <c r="A20" s="17" t="str">
        <f t="shared" ca="1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 ca="1"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ca="1" si="2"/>
        <v>X</v>
      </c>
      <c r="J20" s="40" t="s">
        <v>187</v>
      </c>
    </row>
    <row r="21" spans="1:10" ht="14.25" x14ac:dyDescent="0.15">
      <c r="A21" s="17">
        <f t="shared" ca="1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 ca="1"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ca="1" si="2"/>
        <v/>
      </c>
      <c r="J21" s="40" t="s">
        <v>579</v>
      </c>
    </row>
    <row r="22" spans="1:10" ht="14.25" x14ac:dyDescent="0.15">
      <c r="A22" s="17" t="str">
        <f t="shared" ca="1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 ca="1"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ca="1" si="2"/>
        <v>X</v>
      </c>
      <c r="J22" s="40" t="s">
        <v>188</v>
      </c>
    </row>
    <row r="23" spans="1:10" ht="14.25" x14ac:dyDescent="0.15">
      <c r="A23" s="17">
        <f t="shared" ca="1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ca="1" si="2"/>
        <v/>
      </c>
      <c r="J23" s="40" t="s">
        <v>593</v>
      </c>
    </row>
    <row r="24" spans="1:10" ht="14.25" x14ac:dyDescent="0.15">
      <c r="A24" s="17" t="str">
        <f t="shared" ca="1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ca="1" si="2"/>
        <v>X</v>
      </c>
      <c r="J24" s="40" t="s">
        <v>189</v>
      </c>
    </row>
    <row r="25" spans="1:10" ht="14.25" x14ac:dyDescent="0.15">
      <c r="A25" s="17">
        <f t="shared" ca="1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ca="1" si="2"/>
        <v/>
      </c>
      <c r="J25" s="40" t="s">
        <v>600</v>
      </c>
    </row>
    <row r="26" spans="1:10" ht="14.25" x14ac:dyDescent="0.15">
      <c r="A26" s="17" t="str">
        <f t="shared" ca="1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 ca="1"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ca="1" si="2"/>
        <v>X</v>
      </c>
      <c r="J26" s="40" t="s">
        <v>190</v>
      </c>
    </row>
    <row r="27" spans="1:10" ht="14.25" x14ac:dyDescent="0.15">
      <c r="A27" s="17" t="str">
        <f t="shared" ca="1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ca="1" si="2"/>
        <v>X</v>
      </c>
      <c r="J27" s="40" t="s">
        <v>191</v>
      </c>
    </row>
    <row r="28" spans="1:10" ht="14.25" x14ac:dyDescent="0.15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4.25" x14ac:dyDescent="0.15">
      <c r="A29" s="17" t="str">
        <f t="shared" ca="1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 ca="1"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ca="1" si="2"/>
        <v>X</v>
      </c>
      <c r="J29" s="40" t="s">
        <v>193</v>
      </c>
    </row>
    <row r="30" spans="1:10" ht="14.25" x14ac:dyDescent="0.15">
      <c r="A30" s="17" t="str">
        <f t="shared" ca="1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 ca="1"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ca="1" si="2"/>
        <v>X</v>
      </c>
      <c r="J30" s="40" t="s">
        <v>194</v>
      </c>
    </row>
    <row r="31" spans="1:10" ht="14.25" x14ac:dyDescent="0.15">
      <c r="A31" s="17" t="str">
        <f t="shared" ca="1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 ca="1"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ca="1" si="2"/>
        <v>X</v>
      </c>
      <c r="J31" s="40" t="s">
        <v>195</v>
      </c>
    </row>
    <row r="32" spans="1:10" ht="14.25" x14ac:dyDescent="0.15">
      <c r="A32" s="17" t="str">
        <f t="shared" ca="1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 ca="1"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ca="1" si="2"/>
        <v>X</v>
      </c>
      <c r="J32" s="40" t="s">
        <v>196</v>
      </c>
    </row>
    <row r="33" spans="1:10" ht="14.25" x14ac:dyDescent="0.15">
      <c r="A33" s="17" t="str">
        <f t="shared" ca="1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 ca="1"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ca="1" si="2"/>
        <v>X</v>
      </c>
      <c r="J33" s="40" t="s">
        <v>197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 ca="1"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ca="1" si="2"/>
        <v>X</v>
      </c>
      <c r="J34" s="40" t="s">
        <v>198</v>
      </c>
    </row>
    <row r="35" spans="1:10" ht="14.25" x14ac:dyDescent="0.15">
      <c r="A35" s="17">
        <f t="shared" ca="1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 ca="1"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ca="1" si="2"/>
        <v/>
      </c>
      <c r="J35" s="40" t="s">
        <v>641</v>
      </c>
    </row>
    <row r="36" spans="1:10" ht="14.25" x14ac:dyDescent="0.15">
      <c r="A36" s="17" t="str">
        <f t="shared" ca="1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 ca="1"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ca="1" si="2"/>
        <v>X</v>
      </c>
      <c r="J36" s="40" t="s">
        <v>199</v>
      </c>
    </row>
    <row r="37" spans="1:10" ht="14.25" x14ac:dyDescent="0.15">
      <c r="A37" s="17" t="str">
        <f t="shared" ca="1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 ca="1"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ca="1" si="2"/>
        <v>X</v>
      </c>
      <c r="J37" s="40" t="s">
        <v>200</v>
      </c>
    </row>
    <row r="38" spans="1:10" ht="14.25" x14ac:dyDescent="0.15">
      <c r="A38" s="17" t="str">
        <f t="shared" ca="1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 ca="1"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ca="1" si="2"/>
        <v>X</v>
      </c>
      <c r="J38" s="40" t="s">
        <v>201</v>
      </c>
    </row>
    <row r="39" spans="1:10" ht="14.25" x14ac:dyDescent="0.15">
      <c r="A39" s="17" t="str">
        <f t="shared" ca="1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 ca="1"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ca="1" si="2"/>
        <v>X</v>
      </c>
      <c r="J39" s="40" t="s">
        <v>202</v>
      </c>
    </row>
    <row r="40" spans="1:10" ht="14.25" x14ac:dyDescent="0.15">
      <c r="A40" s="17" t="str">
        <f t="shared" ca="1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 ca="1"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ca="1" si="2"/>
        <v>X</v>
      </c>
      <c r="J40" s="40" t="s">
        <v>155</v>
      </c>
    </row>
    <row r="41" spans="1:10" ht="14.25" x14ac:dyDescent="0.15">
      <c r="A41" s="17">
        <f t="shared" ca="1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 ca="1"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ca="1" si="2"/>
        <v/>
      </c>
      <c r="J41" s="40" t="s">
        <v>614</v>
      </c>
    </row>
    <row r="42" spans="1:10" ht="14.25" x14ac:dyDescent="0.15">
      <c r="A42" s="17" t="str">
        <f t="shared" ca="1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 ca="1"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ca="1" si="2"/>
        <v>X</v>
      </c>
      <c r="J42" s="40" t="s">
        <v>203</v>
      </c>
    </row>
    <row r="43" spans="1:10" ht="14.25" x14ac:dyDescent="0.15">
      <c r="A43" s="17" t="str">
        <f t="shared" ca="1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 ca="1"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ca="1" si="2"/>
        <v>X</v>
      </c>
      <c r="J43" s="40" t="s">
        <v>204</v>
      </c>
    </row>
    <row r="44" spans="1:10" ht="14.25" x14ac:dyDescent="0.15">
      <c r="A44" s="17" t="str">
        <f t="shared" ca="1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 ca="1"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ca="1" si="2"/>
        <v>X</v>
      </c>
      <c r="J44" s="40" t="s">
        <v>206</v>
      </c>
    </row>
    <row r="45" spans="1:10" ht="14.25" x14ac:dyDescent="0.15">
      <c r="A45" s="17" t="str">
        <f t="shared" ca="1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 ca="1"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ca="1" si="2"/>
        <v>X</v>
      </c>
      <c r="J45" s="40" t="s">
        <v>207</v>
      </c>
    </row>
    <row r="46" spans="1:10" ht="14.25" x14ac:dyDescent="0.15">
      <c r="A46" s="17" t="str">
        <f t="shared" ca="1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 ca="1"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ca="1" si="2"/>
        <v>X</v>
      </c>
      <c r="J46" s="40" t="s">
        <v>142</v>
      </c>
    </row>
    <row r="47" spans="1:10" ht="14.25" x14ac:dyDescent="0.15">
      <c r="A47" s="17" t="str">
        <f t="shared" ca="1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 ca="1"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ca="1" si="2"/>
        <v>X</v>
      </c>
      <c r="J47" s="40" t="s">
        <v>208</v>
      </c>
    </row>
    <row r="48" spans="1:10" ht="14.25" x14ac:dyDescent="0.15">
      <c r="A48" s="17">
        <f t="shared" ca="1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 ca="1"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ca="1" si="2"/>
        <v/>
      </c>
      <c r="J48" s="40" t="s">
        <v>209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15.2382812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ca="1" si="2">IF(OR(A3="",ISNUMBER(A3)),"","X")</f>
        <v/>
      </c>
      <c r="J3" s="40" t="s">
        <v>581</v>
      </c>
    </row>
    <row r="4" spans="1:10" ht="14.25" x14ac:dyDescent="0.15">
      <c r="A4" s="17">
        <f t="shared" ca="1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 ca="1"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ca="1" si="2"/>
        <v/>
      </c>
      <c r="J4" s="40" t="s">
        <v>584</v>
      </c>
    </row>
    <row r="5" spans="1:10" ht="14.25" x14ac:dyDescent="0.15">
      <c r="A5" s="17">
        <f t="shared" ca="1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 ca="1"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ca="1" si="2"/>
        <v/>
      </c>
      <c r="J6" s="40" t="s">
        <v>588</v>
      </c>
    </row>
    <row r="7" spans="1:10" ht="14.25" x14ac:dyDescent="0.15">
      <c r="A7" s="17">
        <f t="shared" ca="1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 ca="1"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ca="1" si="2"/>
        <v/>
      </c>
      <c r="J7" s="40" t="s">
        <v>582</v>
      </c>
    </row>
    <row r="8" spans="1:10" ht="14.25" x14ac:dyDescent="0.15">
      <c r="A8" s="17">
        <f t="shared" ca="1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 ca="1"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ca="1" si="2"/>
        <v/>
      </c>
      <c r="J8" s="40" t="s">
        <v>595</v>
      </c>
    </row>
    <row r="9" spans="1:10" ht="14.25" x14ac:dyDescent="0.15">
      <c r="A9" s="17">
        <f t="shared" ca="1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 ca="1"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ca="1" si="2"/>
        <v/>
      </c>
      <c r="J9" s="40" t="s">
        <v>209</v>
      </c>
    </row>
    <row r="10" spans="1:10" ht="14.25" x14ac:dyDescent="0.15">
      <c r="A10" s="17">
        <f t="shared" ca="1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ca="1" si="2"/>
        <v/>
      </c>
      <c r="J11" s="40" t="s">
        <v>594</v>
      </c>
    </row>
    <row r="12" spans="1:10" ht="14.25" x14ac:dyDescent="0.15">
      <c r="A12" s="17">
        <f t="shared" ca="1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ca="1" si="2"/>
        <v/>
      </c>
      <c r="J15" s="40" t="s">
        <v>598</v>
      </c>
    </row>
    <row r="16" spans="1:10" ht="14.25" x14ac:dyDescent="0.15">
      <c r="A16" s="17">
        <f t="shared" ca="1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 ca="1"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ca="1" si="2"/>
        <v/>
      </c>
      <c r="J18" s="40" t="s">
        <v>610</v>
      </c>
    </row>
    <row r="19" spans="1:10" ht="14.25" x14ac:dyDescent="0.15">
      <c r="A19" s="17">
        <f t="shared" ca="1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ca="1" si="2"/>
        <v/>
      </c>
      <c r="J19" s="40" t="s">
        <v>600</v>
      </c>
    </row>
    <row r="20" spans="1:10" ht="14.25" x14ac:dyDescent="0.15">
      <c r="A20" s="17">
        <f t="shared" ca="1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 ca="1"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ca="1" si="2"/>
        <v/>
      </c>
      <c r="J20" s="40" t="s">
        <v>596</v>
      </c>
    </row>
    <row r="21" spans="1:10" ht="14.25" x14ac:dyDescent="0.15">
      <c r="A21" s="17">
        <f t="shared" ca="1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ca="1" si="2"/>
        <v/>
      </c>
      <c r="J21" s="40" t="s">
        <v>618</v>
      </c>
    </row>
    <row r="22" spans="1:10" ht="14.25" x14ac:dyDescent="0.15">
      <c r="A22" s="17">
        <f t="shared" ca="1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 ca="1"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ca="1" si="2"/>
        <v/>
      </c>
      <c r="J22" s="40" t="s">
        <v>585</v>
      </c>
    </row>
    <row r="23" spans="1:10" ht="14.25" x14ac:dyDescent="0.15">
      <c r="A23" s="17">
        <f t="shared" ca="1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1.9804687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4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 ca="1">IF(OR(A2="",ISNUMBER(A2)),"","X")</f>
        <v/>
      </c>
      <c r="J2" s="40" t="s">
        <v>583</v>
      </c>
    </row>
    <row r="3" spans="1:10" ht="14.25" x14ac:dyDescent="0.15">
      <c r="A3" s="24">
        <f t="shared" ca="1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 ca="1"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ca="1" si="2">IF(OR(A3="",ISNUMBER(A3)),"","X")</f>
        <v/>
      </c>
      <c r="J3" s="40" t="s">
        <v>579</v>
      </c>
    </row>
    <row r="4" spans="1:10" ht="14.25" x14ac:dyDescent="0.15">
      <c r="A4" s="24" t="str">
        <f t="shared" ca="1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 ca="1"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ca="1" si="2"/>
        <v>X</v>
      </c>
      <c r="J4" s="40" t="s">
        <v>157</v>
      </c>
    </row>
    <row r="5" spans="1:10" ht="14.25" x14ac:dyDescent="0.15">
      <c r="A5" s="24">
        <f t="shared" ca="1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 ca="1"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ca="1" si="2"/>
        <v/>
      </c>
      <c r="J5" s="40" t="s">
        <v>582</v>
      </c>
    </row>
    <row r="6" spans="1:10" ht="14.25" x14ac:dyDescent="0.15">
      <c r="A6" s="24">
        <f t="shared" ca="1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 ca="1"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ca="1" si="2"/>
        <v/>
      </c>
      <c r="J6" s="40" t="s">
        <v>586</v>
      </c>
    </row>
    <row r="7" spans="1:10" ht="14.25" x14ac:dyDescent="0.15">
      <c r="A7" s="24">
        <f t="shared" ca="1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ca="1" si="2"/>
        <v/>
      </c>
      <c r="J7" s="40" t="s">
        <v>584</v>
      </c>
    </row>
    <row r="8" spans="1:10" ht="14.25" x14ac:dyDescent="0.15">
      <c r="A8" s="24">
        <f t="shared" ca="1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ca="1" si="2"/>
        <v/>
      </c>
      <c r="J8" s="40" t="s">
        <v>587</v>
      </c>
    </row>
    <row r="9" spans="1:10" ht="14.25" x14ac:dyDescent="0.15">
      <c r="A9" s="24">
        <f t="shared" ca="1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ca="1" si="2"/>
        <v/>
      </c>
      <c r="J9" s="40" t="s">
        <v>589</v>
      </c>
    </row>
    <row r="10" spans="1:10" ht="14.25" x14ac:dyDescent="0.15">
      <c r="A10" s="24">
        <f t="shared" ca="1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ca="1" si="2"/>
        <v/>
      </c>
      <c r="J10" s="40" t="s">
        <v>594</v>
      </c>
    </row>
    <row r="11" spans="1:10" ht="14.25" x14ac:dyDescent="0.15">
      <c r="A11" s="24">
        <f t="shared" ca="1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 ca="1"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ca="1" si="2"/>
        <v/>
      </c>
      <c r="J11" s="40" t="s">
        <v>596</v>
      </c>
    </row>
    <row r="12" spans="1:10" ht="14.25" x14ac:dyDescent="0.15">
      <c r="A12" s="24">
        <f t="shared" ca="1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ca="1" si="2"/>
        <v/>
      </c>
      <c r="J12" s="40" t="s">
        <v>601</v>
      </c>
    </row>
    <row r="13" spans="1:10" ht="14.25" x14ac:dyDescent="0.15">
      <c r="A13" s="24">
        <f t="shared" ca="1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 ca="1"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ca="1" si="2"/>
        <v/>
      </c>
      <c r="J13" s="40" t="s">
        <v>641</v>
      </c>
    </row>
    <row r="14" spans="1:10" ht="14.25" x14ac:dyDescent="0.15">
      <c r="A14" s="24" t="str">
        <f t="shared" ca="1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 ca="1"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ca="1" si="2"/>
        <v>X</v>
      </c>
      <c r="J14" s="40" t="s">
        <v>211</v>
      </c>
    </row>
    <row r="15" spans="1:10" ht="14.25" x14ac:dyDescent="0.15">
      <c r="A15" s="24">
        <f t="shared" ca="1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ca="1" si="2"/>
        <v/>
      </c>
      <c r="J15" s="40" t="s">
        <v>600</v>
      </c>
    </row>
    <row r="16" spans="1:10" ht="14.25" x14ac:dyDescent="0.15">
      <c r="A16" s="24">
        <f t="shared" ca="1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 ca="1"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ca="1" si="2"/>
        <v/>
      </c>
      <c r="J16" s="40" t="s">
        <v>610</v>
      </c>
    </row>
    <row r="17" spans="1:10" ht="14.25" x14ac:dyDescent="0.15">
      <c r="A17" s="24">
        <f t="shared" ca="1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 ca="1"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ca="1" si="2"/>
        <v/>
      </c>
      <c r="J17" s="40" t="s">
        <v>606</v>
      </c>
    </row>
    <row r="18" spans="1:10" ht="14.25" x14ac:dyDescent="0.15">
      <c r="A18" s="24">
        <f t="shared" ca="1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ca="1" si="2"/>
        <v/>
      </c>
      <c r="J18" s="40" t="s">
        <v>605</v>
      </c>
    </row>
    <row r="19" spans="1:10" ht="14.25" x14ac:dyDescent="0.15">
      <c r="A19" s="24">
        <f t="shared" ca="1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 ca="1"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ca="1" si="2"/>
        <v/>
      </c>
      <c r="J19" s="40" t="s">
        <v>608</v>
      </c>
    </row>
    <row r="20" spans="1:10" ht="14.25" x14ac:dyDescent="0.15">
      <c r="A20" s="24">
        <f t="shared" ca="1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 ca="1"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ca="1" si="2"/>
        <v/>
      </c>
      <c r="J20" s="40" t="s">
        <v>614</v>
      </c>
    </row>
    <row r="21" spans="1:10" ht="14.25" x14ac:dyDescent="0.15">
      <c r="A21" s="24" t="str">
        <f t="shared" ca="1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 ca="1"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ca="1" si="2"/>
        <v>X</v>
      </c>
      <c r="J21" s="40" t="s">
        <v>155</v>
      </c>
    </row>
    <row r="22" spans="1:10" ht="14.25" x14ac:dyDescent="0.15">
      <c r="A22" s="24">
        <f t="shared" ca="1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 ca="1"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ca="1" si="2"/>
        <v/>
      </c>
      <c r="J22" s="40" t="s">
        <v>603</v>
      </c>
    </row>
    <row r="23" spans="1:10" ht="14.25" x14ac:dyDescent="0.15">
      <c r="A23" s="24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24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24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24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24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24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24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24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4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4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4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4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4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4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4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4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4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4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4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4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4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4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4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4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4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4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4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4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4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4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4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4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4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4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4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4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4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4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4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4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4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4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4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4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4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4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4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4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4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4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4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4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4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4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4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4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4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4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4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4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4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4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4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4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4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4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4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4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4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4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4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4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4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4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4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4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4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4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4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style="23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>
        <f t="shared" ca="1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 ca="1"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ca="1" si="2"/>
        <v/>
      </c>
      <c r="J4" s="40" t="s">
        <v>584</v>
      </c>
    </row>
    <row r="5" spans="1:10" ht="14.25" x14ac:dyDescent="0.15">
      <c r="A5" s="17" t="str">
        <f t="shared" ca="1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 ca="1"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ca="1" si="2"/>
        <v>X</v>
      </c>
      <c r="J5" s="40" t="s">
        <v>212</v>
      </c>
    </row>
    <row r="6" spans="1:10" ht="14.25" x14ac:dyDescent="0.15">
      <c r="A6" s="17">
        <f t="shared" ca="1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 ca="1"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ca="1" si="2"/>
        <v/>
      </c>
      <c r="J6" s="40" t="s">
        <v>585</v>
      </c>
    </row>
    <row r="7" spans="1:10" ht="14.25" x14ac:dyDescent="0.15">
      <c r="A7" s="17">
        <f t="shared" ca="1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 ca="1"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ca="1" si="2"/>
        <v/>
      </c>
      <c r="J7" s="40" t="s">
        <v>587</v>
      </c>
    </row>
    <row r="8" spans="1:10" ht="14.25" x14ac:dyDescent="0.15">
      <c r="A8" s="17">
        <f t="shared" ca="1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 ca="1"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ca="1" si="2"/>
        <v/>
      </c>
      <c r="J8" s="40" t="s">
        <v>586</v>
      </c>
    </row>
    <row r="9" spans="1:10" ht="14.25" x14ac:dyDescent="0.15">
      <c r="A9" s="17">
        <f t="shared" ca="1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 ca="1"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ca="1" si="2"/>
        <v/>
      </c>
      <c r="J9" s="40" t="s">
        <v>594</v>
      </c>
    </row>
    <row r="10" spans="1:10" ht="14.25" x14ac:dyDescent="0.15">
      <c r="A10" s="17">
        <f t="shared" ca="1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 ca="1"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ca="1" si="2"/>
        <v/>
      </c>
      <c r="J11" s="40" t="s">
        <v>579</v>
      </c>
    </row>
    <row r="12" spans="1:10" ht="14.25" x14ac:dyDescent="0.15">
      <c r="A12" s="17">
        <f t="shared" ca="1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 ca="1"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ca="1" si="2"/>
        <v/>
      </c>
      <c r="J13" s="40" t="s">
        <v>598</v>
      </c>
    </row>
    <row r="14" spans="1:10" ht="14.25" x14ac:dyDescent="0.15">
      <c r="A14" s="17">
        <f t="shared" ca="1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 ca="1"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ca="1" si="2"/>
        <v/>
      </c>
      <c r="J15" s="40" t="s">
        <v>602</v>
      </c>
    </row>
    <row r="16" spans="1:10" ht="14.25" x14ac:dyDescent="0.15">
      <c r="A16" s="17">
        <f t="shared" ca="1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 ca="1"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ca="1" si="2"/>
        <v/>
      </c>
      <c r="J17" s="40" t="s">
        <v>600</v>
      </c>
    </row>
    <row r="18" spans="1:10" ht="14.25" x14ac:dyDescent="0.15">
      <c r="A18" s="17">
        <f t="shared" ca="1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 ca="1"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ca="1" si="2"/>
        <v/>
      </c>
      <c r="J18" s="40" t="s">
        <v>605</v>
      </c>
    </row>
    <row r="19" spans="1:10" ht="14.25" x14ac:dyDescent="0.15">
      <c r="A19" s="17" t="str">
        <f t="shared" ca="1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ca="1" si="2"/>
        <v>X</v>
      </c>
      <c r="J19" s="40" t="s">
        <v>149</v>
      </c>
    </row>
    <row r="20" spans="1:10" ht="14.25" x14ac:dyDescent="0.15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 ca="1"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 ca="1"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ca="1" si="2"/>
        <v/>
      </c>
      <c r="J23" s="40" t="s">
        <v>613</v>
      </c>
    </row>
    <row r="24" spans="1:10" ht="14.25" x14ac:dyDescent="0.15">
      <c r="A24" s="17" t="str">
        <f t="shared" ca="1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 ca="1"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ca="1" si="2"/>
        <v>X</v>
      </c>
      <c r="J24" s="40" t="s">
        <v>140</v>
      </c>
    </row>
    <row r="25" spans="1:10" ht="14.25" x14ac:dyDescent="0.15">
      <c r="A25" s="17">
        <f t="shared" ca="1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 ca="1"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ca="1" si="2"/>
        <v/>
      </c>
      <c r="J25" s="40" t="s">
        <v>615</v>
      </c>
    </row>
    <row r="26" spans="1:10" ht="14.25" x14ac:dyDescent="0.15">
      <c r="A26" s="17">
        <f t="shared" ca="1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 ca="1"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ca="1" si="2"/>
        <v/>
      </c>
      <c r="J26" s="40" t="s">
        <v>614</v>
      </c>
    </row>
    <row r="27" spans="1:10" ht="14.25" x14ac:dyDescent="0.15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4.25" x14ac:dyDescent="0.15">
      <c r="A28" s="17">
        <f t="shared" ca="1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 ca="1"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ca="1" si="2"/>
        <v/>
      </c>
      <c r="J28" s="40" t="s">
        <v>618</v>
      </c>
    </row>
    <row r="29" spans="1:10" ht="14.25" x14ac:dyDescent="0.15">
      <c r="A29" s="17" t="str">
        <f t="shared" ca="1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ca="1" si="2"/>
        <v>X</v>
      </c>
      <c r="J29" s="40" t="s">
        <v>146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25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25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25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25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25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25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25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25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25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25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25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25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25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25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25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25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25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25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25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25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25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25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25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25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25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25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25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25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25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25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25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25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25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25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25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25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25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25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25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25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25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25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25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25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25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25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25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25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25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25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25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25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25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25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25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25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25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25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25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25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25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25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25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25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25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25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25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25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25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25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ht="14.25" x14ac:dyDescent="0.15">
      <c r="G102" s="25"/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>
        <f t="shared" ca="1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 ca="1"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ca="1" si="2"/>
        <v/>
      </c>
      <c r="J4" s="40" t="s">
        <v>595</v>
      </c>
    </row>
    <row r="5" spans="1:10" ht="14.25" x14ac:dyDescent="0.15">
      <c r="A5" s="17">
        <f t="shared" ca="1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 ca="1"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ca="1" si="2"/>
        <v/>
      </c>
      <c r="J5" s="40" t="s">
        <v>584</v>
      </c>
    </row>
    <row r="6" spans="1:10" ht="14.25" x14ac:dyDescent="0.15">
      <c r="A6" s="17">
        <f t="shared" ca="1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ca="1" si="2"/>
        <v/>
      </c>
      <c r="J6" s="40" t="s">
        <v>582</v>
      </c>
    </row>
    <row r="7" spans="1:10" ht="14.25" x14ac:dyDescent="0.15">
      <c r="A7" s="17">
        <f t="shared" ca="1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ca="1" si="2"/>
        <v/>
      </c>
      <c r="J7" s="40" t="s">
        <v>586</v>
      </c>
    </row>
    <row r="8" spans="1:10" ht="14.25" x14ac:dyDescent="0.15">
      <c r="A8" s="17">
        <f t="shared" ca="1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 ca="1"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ca="1" si="2"/>
        <v/>
      </c>
      <c r="J8" s="40" t="s">
        <v>579</v>
      </c>
    </row>
    <row r="9" spans="1:10" ht="14.25" x14ac:dyDescent="0.15">
      <c r="A9" s="17">
        <f t="shared" ca="1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ca="1" si="2"/>
        <v/>
      </c>
      <c r="J9" s="40" t="s">
        <v>591</v>
      </c>
    </row>
    <row r="10" spans="1:10" ht="14.25" x14ac:dyDescent="0.15">
      <c r="A10" s="17">
        <f t="shared" ca="1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ca="1" si="2"/>
        <v/>
      </c>
      <c r="J10" s="40" t="s">
        <v>597</v>
      </c>
    </row>
    <row r="11" spans="1:10" ht="14.25" x14ac:dyDescent="0.15">
      <c r="A11" s="17">
        <f t="shared" ca="1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ca="1" si="2"/>
        <v/>
      </c>
      <c r="J14" s="40" t="s">
        <v>594</v>
      </c>
    </row>
    <row r="15" spans="1:10" ht="14.25" x14ac:dyDescent="0.15">
      <c r="A15" s="17">
        <f t="shared" ca="1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ca="1" si="2"/>
        <v/>
      </c>
      <c r="J15" s="40" t="s">
        <v>600</v>
      </c>
    </row>
    <row r="16" spans="1:10" ht="14.25" x14ac:dyDescent="0.15">
      <c r="A16" s="17">
        <f t="shared" ca="1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 ca="1"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ca="1" si="2"/>
        <v/>
      </c>
      <c r="J18" s="40" t="s">
        <v>604</v>
      </c>
    </row>
    <row r="19" spans="1:10" ht="14.25" x14ac:dyDescent="0.15">
      <c r="A19" s="17">
        <f t="shared" ca="1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 ca="1"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ca="1" si="2"/>
        <v/>
      </c>
      <c r="J20" s="40" t="s">
        <v>617</v>
      </c>
    </row>
    <row r="21" spans="1:10" ht="14.25" x14ac:dyDescent="0.15">
      <c r="A21" s="17">
        <f t="shared" ca="1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ca="1" si="2"/>
        <v/>
      </c>
      <c r="J21" s="40" t="s">
        <v>613</v>
      </c>
    </row>
    <row r="22" spans="1:10" ht="14.25" x14ac:dyDescent="0.15">
      <c r="A22" s="17">
        <f t="shared" ca="1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ca="1" si="2"/>
        <v/>
      </c>
      <c r="J22" s="40" t="s">
        <v>616</v>
      </c>
    </row>
    <row r="23" spans="1:10" ht="14.25" x14ac:dyDescent="0.15">
      <c r="A23" s="17">
        <f t="shared" ca="1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ca="1" si="2"/>
        <v/>
      </c>
      <c r="J23" s="40" t="s">
        <v>611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44.0937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7"/>
      <c r="D3" s="17"/>
      <c r="E3" s="17"/>
      <c r="F3" s="17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7"/>
      <c r="D4" s="17"/>
      <c r="E4" s="17"/>
      <c r="F4" s="17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7"/>
      <c r="D5" s="17"/>
      <c r="E5" s="17"/>
      <c r="F5" s="17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7"/>
      <c r="D6" s="17"/>
      <c r="E6" s="17"/>
      <c r="F6" s="17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7"/>
      <c r="D7" s="17"/>
      <c r="E7" s="17"/>
      <c r="F7" s="17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7"/>
      <c r="D8" s="17"/>
      <c r="E8" s="17"/>
      <c r="F8" s="17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7"/>
      <c r="D9" s="17"/>
      <c r="E9" s="17"/>
      <c r="F9" s="17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7"/>
      <c r="D10" s="17"/>
      <c r="E10" s="17"/>
      <c r="F10" s="17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7"/>
      <c r="D11" s="17"/>
      <c r="E11" s="17"/>
      <c r="F11" s="17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7"/>
      <c r="D12" s="17"/>
      <c r="E12" s="17"/>
      <c r="F12" s="17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7"/>
      <c r="D13" s="17"/>
      <c r="E13" s="17"/>
      <c r="F13" s="17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7"/>
      <c r="D14" s="17"/>
      <c r="E14" s="17"/>
      <c r="F14" s="17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7"/>
      <c r="D15" s="17"/>
      <c r="E15" s="17"/>
      <c r="F15" s="17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7"/>
      <c r="D16" s="17"/>
      <c r="E16" s="17"/>
      <c r="F16" s="17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6796875" defaultRowHeight="12.75" x14ac:dyDescent="0.15"/>
  <cols>
    <col min="1" max="1" width="22.382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 ca="1"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ca="1" si="2">IF(OR(A3="",ISNUMBER(A3)),"","X")</f>
        <v/>
      </c>
      <c r="J3" s="40" t="s">
        <v>587</v>
      </c>
    </row>
    <row r="4" spans="1:10" ht="14.25" x14ac:dyDescent="0.15">
      <c r="A4" s="17">
        <f t="shared" ca="1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 ca="1"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ca="1" si="2"/>
        <v/>
      </c>
      <c r="J7" s="40" t="s">
        <v>603</v>
      </c>
    </row>
    <row r="8" spans="1:10" ht="14.25" x14ac:dyDescent="0.15">
      <c r="A8" s="17">
        <f t="shared" ca="1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ca="1" si="2"/>
        <v/>
      </c>
      <c r="J8" s="40" t="s">
        <v>601</v>
      </c>
    </row>
    <row r="9" spans="1:10" ht="14.25" x14ac:dyDescent="0.15">
      <c r="A9" s="17">
        <f t="shared" ca="1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ca="1" si="2"/>
        <v/>
      </c>
      <c r="J9" s="40" t="s">
        <v>606</v>
      </c>
    </row>
    <row r="10" spans="1:10" ht="14.25" x14ac:dyDescent="0.15">
      <c r="A10" s="17">
        <f t="shared" ca="1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 ca="1"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ca="1" si="2"/>
        <v/>
      </c>
      <c r="J10" s="40" t="s">
        <v>610</v>
      </c>
    </row>
    <row r="11" spans="1:10" ht="14.25" x14ac:dyDescent="0.15">
      <c r="A11" s="17" t="str">
        <f t="shared" ca="1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ca="1" si="2"/>
        <v>X</v>
      </c>
      <c r="J11" s="40" t="s">
        <v>141</v>
      </c>
    </row>
    <row r="12" spans="1:10" ht="14.25" x14ac:dyDescent="0.15">
      <c r="A12" s="17">
        <f t="shared" ca="1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ca="1" si="2"/>
        <v/>
      </c>
      <c r="J12" s="40" t="s">
        <v>605</v>
      </c>
    </row>
    <row r="13" spans="1:10" ht="14.25" x14ac:dyDescent="0.15">
      <c r="A13" s="17">
        <f t="shared" ca="1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ca="1" si="2"/>
        <v/>
      </c>
      <c r="J13" s="40" t="s">
        <v>596</v>
      </c>
    </row>
    <row r="14" spans="1:10" ht="14.25" x14ac:dyDescent="0.15">
      <c r="A14" s="17">
        <f t="shared" ca="1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ca="1" si="2"/>
        <v/>
      </c>
      <c r="J14" s="40" t="s">
        <v>613</v>
      </c>
    </row>
    <row r="15" spans="1:10" ht="14.25" x14ac:dyDescent="0.15">
      <c r="A15" s="17" t="str">
        <f t="shared" ca="1" si="0"/>
        <v>Brian Lincoln (Ratae)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ca="1" si="2"/>
        <v>X</v>
      </c>
      <c r="J15" s="40" t="s">
        <v>140</v>
      </c>
    </row>
    <row r="16" spans="1:10" ht="14.25" x14ac:dyDescent="0.15">
      <c r="A16" s="17">
        <f t="shared" ca="1" si="0"/>
        <v>1107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ca="1" si="2"/>
        <v/>
      </c>
      <c r="J16" s="40" t="s">
        <v>600</v>
      </c>
    </row>
    <row r="17" spans="1:10" ht="14.25" x14ac:dyDescent="0.15">
      <c r="A17" s="17">
        <f t="shared" ca="1" si="0"/>
        <v>1237</v>
      </c>
      <c r="B17" s="17"/>
      <c r="C17" s="17"/>
      <c r="D17" s="17"/>
      <c r="E17" s="17"/>
      <c r="F17" s="17" t="s">
        <v>215</v>
      </c>
      <c r="G17" s="19" t="str">
        <f ca="1"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Mike Deeley</v>
      </c>
      <c r="B18" s="17"/>
      <c r="C18" s="17"/>
      <c r="D18" s="17"/>
      <c r="E18" s="17"/>
      <c r="F18" s="17" t="s">
        <v>215</v>
      </c>
      <c r="G18" s="19" t="str">
        <f ca="1"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ca="1" si="2"/>
        <v>X</v>
      </c>
      <c r="J18" s="40" t="s">
        <v>216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 ca="1"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ca="1" si="2"/>
        <v/>
      </c>
      <c r="J4" s="40" t="s">
        <v>226</v>
      </c>
    </row>
    <row r="5" spans="1:10" ht="14.25" x14ac:dyDescent="0.15">
      <c r="A5" s="17">
        <f t="shared" ca="1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 ca="1"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ca="1" si="2"/>
        <v/>
      </c>
      <c r="J8" s="40" t="s">
        <v>603</v>
      </c>
    </row>
    <row r="9" spans="1:10" ht="14.25" x14ac:dyDescent="0.15">
      <c r="A9" s="17" t="str">
        <f t="shared" ca="1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 ca="1"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ca="1" si="2"/>
        <v>X</v>
      </c>
      <c r="J9" s="40" t="s">
        <v>217</v>
      </c>
    </row>
    <row r="10" spans="1:10" ht="14.25" x14ac:dyDescent="0.15">
      <c r="A10" s="17">
        <f t="shared" ca="1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 ca="1"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ca="1" si="2"/>
        <v/>
      </c>
      <c r="J10" s="40" t="s">
        <v>601</v>
      </c>
    </row>
    <row r="11" spans="1:10" ht="14.25" x14ac:dyDescent="0.15">
      <c r="A11" s="17">
        <f t="shared" ca="1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 ca="1"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ca="1" si="2"/>
        <v/>
      </c>
      <c r="J11" s="40" t="s">
        <v>623</v>
      </c>
    </row>
    <row r="12" spans="1:10" ht="14.25" x14ac:dyDescent="0.15">
      <c r="A12" s="17">
        <f t="shared" ca="1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ca="1" si="2"/>
        <v/>
      </c>
      <c r="J12" s="40" t="s">
        <v>613</v>
      </c>
    </row>
    <row r="13" spans="1:10" ht="14.25" x14ac:dyDescent="0.15">
      <c r="A13" s="17" t="str">
        <f t="shared" ca="1" si="0"/>
        <v>Lynne Scofield (RFW)</v>
      </c>
      <c r="B13" s="17"/>
      <c r="C13" s="17"/>
      <c r="D13" s="17"/>
      <c r="E13" s="17"/>
      <c r="F13" s="17" t="s">
        <v>215</v>
      </c>
      <c r="G13" s="19" t="str">
        <f ca="1"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ca="1" si="2"/>
        <v>X</v>
      </c>
      <c r="J13" s="40" t="s">
        <v>155</v>
      </c>
    </row>
    <row r="14" spans="1:10" ht="14.25" x14ac:dyDescent="0.15">
      <c r="A14" s="17">
        <f t="shared" ca="1" si="0"/>
        <v>1364</v>
      </c>
      <c r="B14" s="17"/>
      <c r="C14" s="17"/>
      <c r="D14" s="17"/>
      <c r="E14" s="17"/>
      <c r="F14" s="17" t="s">
        <v>215</v>
      </c>
      <c r="G14" s="19" t="str">
        <f ca="1"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ca="1" si="2"/>
        <v/>
      </c>
      <c r="J14" s="40" t="s">
        <v>209</v>
      </c>
    </row>
    <row r="15" spans="1:10" ht="14.25" x14ac:dyDescent="0.15">
      <c r="A15" s="17" t="str">
        <f t="shared" ca="1" si="0"/>
        <v>Phil Wilkinson (RFW)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1254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ca="1" si="2"/>
        <v/>
      </c>
      <c r="J16" s="40" t="s">
        <v>624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6796875" defaultRowHeight="12.75" x14ac:dyDescent="0.15"/>
  <cols>
    <col min="1" max="1" width="22.65234375" bestFit="1" customWidth="1"/>
    <col min="2" max="3" width="4.71875" customWidth="1"/>
    <col min="4" max="4" width="8.089843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>
        <f t="shared" ca="1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 ca="1"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ca="1" si="2"/>
        <v/>
      </c>
      <c r="J4" s="40" t="s">
        <v>619</v>
      </c>
    </row>
    <row r="5" spans="1:10" ht="14.25" x14ac:dyDescent="0.15">
      <c r="A5" s="17">
        <f t="shared" ca="1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ca="1" si="2"/>
        <v/>
      </c>
      <c r="J5" s="40" t="s">
        <v>588</v>
      </c>
    </row>
    <row r="6" spans="1:10" ht="14.25" x14ac:dyDescent="0.15">
      <c r="A6" s="17" t="str">
        <f t="shared" ca="1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 ca="1"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ca="1" si="2"/>
        <v>X</v>
      </c>
      <c r="J6" s="40" t="s">
        <v>157</v>
      </c>
    </row>
    <row r="7" spans="1:10" ht="14.25" x14ac:dyDescent="0.15">
      <c r="A7" s="17">
        <f t="shared" ca="1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ca="1" si="2"/>
        <v/>
      </c>
      <c r="J7" s="40" t="s">
        <v>590</v>
      </c>
    </row>
    <row r="8" spans="1:10" ht="14.25" x14ac:dyDescent="0.15">
      <c r="A8" s="17">
        <f t="shared" ca="1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ca="1" si="2"/>
        <v/>
      </c>
      <c r="J8" s="40" t="s">
        <v>620</v>
      </c>
    </row>
    <row r="9" spans="1:10" ht="14.25" x14ac:dyDescent="0.15">
      <c r="A9" s="17" t="str">
        <f t="shared" ca="1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ca="1" si="2"/>
        <v>X</v>
      </c>
      <c r="J9" s="40" t="s">
        <v>143</v>
      </c>
    </row>
    <row r="10" spans="1:10" ht="14.25" x14ac:dyDescent="0.15">
      <c r="A10" s="17">
        <f t="shared" ca="1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ca="1" si="2"/>
        <v/>
      </c>
      <c r="J11" s="40" t="s">
        <v>589</v>
      </c>
    </row>
    <row r="12" spans="1:10" ht="14.25" x14ac:dyDescent="0.15">
      <c r="A12" s="17" t="str">
        <f t="shared" ca="1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 ca="1"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ca="1" si="2"/>
        <v>X</v>
      </c>
      <c r="J12" s="40" t="s">
        <v>141</v>
      </c>
    </row>
    <row r="13" spans="1:10" ht="14.25" x14ac:dyDescent="0.15">
      <c r="A13" s="17">
        <f t="shared" ca="1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 ca="1"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ca="1" si="2"/>
        <v/>
      </c>
      <c r="J14" s="40" t="s">
        <v>601</v>
      </c>
    </row>
    <row r="15" spans="1:10" ht="14.25" x14ac:dyDescent="0.15">
      <c r="A15" s="17" t="str">
        <f t="shared" ca="1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 ca="1"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ca="1" si="2"/>
        <v>X</v>
      </c>
      <c r="J15" s="40" t="s">
        <v>191</v>
      </c>
    </row>
    <row r="16" spans="1:10" ht="14.25" x14ac:dyDescent="0.15">
      <c r="A16" s="17">
        <f t="shared" ca="1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 ca="1"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ca="1" si="2"/>
        <v/>
      </c>
      <c r="J16" s="40" t="s">
        <v>596</v>
      </c>
    </row>
    <row r="17" spans="1:10" ht="14.25" x14ac:dyDescent="0.15">
      <c r="A17" s="17">
        <f t="shared" ca="1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 ca="1"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ca="1" si="2"/>
        <v/>
      </c>
      <c r="J17" s="40" t="s">
        <v>621</v>
      </c>
    </row>
    <row r="18" spans="1:10" ht="14.25" x14ac:dyDescent="0.15">
      <c r="A18" s="17">
        <f t="shared" ca="1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ca="1" si="2"/>
        <v/>
      </c>
      <c r="J19" s="40" t="s">
        <v>610</v>
      </c>
    </row>
    <row r="20" spans="1:10" ht="14.25" x14ac:dyDescent="0.15">
      <c r="A20" s="17" t="str">
        <f t="shared" ca="1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 ca="1"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ca="1" si="2"/>
        <v>X</v>
      </c>
      <c r="J20" s="40" t="s">
        <v>149</v>
      </c>
    </row>
    <row r="21" spans="1:10" ht="14.25" x14ac:dyDescent="0.15">
      <c r="A21" s="17">
        <f t="shared" ca="1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ca="1" si="2"/>
        <v/>
      </c>
      <c r="J21" s="40" t="s">
        <v>622</v>
      </c>
    </row>
    <row r="22" spans="1:10" ht="14.25" x14ac:dyDescent="0.15">
      <c r="A22" s="17">
        <f t="shared" ca="1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 ca="1"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ca="1" si="2"/>
        <v/>
      </c>
      <c r="J22" s="40" t="s">
        <v>624</v>
      </c>
    </row>
    <row r="23" spans="1:10" ht="14.25" x14ac:dyDescent="0.15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4.25" x14ac:dyDescent="0.15">
      <c r="A24" s="17">
        <f t="shared" ca="1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ca="1" si="2"/>
        <v/>
      </c>
      <c r="J24" s="40" t="s">
        <v>605</v>
      </c>
    </row>
    <row r="25" spans="1:10" ht="14.25" x14ac:dyDescent="0.15">
      <c r="A25" s="17">
        <f t="shared" ca="1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 ca="1"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ca="1" si="2"/>
        <v/>
      </c>
      <c r="J25" s="40" t="s">
        <v>623</v>
      </c>
    </row>
    <row r="26" spans="1:10" ht="14.25" x14ac:dyDescent="0.15">
      <c r="A26" s="17" t="str">
        <f t="shared" ca="1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 ca="1"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ca="1" si="2"/>
        <v>X</v>
      </c>
      <c r="J26" s="40" t="s">
        <v>145</v>
      </c>
    </row>
    <row r="27" spans="1:10" ht="14.25" x14ac:dyDescent="0.15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4.25" x14ac:dyDescent="0.15">
      <c r="A28" s="17">
        <f t="shared" ca="1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 ca="1"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ca="1" si="2"/>
        <v/>
      </c>
      <c r="J28" s="40" t="s">
        <v>600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 ca="1"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ca="1" si="2"/>
        <v>X</v>
      </c>
      <c r="J29" s="40" t="s">
        <v>147</v>
      </c>
    </row>
    <row r="30" spans="1:10" ht="14.25" x14ac:dyDescent="0.15">
      <c r="A30" s="17">
        <f t="shared" ca="1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 ca="1"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ca="1" si="2"/>
        <v/>
      </c>
      <c r="J30" s="40" t="s">
        <v>611</v>
      </c>
    </row>
    <row r="31" spans="1:10" ht="14.25" x14ac:dyDescent="0.15">
      <c r="A31" s="17" t="str">
        <f t="shared" ca="1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 ca="1"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ca="1" si="2"/>
        <v>X</v>
      </c>
      <c r="J31" s="40" t="s">
        <v>155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 ca="1"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 ca="1">IF(OR(A2="",ISNUMBER(A2)),"","X")</f>
        <v>X</v>
      </c>
      <c r="J2" s="40" t="s">
        <v>219</v>
      </c>
    </row>
    <row r="3" spans="1:10" ht="14.25" x14ac:dyDescent="0.15">
      <c r="A3" s="17">
        <f t="shared" ca="1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 t="str">
        <f t="shared" ca="1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 ca="1"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ca="1" si="2"/>
        <v>X</v>
      </c>
      <c r="J4" s="40" t="s">
        <v>153</v>
      </c>
    </row>
    <row r="5" spans="1:10" ht="14.25" x14ac:dyDescent="0.15">
      <c r="A5" s="17" t="str">
        <f t="shared" ca="1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 ca="1"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ca="1" si="2"/>
        <v>X</v>
      </c>
      <c r="J5" s="40" t="s">
        <v>220</v>
      </c>
    </row>
    <row r="6" spans="1:10" ht="14.25" x14ac:dyDescent="0.15">
      <c r="A6" s="17">
        <f t="shared" ca="1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 ca="1"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ca="1" si="2"/>
        <v/>
      </c>
      <c r="J6" s="40" t="s">
        <v>584</v>
      </c>
    </row>
    <row r="7" spans="1:10" ht="14.25" x14ac:dyDescent="0.15">
      <c r="A7" s="17" t="str">
        <f t="shared" ca="1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ca="1" si="2"/>
        <v/>
      </c>
      <c r="J8" s="40" t="s">
        <v>586</v>
      </c>
    </row>
    <row r="9" spans="1:10" ht="14.25" x14ac:dyDescent="0.15">
      <c r="A9" s="17" t="str">
        <f t="shared" ca="1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ca="1" si="2"/>
        <v>X</v>
      </c>
      <c r="J9" s="40" t="s">
        <v>157</v>
      </c>
    </row>
    <row r="10" spans="1:10" ht="14.25" x14ac:dyDescent="0.15">
      <c r="A10" s="17">
        <f t="shared" ca="1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ca="1" si="2"/>
        <v/>
      </c>
      <c r="J10" s="40" t="s">
        <v>620</v>
      </c>
    </row>
    <row r="11" spans="1:10" ht="14.25" x14ac:dyDescent="0.15">
      <c r="A11" s="17" t="str">
        <f t="shared" ca="1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 ca="1"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ca="1" si="2"/>
        <v>X</v>
      </c>
      <c r="J11" s="40" t="s">
        <v>180</v>
      </c>
    </row>
    <row r="12" spans="1:10" ht="14.25" x14ac:dyDescent="0.15">
      <c r="A12" s="17" t="str">
        <f t="shared" ca="1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ca="1" si="2"/>
        <v/>
      </c>
      <c r="J13" s="40" t="s">
        <v>594</v>
      </c>
    </row>
    <row r="14" spans="1:10" ht="14.25" x14ac:dyDescent="0.15">
      <c r="A14" s="17">
        <f t="shared" ca="1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ca="1" si="2"/>
        <v/>
      </c>
      <c r="J14" s="40" t="s">
        <v>588</v>
      </c>
    </row>
    <row r="15" spans="1:10" ht="14.25" x14ac:dyDescent="0.15">
      <c r="A15" s="17">
        <f t="shared" ca="1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 ca="1"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ca="1" si="2"/>
        <v/>
      </c>
      <c r="J15" s="40" t="s">
        <v>590</v>
      </c>
    </row>
    <row r="16" spans="1:10" ht="14.25" x14ac:dyDescent="0.15">
      <c r="A16" s="17" t="str">
        <f t="shared" ca="1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 ca="1"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ca="1" si="2"/>
        <v>X</v>
      </c>
      <c r="J16" s="40" t="s">
        <v>221</v>
      </c>
    </row>
    <row r="17" spans="1:10" ht="14.25" x14ac:dyDescent="0.15">
      <c r="A17" s="17">
        <f t="shared" ca="1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ca="1" si="2"/>
        <v/>
      </c>
      <c r="J17" s="40" t="s">
        <v>603</v>
      </c>
    </row>
    <row r="18" spans="1:10" ht="14.25" x14ac:dyDescent="0.15">
      <c r="A18" s="17" t="str">
        <f t="shared" ca="1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 ca="1"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ca="1" si="2"/>
        <v>X</v>
      </c>
      <c r="J18" s="40" t="s">
        <v>222</v>
      </c>
    </row>
    <row r="19" spans="1:10" ht="14.25" x14ac:dyDescent="0.15">
      <c r="A19" s="17" t="str">
        <f t="shared" ca="1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 ca="1"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ca="1" si="2"/>
        <v>X</v>
      </c>
      <c r="J19" s="40" t="s">
        <v>223</v>
      </c>
    </row>
    <row r="20" spans="1:10" ht="14.25" x14ac:dyDescent="0.15">
      <c r="A20" s="17">
        <f t="shared" ca="1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 ca="1"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ca="1" si="2"/>
        <v/>
      </c>
      <c r="J20" s="40" t="s">
        <v>641</v>
      </c>
    </row>
    <row r="21" spans="1:10" ht="14.25" x14ac:dyDescent="0.15">
      <c r="A21" s="17">
        <f t="shared" ca="1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 ca="1"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ca="1" si="2"/>
        <v/>
      </c>
      <c r="J21" s="40" t="s">
        <v>601</v>
      </c>
    </row>
    <row r="22" spans="1:10" ht="14.25" x14ac:dyDescent="0.15">
      <c r="A22" s="17" t="str">
        <f t="shared" ca="1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ca="1" si="2"/>
        <v>X</v>
      </c>
      <c r="J22" s="40" t="s">
        <v>224</v>
      </c>
    </row>
    <row r="23" spans="1:10" ht="14.25" x14ac:dyDescent="0.15">
      <c r="A23" s="17">
        <f t="shared" ca="1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ca="1" si="2"/>
        <v>X</v>
      </c>
      <c r="J24" s="40" t="s">
        <v>225</v>
      </c>
    </row>
    <row r="25" spans="1:10" ht="14.25" x14ac:dyDescent="0.15">
      <c r="A25" s="17">
        <f t="shared" ca="1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ca="1" si="2"/>
        <v/>
      </c>
      <c r="J25" s="40" t="s">
        <v>613</v>
      </c>
    </row>
    <row r="26" spans="1:10" ht="14.25" x14ac:dyDescent="0.15">
      <c r="A26" s="17" t="str">
        <f t="shared" ca="1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 ca="1"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ca="1" si="2"/>
        <v>X</v>
      </c>
      <c r="J26" s="40" t="s">
        <v>155</v>
      </c>
    </row>
    <row r="27" spans="1:10" ht="14.25" x14ac:dyDescent="0.15">
      <c r="A27" s="17" t="str">
        <f t="shared" ca="1" si="0"/>
        <v>Mike Deely</v>
      </c>
      <c r="B27" s="17"/>
      <c r="C27" s="17"/>
      <c r="D27" s="17"/>
      <c r="E27" s="17"/>
      <c r="F27" s="17" t="s">
        <v>215</v>
      </c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ca="1" si="2"/>
        <v>X</v>
      </c>
      <c r="J27" s="40" t="s">
        <v>191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6796875" defaultRowHeight="12.75" x14ac:dyDescent="0.15"/>
  <cols>
    <col min="1" max="1" width="21.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 t="str">
        <f t="shared" ca="1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 ca="1"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ca="1" si="2"/>
        <v>X</v>
      </c>
      <c r="J4" s="40" t="s">
        <v>150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ca="1" si="2"/>
        <v>X</v>
      </c>
      <c r="J5" s="40" t="s">
        <v>157</v>
      </c>
    </row>
    <row r="6" spans="1:10" ht="14.25" x14ac:dyDescent="0.15">
      <c r="A6" s="17">
        <f t="shared" ca="1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 ca="1"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ca="1" si="2"/>
        <v/>
      </c>
      <c r="J6" s="40" t="s">
        <v>619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ca="1" si="2"/>
        <v/>
      </c>
      <c r="J7" s="40" t="s">
        <v>588</v>
      </c>
    </row>
    <row r="8" spans="1:10" ht="14.25" x14ac:dyDescent="0.15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4.25" x14ac:dyDescent="0.15">
      <c r="A9" s="17">
        <f t="shared" ca="1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 ca="1"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ca="1" si="2"/>
        <v/>
      </c>
      <c r="J9" s="40" t="s">
        <v>594</v>
      </c>
    </row>
    <row r="10" spans="1:10" ht="14.25" x14ac:dyDescent="0.15">
      <c r="A10" s="17" t="str">
        <f t="shared" ca="1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 ca="1"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ca="1" si="2"/>
        <v>X</v>
      </c>
      <c r="J10" s="40" t="s">
        <v>227</v>
      </c>
    </row>
    <row r="11" spans="1:10" ht="14.25" x14ac:dyDescent="0.15">
      <c r="A11" s="17">
        <f t="shared" ca="1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ca="1" si="2"/>
        <v/>
      </c>
      <c r="J11" s="40" t="s">
        <v>620</v>
      </c>
    </row>
    <row r="12" spans="1:10" ht="14.25" x14ac:dyDescent="0.15">
      <c r="A12" s="17">
        <f t="shared" ca="1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ca="1" si="2"/>
        <v/>
      </c>
      <c r="J12" s="40" t="s">
        <v>622</v>
      </c>
    </row>
    <row r="13" spans="1:10" ht="14.25" x14ac:dyDescent="0.15">
      <c r="A13" s="17">
        <f t="shared" ca="1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 ca="1"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ca="1" si="2"/>
        <v/>
      </c>
      <c r="J13" s="40" t="s">
        <v>601</v>
      </c>
    </row>
    <row r="14" spans="1:10" ht="14.25" x14ac:dyDescent="0.15">
      <c r="A14" s="17">
        <f t="shared" ca="1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 ca="1"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ca="1" si="2"/>
        <v/>
      </c>
      <c r="J14" s="40" t="s">
        <v>603</v>
      </c>
    </row>
    <row r="15" spans="1:10" ht="14.25" x14ac:dyDescent="0.15">
      <c r="A15" s="17">
        <f t="shared" ca="1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 ca="1"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ca="1" si="2"/>
        <v/>
      </c>
      <c r="J15" s="40" t="s">
        <v>589</v>
      </c>
    </row>
    <row r="16" spans="1:10" ht="14.25" x14ac:dyDescent="0.15">
      <c r="A16" s="17">
        <f t="shared" ca="1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ca="1" si="2"/>
        <v/>
      </c>
      <c r="J16" s="40" t="s">
        <v>624</v>
      </c>
    </row>
    <row r="17" spans="1:10" ht="14.25" x14ac:dyDescent="0.15">
      <c r="A17" s="17">
        <f t="shared" ca="1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 ca="1"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ca="1" si="2"/>
        <v/>
      </c>
      <c r="J19" s="40" t="s">
        <v>623</v>
      </c>
    </row>
    <row r="20" spans="1:10" ht="14.25" x14ac:dyDescent="0.15">
      <c r="A20" s="17">
        <f t="shared" ca="1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ca="1" si="2"/>
        <v/>
      </c>
      <c r="J20" s="40" t="s">
        <v>600</v>
      </c>
    </row>
    <row r="21" spans="1:10" ht="14.25" x14ac:dyDescent="0.15">
      <c r="A21" s="17">
        <f t="shared" ca="1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ca="1" si="2"/>
        <v/>
      </c>
      <c r="J21" s="40" t="s">
        <v>218</v>
      </c>
    </row>
    <row r="22" spans="1:10" ht="14.25" x14ac:dyDescent="0.15">
      <c r="A22" s="17">
        <f t="shared" ca="1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ca="1" si="2"/>
        <v/>
      </c>
      <c r="J22" s="40" t="s">
        <v>611</v>
      </c>
    </row>
    <row r="23" spans="1:10" ht="14.25" x14ac:dyDescent="0.15">
      <c r="A23" s="17">
        <f t="shared" ca="1" si="0"/>
        <v>1385</v>
      </c>
      <c r="B23" s="17"/>
      <c r="C23" s="18"/>
      <c r="D23" s="18"/>
      <c r="E23" s="18"/>
      <c r="F23" s="18" t="s">
        <v>215</v>
      </c>
      <c r="G23" s="19" t="str">
        <f ca="1"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ca="1" si="2"/>
        <v/>
      </c>
      <c r="J23" s="40" t="s">
        <v>213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6796875" defaultRowHeight="12.75" x14ac:dyDescent="0.15"/>
  <cols>
    <col min="1" max="1" width="24.945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101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 ca="1"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ca="1" si="2">IF(OR(A3="",ISNUMBER(A3)),"","X")</f>
        <v>X</v>
      </c>
      <c r="J3" s="40" t="s">
        <v>228</v>
      </c>
    </row>
    <row r="4" spans="1:10" ht="14.25" x14ac:dyDescent="0.15">
      <c r="A4" s="17">
        <f t="shared" ca="1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 ca="1"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ca="1" si="2"/>
        <v/>
      </c>
      <c r="J5" s="40" t="s">
        <v>619</v>
      </c>
    </row>
    <row r="6" spans="1:10" ht="14.25" x14ac:dyDescent="0.15">
      <c r="A6" s="17">
        <f t="shared" ca="1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ca="1" si="2"/>
        <v/>
      </c>
      <c r="J6" s="40" t="s">
        <v>620</v>
      </c>
    </row>
    <row r="7" spans="1:10" ht="14.25" x14ac:dyDescent="0.15">
      <c r="A7" s="17">
        <f t="shared" ca="1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ca="1" si="2"/>
        <v/>
      </c>
      <c r="J7" s="40" t="s">
        <v>590</v>
      </c>
    </row>
    <row r="8" spans="1:10" ht="14.25" x14ac:dyDescent="0.15">
      <c r="A8" s="17" t="str">
        <f t="shared" ca="1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ca="1" si="2"/>
        <v>X</v>
      </c>
      <c r="J8" s="40" t="s">
        <v>229</v>
      </c>
    </row>
    <row r="9" spans="1:10" ht="14.25" x14ac:dyDescent="0.15">
      <c r="A9" s="17" t="str">
        <f t="shared" ca="1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 ca="1"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ca="1" si="2"/>
        <v>X</v>
      </c>
      <c r="J9" s="40" t="s">
        <v>141</v>
      </c>
    </row>
    <row r="10" spans="1:10" ht="14.25" x14ac:dyDescent="0.15">
      <c r="A10" s="17">
        <f t="shared" ca="1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ca="1" si="2"/>
        <v/>
      </c>
      <c r="J11" s="40" t="s">
        <v>622</v>
      </c>
    </row>
    <row r="12" spans="1:10" ht="14.25" x14ac:dyDescent="0.15">
      <c r="A12" s="17">
        <f t="shared" ca="1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ca="1" si="2"/>
        <v/>
      </c>
      <c r="J12" s="40" t="s">
        <v>603</v>
      </c>
    </row>
    <row r="13" spans="1:10" ht="14.25" x14ac:dyDescent="0.15">
      <c r="A13" s="17" t="str">
        <f t="shared" ca="1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 ca="1"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ca="1" si="2"/>
        <v>X</v>
      </c>
      <c r="J13" s="40" t="s">
        <v>230</v>
      </c>
    </row>
    <row r="14" spans="1:10" ht="14.25" x14ac:dyDescent="0.15">
      <c r="A14" s="17">
        <f t="shared" ca="1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ca="1" si="2"/>
        <v/>
      </c>
      <c r="J15" s="40" t="s">
        <v>653</v>
      </c>
    </row>
    <row r="16" spans="1:10" ht="14.25" x14ac:dyDescent="0.15">
      <c r="A16" s="17">
        <f t="shared" ca="1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ca="1" si="2"/>
        <v/>
      </c>
      <c r="J16" s="40" t="s">
        <v>602</v>
      </c>
    </row>
    <row r="17" spans="1:10" ht="14.25" x14ac:dyDescent="0.15">
      <c r="A17" s="17" t="str">
        <f t="shared" ca="1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 ca="1"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ca="1" si="2"/>
        <v>X</v>
      </c>
      <c r="J17" s="40" t="s">
        <v>149</v>
      </c>
    </row>
    <row r="18" spans="1:10" ht="14.25" x14ac:dyDescent="0.15">
      <c r="A18" s="17">
        <f t="shared" ca="1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 ca="1"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ca="1" si="2"/>
        <v/>
      </c>
      <c r="J18" s="40" t="s">
        <v>624</v>
      </c>
    </row>
    <row r="19" spans="1:10" ht="14.25" x14ac:dyDescent="0.15">
      <c r="A19" s="17" t="str">
        <f t="shared" ca="1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 ca="1"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ca="1" si="2"/>
        <v>X</v>
      </c>
      <c r="J19" s="40" t="s">
        <v>145</v>
      </c>
    </row>
    <row r="20" spans="1:10" ht="14.25" x14ac:dyDescent="0.15">
      <c r="A20" s="17">
        <f t="shared" ca="1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 ca="1"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ca="1" si="2"/>
        <v/>
      </c>
      <c r="J20" s="40" t="s">
        <v>643</v>
      </c>
    </row>
    <row r="21" spans="1:10" ht="14.25" x14ac:dyDescent="0.15">
      <c r="A21" s="17">
        <f t="shared" ca="1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ca="1" si="2"/>
        <v/>
      </c>
      <c r="J21" s="40" t="s">
        <v>605</v>
      </c>
    </row>
    <row r="22" spans="1:10" ht="14.25" x14ac:dyDescent="0.15">
      <c r="A22" s="17" t="str">
        <f t="shared" ca="1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 ca="1"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ca="1" si="2"/>
        <v>X</v>
      </c>
      <c r="J22" s="40" t="s">
        <v>146</v>
      </c>
    </row>
    <row r="23" spans="1:10" ht="14.25" x14ac:dyDescent="0.15">
      <c r="A23" s="17">
        <f t="shared" ca="1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ca="1" si="2"/>
        <v/>
      </c>
      <c r="J23" s="40" t="s">
        <v>606</v>
      </c>
    </row>
    <row r="24" spans="1:10" ht="14.25" x14ac:dyDescent="0.15">
      <c r="A24" s="17">
        <f t="shared" ca="1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ca="1" si="2"/>
        <v/>
      </c>
      <c r="J24" s="40" t="s">
        <v>600</v>
      </c>
    </row>
    <row r="25" spans="1:10" ht="14.25" x14ac:dyDescent="0.15">
      <c r="A25" s="17">
        <f t="shared" ca="1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ca="1" si="2"/>
        <v/>
      </c>
      <c r="J25" s="40" t="s">
        <v>611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ca="1" si="2"/>
        <v/>
      </c>
      <c r="J27" s="40" t="s">
        <v>615</v>
      </c>
    </row>
    <row r="28" spans="1:10" ht="14.25" x14ac:dyDescent="0.15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4.25" x14ac:dyDescent="0.15">
      <c r="A29" s="17" t="str">
        <f t="shared" ca="1" si="0"/>
        <v>Martin Wright</v>
      </c>
      <c r="B29" s="17"/>
      <c r="C29" s="18"/>
      <c r="D29" s="18"/>
      <c r="E29" s="18"/>
      <c r="F29" s="18" t="s">
        <v>205</v>
      </c>
      <c r="G29" s="19" t="str">
        <f ca="1"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ca="1" si="2"/>
        <v>X</v>
      </c>
      <c r="J29" s="40" t="s">
        <v>231</v>
      </c>
    </row>
    <row r="30" spans="1:10" ht="14.25" x14ac:dyDescent="0.15">
      <c r="A30" s="17">
        <f t="shared" ca="1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 ca="1"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ca="1" si="2"/>
        <v/>
      </c>
      <c r="J30" s="40" t="s">
        <v>651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4.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ca="1" si="2"/>
        <v/>
      </c>
      <c r="J4" s="40" t="s">
        <v>586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ca="1" si="2"/>
        <v>X</v>
      </c>
      <c r="J5" s="40" t="s">
        <v>157</v>
      </c>
    </row>
    <row r="6" spans="1:10" ht="14.25" x14ac:dyDescent="0.15">
      <c r="A6" s="17" t="str">
        <f t="shared" ca="1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 ca="1"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ca="1" si="2"/>
        <v>X</v>
      </c>
      <c r="J6" s="40" t="s">
        <v>232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ca="1" si="2"/>
        <v/>
      </c>
      <c r="J7" s="40" t="s">
        <v>588</v>
      </c>
    </row>
    <row r="8" spans="1:10" ht="14.25" x14ac:dyDescent="0.15">
      <c r="A8" s="17" t="str">
        <f t="shared" ca="1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ca="1" si="2"/>
        <v>X</v>
      </c>
      <c r="J8" s="40" t="s">
        <v>233</v>
      </c>
    </row>
    <row r="9" spans="1:10" ht="14.25" x14ac:dyDescent="0.15">
      <c r="A9" s="17">
        <f t="shared" ca="1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 ca="1"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ca="1" si="2"/>
        <v/>
      </c>
      <c r="J9" s="40" t="s">
        <v>619</v>
      </c>
    </row>
    <row r="10" spans="1:10" ht="14.25" x14ac:dyDescent="0.15">
      <c r="A10" s="17">
        <f t="shared" ca="1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ca="1" si="2"/>
        <v/>
      </c>
      <c r="J10" s="40" t="s">
        <v>585</v>
      </c>
    </row>
    <row r="11" spans="1:10" ht="14.25" x14ac:dyDescent="0.15">
      <c r="A11" s="17">
        <f t="shared" ca="1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ca="1" si="2"/>
        <v/>
      </c>
      <c r="J11" s="40" t="s">
        <v>597</v>
      </c>
    </row>
    <row r="12" spans="1:10" ht="14.25" x14ac:dyDescent="0.15">
      <c r="A12" s="17">
        <f t="shared" ca="1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 ca="1"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ca="1" si="2"/>
        <v/>
      </c>
      <c r="J14" s="40" t="s">
        <v>589</v>
      </c>
    </row>
    <row r="15" spans="1:10" ht="14.25" x14ac:dyDescent="0.15">
      <c r="A15" s="17" t="str">
        <f t="shared" ca="1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 ca="1"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ca="1" si="2"/>
        <v>X</v>
      </c>
      <c r="J15" s="40" t="s">
        <v>230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ca="1" si="2"/>
        <v/>
      </c>
      <c r="J17" s="40" t="s">
        <v>594</v>
      </c>
    </row>
    <row r="18" spans="1:10" ht="14.25" x14ac:dyDescent="0.15">
      <c r="A18" s="17">
        <f t="shared" ca="1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 ca="1"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ca="1" si="2"/>
        <v/>
      </c>
      <c r="J18" s="40" t="s">
        <v>596</v>
      </c>
    </row>
    <row r="19" spans="1:10" ht="14.25" x14ac:dyDescent="0.15">
      <c r="A19" s="17">
        <f t="shared" ca="1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ca="1" si="2"/>
        <v/>
      </c>
      <c r="J19" s="40" t="s">
        <v>653</v>
      </c>
    </row>
    <row r="20" spans="1:10" ht="14.25" x14ac:dyDescent="0.15">
      <c r="A20" s="17" t="str">
        <f t="shared" ca="1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 ca="1"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ca="1" si="2"/>
        <v>X</v>
      </c>
      <c r="J20" s="40" t="s">
        <v>229</v>
      </c>
    </row>
    <row r="21" spans="1:10" ht="14.25" x14ac:dyDescent="0.15">
      <c r="A21" s="17">
        <f t="shared" ca="1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ca="1" si="2"/>
        <v/>
      </c>
      <c r="J21" s="40" t="s">
        <v>598</v>
      </c>
    </row>
    <row r="22" spans="1:10" ht="14.25" x14ac:dyDescent="0.15">
      <c r="A22" s="17">
        <f t="shared" ca="1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ca="1" si="2"/>
        <v/>
      </c>
      <c r="J22" s="40" t="s">
        <v>606</v>
      </c>
    </row>
    <row r="23" spans="1:10" ht="14.25" x14ac:dyDescent="0.15">
      <c r="A23" s="17" t="str">
        <f t="shared" ca="1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ca="1" si="2"/>
        <v>X</v>
      </c>
      <c r="J23" s="40" t="s">
        <v>149</v>
      </c>
    </row>
    <row r="24" spans="1:10" ht="14.25" x14ac:dyDescent="0.15">
      <c r="A24" s="17">
        <f t="shared" ca="1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 ca="1"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ca="1" si="2"/>
        <v/>
      </c>
      <c r="J24" s="40" t="s">
        <v>610</v>
      </c>
    </row>
    <row r="25" spans="1:10" ht="14.25" x14ac:dyDescent="0.15">
      <c r="A25" s="17">
        <f t="shared" ca="1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ca="1" si="2"/>
        <v/>
      </c>
      <c r="J25" s="40" t="s">
        <v>643</v>
      </c>
    </row>
    <row r="26" spans="1:10" ht="14.25" x14ac:dyDescent="0.15">
      <c r="A26" s="17">
        <f t="shared" ca="1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ca="1" si="2"/>
        <v/>
      </c>
      <c r="J26" s="40" t="s">
        <v>213</v>
      </c>
    </row>
    <row r="27" spans="1:10" ht="14.25" x14ac:dyDescent="0.15">
      <c r="A27" s="17">
        <f t="shared" ca="1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 ca="1"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ca="1" si="2"/>
        <v/>
      </c>
      <c r="J27" s="40" t="s">
        <v>623</v>
      </c>
    </row>
    <row r="28" spans="1:10" ht="14.25" x14ac:dyDescent="0.15">
      <c r="A28" s="17" t="str">
        <f t="shared" ca="1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 ca="1"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ca="1" si="2"/>
        <v>X</v>
      </c>
      <c r="J28" s="40" t="s">
        <v>234</v>
      </c>
    </row>
    <row r="29" spans="1:10" ht="14.25" x14ac:dyDescent="0.15">
      <c r="A29" s="17" t="str">
        <f t="shared" ca="1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ca="1" si="2"/>
        <v>X</v>
      </c>
      <c r="J29" s="40" t="s">
        <v>146</v>
      </c>
    </row>
    <row r="30" spans="1:10" ht="14.25" x14ac:dyDescent="0.15">
      <c r="A30" s="17">
        <f t="shared" ca="1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ca="1" si="2"/>
        <v/>
      </c>
      <c r="J30" s="40" t="s">
        <v>600</v>
      </c>
    </row>
    <row r="31" spans="1:10" ht="14.25" x14ac:dyDescent="0.15">
      <c r="A31" s="17">
        <f t="shared" ca="1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 ca="1"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ca="1" si="2"/>
        <v/>
      </c>
      <c r="J31" s="40" t="s">
        <v>649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ca="1" si="2"/>
        <v>X</v>
      </c>
      <c r="J34" s="40" t="s">
        <v>140</v>
      </c>
    </row>
    <row r="35" spans="1:10" ht="14.25" x14ac:dyDescent="0.15">
      <c r="A35" s="17">
        <f t="shared" ca="1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ca="1" si="2"/>
        <v/>
      </c>
      <c r="J35" s="40" t="s">
        <v>618</v>
      </c>
    </row>
    <row r="36" spans="1:10" ht="14.25" x14ac:dyDescent="0.15">
      <c r="A36" s="17">
        <f t="shared" ca="1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ca="1" si="2"/>
        <v/>
      </c>
      <c r="J36" s="40" t="s">
        <v>654</v>
      </c>
    </row>
    <row r="37" spans="1:10" ht="14.25" x14ac:dyDescent="0.15">
      <c r="A37" s="17" t="str">
        <f t="shared" ca="1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 ca="1"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ca="1" si="2"/>
        <v>X</v>
      </c>
      <c r="J37" s="40" t="s">
        <v>147</v>
      </c>
    </row>
    <row r="38" spans="1:10" ht="14.25" x14ac:dyDescent="0.15">
      <c r="A38" s="17">
        <f t="shared" ca="1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ca="1" si="2"/>
        <v/>
      </c>
      <c r="J38" s="40" t="s">
        <v>614</v>
      </c>
    </row>
    <row r="39" spans="1:10" ht="14.25" x14ac:dyDescent="0.15">
      <c r="A39" s="17">
        <f t="shared" ca="1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 ca="1"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ca="1" si="2"/>
        <v/>
      </c>
      <c r="J39" s="40" t="s">
        <v>651</v>
      </c>
    </row>
    <row r="40" spans="1:10" ht="14.25" x14ac:dyDescent="0.15">
      <c r="A40" s="17">
        <f t="shared" ca="1" si="3"/>
        <v>1254</v>
      </c>
      <c r="B40" s="17"/>
      <c r="C40" s="18"/>
      <c r="D40" s="18"/>
      <c r="E40" s="18"/>
      <c r="F40" s="18" t="s">
        <v>214</v>
      </c>
      <c r="G40" s="19" t="str">
        <f ca="1"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ca="1" si="2"/>
        <v/>
      </c>
      <c r="J40" s="40" t="s">
        <v>624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8.18359375" bestFit="1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 ca="1"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ca="1" si="2"/>
        <v/>
      </c>
      <c r="J5" s="40" t="s">
        <v>591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 ca="1"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ca="1" si="2"/>
        <v>X</v>
      </c>
      <c r="J7" s="40" t="s">
        <v>153</v>
      </c>
    </row>
    <row r="8" spans="1:10" ht="14.25" x14ac:dyDescent="0.15">
      <c r="A8" s="17">
        <f t="shared" ca="1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ca="1" si="2"/>
        <v/>
      </c>
      <c r="J8" s="40" t="s">
        <v>584</v>
      </c>
    </row>
    <row r="9" spans="1:10" ht="14.25" x14ac:dyDescent="0.15">
      <c r="A9" s="17" t="str">
        <f t="shared" ca="1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ca="1" si="2"/>
        <v>X</v>
      </c>
      <c r="J9" s="40" t="s">
        <v>157</v>
      </c>
    </row>
    <row r="10" spans="1:10" ht="14.25" x14ac:dyDescent="0.15">
      <c r="A10" s="17" t="str">
        <f t="shared" ca="1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 ca="1"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ca="1" si="2"/>
        <v>X</v>
      </c>
      <c r="J10" s="40" t="s">
        <v>152</v>
      </c>
    </row>
    <row r="11" spans="1:10" ht="14.25" x14ac:dyDescent="0.15">
      <c r="A11" s="17">
        <f t="shared" ca="1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ca="1" si="2"/>
        <v/>
      </c>
      <c r="J12" s="40" t="s">
        <v>590</v>
      </c>
    </row>
    <row r="13" spans="1:10" ht="14.25" x14ac:dyDescent="0.15">
      <c r="A13" s="17" t="str">
        <f t="shared" ca="1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 ca="1"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ca="1" si="2"/>
        <v>X</v>
      </c>
      <c r="J13" s="40" t="s">
        <v>156</v>
      </c>
    </row>
    <row r="14" spans="1:10" ht="14.25" x14ac:dyDescent="0.15">
      <c r="A14" s="17" t="str">
        <f t="shared" ca="1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 ca="1"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ca="1" si="2"/>
        <v>X</v>
      </c>
      <c r="J14" s="40" t="s">
        <v>236</v>
      </c>
    </row>
    <row r="15" spans="1:10" ht="14.25" x14ac:dyDescent="0.15">
      <c r="A15" s="17" t="str">
        <f t="shared" ca="1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 ca="1"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ca="1" si="2"/>
        <v>X</v>
      </c>
      <c r="J15" s="40" t="s">
        <v>237</v>
      </c>
    </row>
    <row r="16" spans="1:10" ht="14.25" x14ac:dyDescent="0.15">
      <c r="A16" s="17" t="str">
        <f t="shared" ca="1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 ca="1"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ca="1" si="2"/>
        <v>X</v>
      </c>
      <c r="J16" s="40" t="s">
        <v>241</v>
      </c>
    </row>
    <row r="17" spans="1:10" ht="14.25" x14ac:dyDescent="0.15">
      <c r="A17" s="17">
        <f t="shared" ca="1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ca="1" si="2"/>
        <v/>
      </c>
      <c r="J17" s="40" t="s">
        <v>594</v>
      </c>
    </row>
    <row r="18" spans="1:10" ht="14.25" x14ac:dyDescent="0.15">
      <c r="A18" s="17" t="str">
        <f t="shared" ca="1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 ca="1"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ca="1" si="2"/>
        <v>X</v>
      </c>
      <c r="J18" s="40" t="s">
        <v>129</v>
      </c>
    </row>
    <row r="19" spans="1:10" ht="14.25" x14ac:dyDescent="0.15">
      <c r="A19" s="17" t="str">
        <f t="shared" ca="1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 ca="1"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ca="1" si="2"/>
        <v>X</v>
      </c>
      <c r="J19" s="40" t="s">
        <v>122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ca="1" si="2"/>
        <v>X</v>
      </c>
      <c r="J20" s="40" t="s">
        <v>234</v>
      </c>
    </row>
    <row r="21" spans="1:10" ht="14.25" x14ac:dyDescent="0.15">
      <c r="A21" s="17" t="str">
        <f t="shared" ca="1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 ca="1"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ca="1" si="2"/>
        <v>X</v>
      </c>
      <c r="J21" s="40" t="s">
        <v>238</v>
      </c>
    </row>
    <row r="22" spans="1:10" ht="14.25" x14ac:dyDescent="0.15">
      <c r="A22" s="17" t="str">
        <f t="shared" ca="1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 ca="1"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ca="1" si="2"/>
        <v>X</v>
      </c>
      <c r="J22" s="40" t="s">
        <v>667</v>
      </c>
    </row>
    <row r="23" spans="1:10" ht="14.25" x14ac:dyDescent="0.15">
      <c r="A23" s="17" t="str">
        <f t="shared" ca="1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 ca="1"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ca="1" si="2"/>
        <v>X</v>
      </c>
      <c r="J23" s="40" t="s">
        <v>239</v>
      </c>
    </row>
    <row r="24" spans="1:10" ht="14.25" x14ac:dyDescent="0.15">
      <c r="A24" s="17">
        <f t="shared" ca="1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ca="1" si="2"/>
        <v/>
      </c>
      <c r="J24" s="40" t="s">
        <v>593</v>
      </c>
    </row>
    <row r="25" spans="1:10" ht="14.25" x14ac:dyDescent="0.15">
      <c r="A25" s="17">
        <f t="shared" ca="1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ca="1" si="2"/>
        <v/>
      </c>
      <c r="J25" s="40" t="s">
        <v>652</v>
      </c>
    </row>
    <row r="26" spans="1:10" ht="14.25" x14ac:dyDescent="0.15">
      <c r="A26" s="17">
        <f t="shared" ca="1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ca="1" si="2"/>
        <v/>
      </c>
      <c r="J26" s="40" t="s">
        <v>600</v>
      </c>
    </row>
    <row r="27" spans="1:10" ht="14.25" x14ac:dyDescent="0.15">
      <c r="A27" s="17">
        <f t="shared" ca="1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 ca="1"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ca="1" si="2"/>
        <v/>
      </c>
      <c r="J27" s="40" t="s">
        <v>596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ca="1" si="2"/>
        <v>X</v>
      </c>
      <c r="J28" s="40" t="s">
        <v>145</v>
      </c>
    </row>
    <row r="29" spans="1:10" ht="14.25" x14ac:dyDescent="0.15">
      <c r="A29" s="17">
        <f t="shared" ca="1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ca="1" si="2"/>
        <v/>
      </c>
      <c r="J29" s="40" t="s">
        <v>605</v>
      </c>
    </row>
    <row r="30" spans="1:10" ht="14.25" x14ac:dyDescent="0.15">
      <c r="A30" s="17" t="str">
        <f t="shared" ca="1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 ca="1"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ca="1" si="2"/>
        <v>X</v>
      </c>
      <c r="J30" s="40" t="s">
        <v>672</v>
      </c>
    </row>
    <row r="31" spans="1:10" ht="14.25" x14ac:dyDescent="0.15">
      <c r="A31" s="17" t="str">
        <f t="shared" ca="1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 ca="1"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ca="1" si="2"/>
        <v>X</v>
      </c>
      <c r="J31" s="40" t="s">
        <v>240</v>
      </c>
    </row>
    <row r="32" spans="1:10" ht="14.25" x14ac:dyDescent="0.15">
      <c r="A32" s="17">
        <f t="shared" ca="1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ca="1" si="2"/>
        <v/>
      </c>
      <c r="J32" s="40" t="s">
        <v>613</v>
      </c>
    </row>
    <row r="33" spans="1:10" ht="14.25" x14ac:dyDescent="0.15">
      <c r="A33" s="17" t="str">
        <f t="shared" ca="1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 ca="1"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ca="1" si="2"/>
        <v>X</v>
      </c>
      <c r="J33" s="40" t="s">
        <v>225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ca="1" si="2"/>
        <v/>
      </c>
      <c r="J34" s="40" t="s">
        <v>644</v>
      </c>
    </row>
    <row r="35" spans="1:10" ht="14.25" x14ac:dyDescent="0.15">
      <c r="A35" s="17" t="str">
        <f t="shared" ca="1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 ca="1"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ca="1" si="2"/>
        <v>X</v>
      </c>
      <c r="J35" s="40" t="s">
        <v>155</v>
      </c>
    </row>
    <row r="36" spans="1:10" ht="14.25" x14ac:dyDescent="0.15">
      <c r="A36" s="17" t="str">
        <f t="shared" ca="1" si="3"/>
        <v>Anne Gilhespy (RFW)</v>
      </c>
      <c r="B36" s="17"/>
      <c r="C36" s="18"/>
      <c r="D36" s="18"/>
      <c r="E36" s="18"/>
      <c r="F36" s="18" t="s">
        <v>214</v>
      </c>
      <c r="G36" s="19" t="str">
        <f ca="1"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ca="1" si="2"/>
        <v>X</v>
      </c>
      <c r="J36" s="40" t="s">
        <v>668</v>
      </c>
    </row>
    <row r="37" spans="1:10" ht="14.25" x14ac:dyDescent="0.15">
      <c r="A37" s="17" t="str">
        <f t="shared" ca="1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 ca="1"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ca="1" si="2"/>
        <v>X</v>
      </c>
      <c r="J37" s="40" t="s">
        <v>232</v>
      </c>
    </row>
    <row r="38" spans="1:10" ht="14.25" x14ac:dyDescent="0.15">
      <c r="A38" s="17" t="str">
        <f t="shared" ca="1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 ca="1"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ca="1" si="2"/>
        <v>X</v>
      </c>
      <c r="J38" s="40" t="s">
        <v>147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  <col min="11" max="11" width="21.171875" bestFit="1" customWidth="1"/>
  </cols>
  <sheetData>
    <row r="1" spans="1:11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 ca="1">IF(OR(A2="",ISNUMBER(A2)),"","X")</f>
        <v>X</v>
      </c>
      <c r="J2" s="40" t="s">
        <v>139</v>
      </c>
      <c r="K2" s="23"/>
    </row>
    <row r="3" spans="1:11" ht="14.25" x14ac:dyDescent="0.15">
      <c r="A3" s="17" t="str">
        <f t="shared" ca="1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 ca="1"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ca="1" si="2">IF(OR(A3="",ISNUMBER(A3)),"","X")</f>
        <v>X</v>
      </c>
      <c r="J3" s="40" t="s">
        <v>150</v>
      </c>
      <c r="K3" s="23"/>
    </row>
    <row r="4" spans="1:11" ht="14.25" x14ac:dyDescent="0.15">
      <c r="A4" s="17">
        <f t="shared" ca="1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ca="1" si="2"/>
        <v/>
      </c>
      <c r="J4" s="40" t="s">
        <v>591</v>
      </c>
      <c r="K4" s="23"/>
    </row>
    <row r="5" spans="1:11" ht="14.25" x14ac:dyDescent="0.15">
      <c r="A5" s="17" t="str">
        <f t="shared" ca="1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ca="1" si="2"/>
        <v>X</v>
      </c>
      <c r="J5" s="40" t="s">
        <v>157</v>
      </c>
      <c r="K5" s="23"/>
    </row>
    <row r="6" spans="1:11" ht="14.25" x14ac:dyDescent="0.15">
      <c r="A6" s="17">
        <f t="shared" ca="1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ca="1" si="2"/>
        <v/>
      </c>
      <c r="J6" s="40" t="s">
        <v>584</v>
      </c>
      <c r="K6" s="23"/>
    </row>
    <row r="7" spans="1:11" ht="14.25" x14ac:dyDescent="0.15">
      <c r="A7" s="17" t="str">
        <f t="shared" ca="1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 ca="1"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ca="1" si="2"/>
        <v>X</v>
      </c>
      <c r="J7" s="40" t="s">
        <v>142</v>
      </c>
      <c r="K7" s="23"/>
    </row>
    <row r="8" spans="1:11" ht="14.25" x14ac:dyDescent="0.15">
      <c r="A8" s="17">
        <f t="shared" ca="1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 ca="1"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ca="1" si="2"/>
        <v/>
      </c>
      <c r="J8" s="40" t="s">
        <v>589</v>
      </c>
      <c r="K8" s="23"/>
    </row>
    <row r="9" spans="1:11" ht="14.25" x14ac:dyDescent="0.15">
      <c r="A9" s="17">
        <f t="shared" ca="1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ca="1" si="2"/>
        <v/>
      </c>
      <c r="J9" s="40" t="s">
        <v>594</v>
      </c>
      <c r="K9" s="23"/>
    </row>
    <row r="10" spans="1:11" ht="14.25" x14ac:dyDescent="0.15">
      <c r="A10" s="17" t="str">
        <f t="shared" ca="1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ca="1" si="2"/>
        <v>X</v>
      </c>
      <c r="J10" s="40" t="s">
        <v>143</v>
      </c>
      <c r="K10" s="23"/>
    </row>
    <row r="11" spans="1:11" ht="14.25" x14ac:dyDescent="0.15">
      <c r="A11" s="17">
        <f t="shared" ca="1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ca="1" si="2"/>
        <v/>
      </c>
      <c r="J11" s="40" t="s">
        <v>590</v>
      </c>
      <c r="K11" s="23"/>
    </row>
    <row r="12" spans="1:11" ht="14.25" x14ac:dyDescent="0.15">
      <c r="A12" s="17">
        <f t="shared" ca="1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ca="1" si="2"/>
        <v/>
      </c>
      <c r="J12" s="40" t="s">
        <v>603</v>
      </c>
      <c r="K12" s="23"/>
    </row>
    <row r="13" spans="1:11" ht="14.25" x14ac:dyDescent="0.15">
      <c r="A13" s="17">
        <f t="shared" ca="1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 ca="1"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ca="1" si="2"/>
        <v/>
      </c>
      <c r="J13" s="40" t="s">
        <v>624</v>
      </c>
      <c r="K13" s="23"/>
    </row>
    <row r="14" spans="1:11" ht="14.25" x14ac:dyDescent="0.15">
      <c r="A14" s="17">
        <f t="shared" ca="1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 ca="1"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ca="1" si="2"/>
        <v/>
      </c>
      <c r="J14" s="40" t="s">
        <v>645</v>
      </c>
      <c r="K14" s="23"/>
    </row>
    <row r="15" spans="1:11" ht="14.25" x14ac:dyDescent="0.15">
      <c r="A15" s="17" t="str">
        <f t="shared" ca="1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 ca="1"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ca="1" si="2"/>
        <v>X</v>
      </c>
      <c r="J15" s="40" t="s">
        <v>145</v>
      </c>
      <c r="K15" s="23"/>
    </row>
    <row r="16" spans="1:11" ht="14.25" x14ac:dyDescent="0.15">
      <c r="A16" s="17" t="str">
        <f t="shared" ca="1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ca="1" si="2"/>
        <v>X</v>
      </c>
      <c r="J16" s="40" t="s">
        <v>149</v>
      </c>
      <c r="K16" s="23"/>
    </row>
    <row r="17" spans="1:11" ht="14.25" x14ac:dyDescent="0.15">
      <c r="A17" s="17">
        <f t="shared" ca="1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 ca="1"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ca="1" si="2"/>
        <v/>
      </c>
      <c r="J17" s="40" t="s">
        <v>607</v>
      </c>
      <c r="K17" s="23"/>
    </row>
    <row r="18" spans="1:11" ht="14.25" x14ac:dyDescent="0.15">
      <c r="A18" s="17">
        <f t="shared" ca="1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ca="1" si="2"/>
        <v/>
      </c>
      <c r="J18" s="40" t="s">
        <v>643</v>
      </c>
      <c r="K18" s="23"/>
    </row>
    <row r="19" spans="1:11" ht="14.25" x14ac:dyDescent="0.15">
      <c r="A19" s="17">
        <f t="shared" ca="1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 ca="1"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ca="1" si="2"/>
        <v/>
      </c>
      <c r="J19" s="40" t="s">
        <v>601</v>
      </c>
      <c r="K19" s="23"/>
    </row>
    <row r="20" spans="1:11" ht="14.25" x14ac:dyDescent="0.15">
      <c r="A20" s="17">
        <f t="shared" ca="1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ca="1" si="2"/>
        <v/>
      </c>
      <c r="J20" s="40" t="s">
        <v>213</v>
      </c>
      <c r="K20" s="23"/>
    </row>
    <row r="21" spans="1:11" ht="14.25" x14ac:dyDescent="0.15">
      <c r="A21" s="17">
        <f t="shared" ca="1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ca="1" si="2"/>
        <v/>
      </c>
      <c r="J21" s="40" t="s">
        <v>598</v>
      </c>
      <c r="K21" s="23"/>
    </row>
    <row r="22" spans="1:11" ht="14.25" x14ac:dyDescent="0.15">
      <c r="A22" s="17">
        <f t="shared" ca="1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ca="1" si="2"/>
        <v/>
      </c>
      <c r="J22" s="40" t="s">
        <v>600</v>
      </c>
      <c r="K22" s="23"/>
    </row>
    <row r="23" spans="1:11" ht="14.25" x14ac:dyDescent="0.15">
      <c r="A23" s="17">
        <f t="shared" ca="1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ca="1" si="2"/>
        <v/>
      </c>
      <c r="J23" s="40" t="s">
        <v>652</v>
      </c>
      <c r="K23" s="23"/>
    </row>
    <row r="24" spans="1:11" ht="14.25" x14ac:dyDescent="0.15">
      <c r="A24" s="17" t="str">
        <f t="shared" ca="1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 ca="1"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ca="1" si="2"/>
        <v>X</v>
      </c>
      <c r="J24" s="40" t="s">
        <v>146</v>
      </c>
      <c r="K24" s="23"/>
    </row>
    <row r="25" spans="1:11" ht="14.25" x14ac:dyDescent="0.15">
      <c r="A25" s="17">
        <f t="shared" ca="1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ca="1" si="2"/>
        <v/>
      </c>
      <c r="J25" s="40" t="s">
        <v>613</v>
      </c>
      <c r="K25" s="23"/>
    </row>
    <row r="26" spans="1:11" ht="14.25" x14ac:dyDescent="0.15">
      <c r="A26" s="17">
        <f t="shared" ca="1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 ca="1"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ca="1" si="2"/>
        <v/>
      </c>
      <c r="J26" s="40" t="s">
        <v>610</v>
      </c>
      <c r="K26" s="23"/>
    </row>
    <row r="27" spans="1:11" ht="14.25" x14ac:dyDescent="0.15">
      <c r="A27" s="17">
        <f t="shared" ca="1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ca="1" si="2"/>
        <v/>
      </c>
      <c r="J27" s="40" t="s">
        <v>644</v>
      </c>
      <c r="K27" s="23"/>
    </row>
    <row r="28" spans="1:11" ht="14.25" x14ac:dyDescent="0.15">
      <c r="A28" s="17" t="str">
        <f t="shared" ca="1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 ca="1"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ca="1" si="2"/>
        <v>X</v>
      </c>
      <c r="J28" s="40" t="s">
        <v>155</v>
      </c>
      <c r="K28" s="23"/>
    </row>
    <row r="29" spans="1:11" ht="14.25" x14ac:dyDescent="0.15">
      <c r="A29" s="17" t="str">
        <f t="shared" ca="1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ca="1" si="2"/>
        <v>X</v>
      </c>
      <c r="J29" s="40" t="s">
        <v>140</v>
      </c>
      <c r="K29" s="23"/>
    </row>
    <row r="30" spans="1:11" ht="14.25" x14ac:dyDescent="0.15">
      <c r="A30" s="17" t="str">
        <f t="shared" ca="1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ca="1" si="2"/>
        <v>X</v>
      </c>
      <c r="J30" s="40" t="s">
        <v>127</v>
      </c>
      <c r="K30" s="23"/>
    </row>
    <row r="31" spans="1:11" ht="14.25" x14ac:dyDescent="0.15">
      <c r="A31" s="17" t="str">
        <f t="shared" ca="1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 ca="1"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ca="1" si="2"/>
        <v>X</v>
      </c>
      <c r="J31" s="40" t="s">
        <v>147</v>
      </c>
      <c r="K31" s="23"/>
    </row>
    <row r="32" spans="1:11" ht="14.25" x14ac:dyDescent="0.15">
      <c r="A32" s="17">
        <f t="shared" ca="1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ca="1" si="2"/>
        <v/>
      </c>
      <c r="J32" s="40" t="s">
        <v>625</v>
      </c>
      <c r="K32" s="23"/>
    </row>
    <row r="33" spans="1:11" ht="14.25" x14ac:dyDescent="0.15">
      <c r="A33" s="17">
        <f t="shared" ca="1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 ca="1"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ca="1" si="2"/>
        <v/>
      </c>
      <c r="J33" s="40" t="s">
        <v>651</v>
      </c>
      <c r="K33" s="23"/>
    </row>
    <row r="34" spans="1:11" ht="14.25" x14ac:dyDescent="0.15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4.25" x14ac:dyDescent="0.15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4.25" x14ac:dyDescent="0.15">
      <c r="A36" s="17" t="str">
        <f t="shared" ref="A36:A65" ca="1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  <c r="K36" s="23"/>
    </row>
    <row r="37" spans="1:11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  <c r="K37" s="23"/>
    </row>
    <row r="38" spans="1:11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  <c r="K38" s="23"/>
    </row>
    <row r="39" spans="1:11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  <c r="K39" s="23"/>
    </row>
    <row r="40" spans="1:11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  <c r="K40" s="23"/>
    </row>
    <row r="41" spans="1:11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  <c r="K41" s="23"/>
    </row>
    <row r="42" spans="1:11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  <c r="K42" s="23"/>
    </row>
    <row r="43" spans="1:11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  <c r="K43" s="23"/>
    </row>
    <row r="44" spans="1:11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  <c r="K44" s="23"/>
    </row>
    <row r="45" spans="1:11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  <c r="K45" s="23"/>
    </row>
    <row r="46" spans="1:11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  <c r="K46" s="23"/>
    </row>
    <row r="47" spans="1:11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  <c r="K47" s="23"/>
    </row>
    <row r="48" spans="1:11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  <c r="K48" s="23"/>
    </row>
    <row r="49" spans="1:11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  <c r="K49" s="23"/>
    </row>
    <row r="50" spans="1:11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  <c r="K50" s="23"/>
    </row>
    <row r="51" spans="1:11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  <c r="K51" s="23"/>
    </row>
    <row r="52" spans="1:11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  <c r="K52" s="23"/>
    </row>
    <row r="53" spans="1:11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  <c r="K53" s="23"/>
    </row>
    <row r="54" spans="1:11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  <c r="K54" s="23"/>
    </row>
    <row r="55" spans="1:11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  <c r="K55" s="23"/>
    </row>
    <row r="56" spans="1:11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  <c r="K56" s="23"/>
    </row>
    <row r="57" spans="1:11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  <c r="K57" s="23"/>
    </row>
    <row r="58" spans="1:11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  <c r="K58" s="23"/>
    </row>
    <row r="59" spans="1:11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  <c r="K59" s="23"/>
    </row>
    <row r="60" spans="1:11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  <c r="K60" s="23"/>
    </row>
    <row r="61" spans="1:11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  <c r="K61" s="23"/>
    </row>
    <row r="62" spans="1:11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  <c r="K62" s="23"/>
    </row>
    <row r="63" spans="1:11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  <c r="K63" s="23"/>
    </row>
    <row r="64" spans="1:11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  <c r="K64" s="23"/>
    </row>
    <row r="65" spans="1:11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  <c r="K65" s="23"/>
    </row>
    <row r="66" spans="1:11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  <c r="K66" s="23"/>
    </row>
    <row r="67" spans="1:11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  <c r="K67" s="23"/>
    </row>
    <row r="68" spans="1:11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  <c r="K68" s="23"/>
    </row>
    <row r="69" spans="1:11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  <c r="K69" s="23"/>
    </row>
    <row r="70" spans="1:11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  <c r="K70" s="23"/>
    </row>
    <row r="71" spans="1:11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  <c r="K71" s="23"/>
    </row>
    <row r="72" spans="1:11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  <c r="K72" s="23"/>
    </row>
    <row r="73" spans="1:11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  <c r="K73" s="23"/>
    </row>
    <row r="74" spans="1:11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  <c r="K74" s="23"/>
    </row>
    <row r="75" spans="1:11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  <c r="K75" s="23"/>
    </row>
    <row r="76" spans="1:11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  <c r="K76" s="23"/>
    </row>
    <row r="77" spans="1:11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  <c r="K77" s="23"/>
    </row>
    <row r="78" spans="1:11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  <c r="K78" s="23"/>
    </row>
    <row r="79" spans="1:11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  <c r="K79" s="23"/>
    </row>
    <row r="80" spans="1:11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  <c r="K80" s="23"/>
    </row>
    <row r="81" spans="1:11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  <c r="K81" s="23"/>
    </row>
    <row r="82" spans="1:11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  <c r="K82" s="23"/>
    </row>
    <row r="83" spans="1:11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  <c r="K83" s="23"/>
    </row>
    <row r="84" spans="1:11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  <c r="K84" s="23"/>
    </row>
    <row r="85" spans="1:11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  <c r="K85" s="23"/>
    </row>
    <row r="86" spans="1:11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  <c r="K86" s="23"/>
    </row>
    <row r="87" spans="1:11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  <c r="K87" s="23"/>
    </row>
    <row r="88" spans="1:11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  <c r="K88" s="23"/>
    </row>
    <row r="89" spans="1:11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  <c r="K89" s="23"/>
    </row>
    <row r="90" spans="1:11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  <c r="K90" s="23"/>
    </row>
    <row r="91" spans="1:11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  <c r="K91" s="23"/>
    </row>
    <row r="92" spans="1:11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  <c r="K92" s="23"/>
    </row>
    <row r="93" spans="1:11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  <c r="K93" s="23"/>
    </row>
    <row r="94" spans="1:11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  <c r="K94" s="23"/>
    </row>
    <row r="95" spans="1:11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  <c r="K95" s="23"/>
    </row>
    <row r="96" spans="1:11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  <c r="K96" s="23"/>
    </row>
    <row r="97" spans="1:11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  <c r="K97" s="23"/>
    </row>
    <row r="98" spans="1:11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  <c r="K98" s="23"/>
    </row>
    <row r="99" spans="1:11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  <c r="K99" s="23"/>
    </row>
    <row r="100" spans="1:11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  <c r="K100" s="23"/>
    </row>
    <row r="101" spans="1:11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  <c r="K101" s="23"/>
    </row>
    <row r="102" spans="1:11" s="21" customFormat="1" x14ac:dyDescent="0.15">
      <c r="H102" s="22"/>
      <c r="J102"/>
    </row>
    <row r="103" spans="1:11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1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6796875" defaultRowHeight="12.75" x14ac:dyDescent="0.15"/>
  <cols>
    <col min="1" max="1" width="28.31640625" bestFit="1" customWidth="1"/>
    <col min="2" max="4" width="4.71875" customWidth="1"/>
    <col min="5" max="6" width="11.0546875" customWidth="1"/>
    <col min="7" max="7" width="29.39453125" bestFit="1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 t="str">
        <f t="shared" ca="1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ca="1" si="2">IF(OR(A3="",ISNUMBER(A3)),"","X")</f>
        <v>X</v>
      </c>
      <c r="J3" s="40" t="s">
        <v>153</v>
      </c>
    </row>
    <row r="4" spans="1:10" ht="14.25" x14ac:dyDescent="0.15">
      <c r="A4" s="17">
        <f t="shared" ca="1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ca="1" si="2"/>
        <v/>
      </c>
      <c r="J4" s="40" t="s">
        <v>591</v>
      </c>
    </row>
    <row r="5" spans="1:10" ht="14.25" x14ac:dyDescent="0.15">
      <c r="A5" s="17">
        <f t="shared" ca="1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ca="1" si="2"/>
        <v/>
      </c>
      <c r="J5" s="40" t="s">
        <v>585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 ca="1"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ca="1" si="2"/>
        <v>X</v>
      </c>
      <c r="J7" s="40" t="s">
        <v>157</v>
      </c>
    </row>
    <row r="8" spans="1:10" ht="14.25" x14ac:dyDescent="0.15">
      <c r="A8" s="17" t="str">
        <f t="shared" ca="1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 ca="1"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ca="1" si="2"/>
        <v>X</v>
      </c>
      <c r="J8" s="40" t="s">
        <v>236</v>
      </c>
    </row>
    <row r="9" spans="1:10" ht="14.25" x14ac:dyDescent="0.15">
      <c r="A9" s="17">
        <f t="shared" ca="1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ca="1" si="2"/>
        <v/>
      </c>
      <c r="J9" s="40" t="s">
        <v>589</v>
      </c>
    </row>
    <row r="10" spans="1:10" ht="14.25" x14ac:dyDescent="0.15">
      <c r="A10" s="17" t="str">
        <f t="shared" ca="1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ca="1" si="2"/>
        <v>X</v>
      </c>
      <c r="J10" s="40" t="s">
        <v>154</v>
      </c>
    </row>
    <row r="11" spans="1:10" ht="14.25" x14ac:dyDescent="0.15">
      <c r="A11" s="17">
        <f t="shared" ca="1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ca="1" si="2"/>
        <v/>
      </c>
      <c r="J11" s="40" t="s">
        <v>590</v>
      </c>
    </row>
    <row r="12" spans="1:10" ht="14.25" x14ac:dyDescent="0.15">
      <c r="A12" s="17" t="str">
        <f t="shared" ca="1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 ca="1"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ca="1" si="2"/>
        <v/>
      </c>
      <c r="J13" s="40" t="s">
        <v>619</v>
      </c>
    </row>
    <row r="14" spans="1:10" ht="14.25" x14ac:dyDescent="0.15">
      <c r="A14" s="17" t="str">
        <f t="shared" ca="1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ca="1" si="2"/>
        <v>X</v>
      </c>
      <c r="J14" s="40" t="s">
        <v>241</v>
      </c>
    </row>
    <row r="15" spans="1:10" ht="14.25" x14ac:dyDescent="0.15">
      <c r="A15" s="17">
        <f t="shared" ca="1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 ca="1"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ca="1" si="2"/>
        <v/>
      </c>
      <c r="J15" s="40" t="s">
        <v>586</v>
      </c>
    </row>
    <row r="16" spans="1:10" ht="14.25" x14ac:dyDescent="0.15">
      <c r="A16" s="17" t="str">
        <f t="shared" ca="1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ca="1" si="2"/>
        <v>X</v>
      </c>
      <c r="J16" s="40" t="s">
        <v>142</v>
      </c>
    </row>
    <row r="17" spans="1:10" ht="14.25" x14ac:dyDescent="0.15">
      <c r="A17" s="17" t="str">
        <f t="shared" ca="1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 ca="1"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ca="1" si="2"/>
        <v>X</v>
      </c>
      <c r="J17" s="40" t="s">
        <v>141</v>
      </c>
    </row>
    <row r="18" spans="1:10" ht="14.25" x14ac:dyDescent="0.15">
      <c r="A18" s="17" t="str">
        <f t="shared" ca="1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 ca="1"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ca="1" si="2"/>
        <v>X</v>
      </c>
      <c r="J18" s="40" t="s">
        <v>143</v>
      </c>
    </row>
    <row r="19" spans="1:10" ht="14.25" x14ac:dyDescent="0.15">
      <c r="A19" s="17">
        <f t="shared" ca="1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ca="1" si="2"/>
        <v/>
      </c>
      <c r="J19" s="40" t="s">
        <v>598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ca="1" si="2"/>
        <v>X</v>
      </c>
      <c r="J20" s="40" t="s">
        <v>234</v>
      </c>
    </row>
    <row r="21" spans="1:10" ht="14.25" x14ac:dyDescent="0.15">
      <c r="A21" s="17">
        <f t="shared" ca="1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ca="1" si="2"/>
        <v/>
      </c>
      <c r="J21" s="40" t="s">
        <v>213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ca="1" si="2"/>
        <v/>
      </c>
      <c r="J23" s="40" t="s">
        <v>644</v>
      </c>
    </row>
    <row r="24" spans="1:10" ht="14.25" x14ac:dyDescent="0.15">
      <c r="A24" s="17">
        <f t="shared" ca="1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ca="1" si="2"/>
        <v/>
      </c>
      <c r="J24" s="40" t="s">
        <v>601</v>
      </c>
    </row>
    <row r="25" spans="1:10" ht="14.25" x14ac:dyDescent="0.15">
      <c r="A25" s="17">
        <f t="shared" ca="1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ca="1" si="2"/>
        <v/>
      </c>
      <c r="J25" s="40" t="s">
        <v>600</v>
      </c>
    </row>
    <row r="26" spans="1:10" ht="14.25" x14ac:dyDescent="0.15">
      <c r="A26" s="17">
        <f t="shared" ca="1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 ca="1"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ca="1" si="2"/>
        <v/>
      </c>
      <c r="J26" s="40" t="s">
        <v>649</v>
      </c>
    </row>
    <row r="27" spans="1:10" ht="14.25" x14ac:dyDescent="0.15">
      <c r="A27" s="17">
        <f t="shared" ca="1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ca="1" si="2"/>
        <v/>
      </c>
      <c r="J27" s="40" t="s">
        <v>652</v>
      </c>
    </row>
    <row r="28" spans="1:10" ht="14.25" x14ac:dyDescent="0.15">
      <c r="A28" s="17" t="str">
        <f t="shared" ca="1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ca="1" si="2"/>
        <v>X</v>
      </c>
      <c r="J28" s="40" t="s">
        <v>242</v>
      </c>
    </row>
    <row r="29" spans="1:10" ht="14.25" x14ac:dyDescent="0.15">
      <c r="A29" s="17" t="str">
        <f t="shared" ca="1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ca="1" si="2"/>
        <v>X</v>
      </c>
      <c r="J29" s="40" t="s">
        <v>145</v>
      </c>
    </row>
    <row r="30" spans="1:10" ht="14.25" x14ac:dyDescent="0.15">
      <c r="A30" s="17">
        <f t="shared" ca="1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 ca="1"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ca="1" si="2"/>
        <v/>
      </c>
      <c r="J30" s="40" t="s">
        <v>610</v>
      </c>
    </row>
    <row r="31" spans="1:10" ht="14.25" x14ac:dyDescent="0.15">
      <c r="A31" s="17">
        <f t="shared" ca="1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ca="1" si="2"/>
        <v/>
      </c>
      <c r="J31" s="40" t="s">
        <v>605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ca="1" si="2"/>
        <v>X</v>
      </c>
      <c r="J34" s="40" t="s">
        <v>243</v>
      </c>
    </row>
    <row r="35" spans="1:10" ht="14.25" x14ac:dyDescent="0.15">
      <c r="A35" s="17" t="str">
        <f t="shared" ca="1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ca="1" si="2"/>
        <v>X</v>
      </c>
      <c r="J35" s="40" t="s">
        <v>147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ca="1" si="2"/>
        <v/>
      </c>
      <c r="J36" s="40" t="s">
        <v>625</v>
      </c>
    </row>
    <row r="37" spans="1:10" ht="14.25" x14ac:dyDescent="0.15">
      <c r="A37" s="17">
        <f t="shared" ca="1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ca="1" si="2"/>
        <v/>
      </c>
      <c r="J37" s="40" t="s">
        <v>651</v>
      </c>
    </row>
    <row r="38" spans="1:10" ht="14.25" x14ac:dyDescent="0.15">
      <c r="A38" s="17">
        <f t="shared" ca="1" si="3"/>
        <v>23</v>
      </c>
      <c r="B38" s="17"/>
      <c r="C38" s="18"/>
      <c r="D38" s="18"/>
      <c r="E38" s="18"/>
      <c r="F38" s="18" t="s">
        <v>205</v>
      </c>
      <c r="G38" s="19" t="str">
        <f ca="1"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ca="1" si="2"/>
        <v/>
      </c>
      <c r="J38" s="40" t="s">
        <v>606</v>
      </c>
    </row>
    <row r="39" spans="1:10" ht="14.25" x14ac:dyDescent="0.15">
      <c r="A39" s="17" t="str">
        <f t="shared" ca="1" si="3"/>
        <v>Guy Bibby</v>
      </c>
      <c r="B39" s="17"/>
      <c r="C39" s="18"/>
      <c r="D39" s="18"/>
      <c r="E39" s="18"/>
      <c r="F39" s="18" t="s">
        <v>205</v>
      </c>
      <c r="G39" s="19" t="str">
        <f ca="1"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ca="1" si="2"/>
        <v>X</v>
      </c>
      <c r="J39" s="40" t="s">
        <v>232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 ca="1">IF(OR(A2="",ISNUMBER(A2)),"","X")</f>
        <v/>
      </c>
      <c r="J2" s="40">
        <v>407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 t="str">
        <f t="shared" ca="1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 ca="1"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ca="1" si="2"/>
        <v>X</v>
      </c>
      <c r="J4" s="40" t="s">
        <v>244</v>
      </c>
    </row>
    <row r="5" spans="1:10" ht="14.25" x14ac:dyDescent="0.15">
      <c r="A5" s="17" t="str">
        <f t="shared" ca="1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ca="1" si="2"/>
        <v>X</v>
      </c>
      <c r="J5" s="40" t="s">
        <v>153</v>
      </c>
    </row>
    <row r="6" spans="1:10" ht="14.25" x14ac:dyDescent="0.15">
      <c r="A6" s="17">
        <f t="shared" ca="1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 ca="1"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ca="1" si="2"/>
        <v/>
      </c>
      <c r="J6" s="40">
        <v>747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ca="1" si="2"/>
        <v>X</v>
      </c>
      <c r="J7" s="40" t="s">
        <v>150</v>
      </c>
    </row>
    <row r="8" spans="1:10" ht="14.25" x14ac:dyDescent="0.15">
      <c r="A8" s="17" t="str">
        <f t="shared" ca="1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 ca="1"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ca="1" si="2"/>
        <v>X</v>
      </c>
      <c r="J8" s="40" t="s">
        <v>157</v>
      </c>
    </row>
    <row r="9" spans="1:10" ht="14.25" x14ac:dyDescent="0.15">
      <c r="A9" s="17">
        <f t="shared" ca="1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 ca="1"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ca="1" si="2"/>
        <v/>
      </c>
      <c r="J9" s="40">
        <v>699</v>
      </c>
    </row>
    <row r="10" spans="1:10" ht="14.25" x14ac:dyDescent="0.15">
      <c r="A10" s="17" t="str">
        <f t="shared" ca="1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ca="1" si="2"/>
        <v>X</v>
      </c>
      <c r="J10" s="40" t="s">
        <v>245</v>
      </c>
    </row>
    <row r="11" spans="1:10" ht="14.25" x14ac:dyDescent="0.15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4.25" x14ac:dyDescent="0.15">
      <c r="A12" s="17">
        <f t="shared" ca="1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 ca="1"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ca="1" si="2"/>
        <v/>
      </c>
      <c r="J12" s="40">
        <v>1161</v>
      </c>
    </row>
    <row r="13" spans="1:10" ht="14.25" x14ac:dyDescent="0.15">
      <c r="A13" s="17">
        <f t="shared" ca="1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 ca="1"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ca="1" si="2"/>
        <v/>
      </c>
      <c r="J13" s="40" t="s">
        <v>226</v>
      </c>
    </row>
    <row r="14" spans="1:10" ht="14.25" x14ac:dyDescent="0.15">
      <c r="A14" s="17">
        <f t="shared" ca="1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ca="1" si="2"/>
        <v/>
      </c>
      <c r="J14" s="40">
        <v>967</v>
      </c>
    </row>
    <row r="15" spans="1:10" ht="14.25" x14ac:dyDescent="0.15">
      <c r="A15" s="17">
        <f t="shared" ca="1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 ca="1"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ca="1" si="2"/>
        <v/>
      </c>
      <c r="J15" s="40">
        <v>1109</v>
      </c>
    </row>
    <row r="16" spans="1:10" ht="14.25" x14ac:dyDescent="0.15">
      <c r="A16" s="17">
        <f t="shared" ca="1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ca="1" si="2"/>
        <v/>
      </c>
      <c r="J16" s="40">
        <v>1237</v>
      </c>
    </row>
    <row r="17" spans="1:10" ht="14.25" x14ac:dyDescent="0.15">
      <c r="A17" s="17">
        <f t="shared" ca="1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 ca="1"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ca="1" si="2"/>
        <v/>
      </c>
      <c r="J17" s="40">
        <v>1192</v>
      </c>
    </row>
    <row r="18" spans="1:10" ht="14.25" x14ac:dyDescent="0.15">
      <c r="A18" s="17" t="str">
        <f t="shared" ca="1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ca="1" si="2"/>
        <v>X</v>
      </c>
      <c r="J18" s="40" t="s">
        <v>141</v>
      </c>
    </row>
    <row r="19" spans="1:10" ht="14.25" x14ac:dyDescent="0.15">
      <c r="A19" s="17">
        <f t="shared" ca="1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 ca="1"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ca="1" si="2"/>
        <v/>
      </c>
      <c r="J19" s="40">
        <v>203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ca="1" si="2"/>
        <v>X</v>
      </c>
      <c r="J20" s="40" t="s">
        <v>145</v>
      </c>
    </row>
    <row r="21" spans="1:10" ht="14.25" x14ac:dyDescent="0.15">
      <c r="A21" s="17">
        <f t="shared" ca="1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 ca="1"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ca="1" si="2"/>
        <v/>
      </c>
      <c r="J21" s="40">
        <v>1383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 ca="1"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ca="1" si="2"/>
        <v/>
      </c>
      <c r="J23" s="40">
        <v>1112</v>
      </c>
    </row>
    <row r="24" spans="1:10" ht="14.25" x14ac:dyDescent="0.15">
      <c r="A24" s="17">
        <f t="shared" ca="1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 ca="1"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ca="1" si="2"/>
        <v/>
      </c>
      <c r="J24" s="40">
        <v>23</v>
      </c>
    </row>
    <row r="25" spans="1:10" ht="14.25" x14ac:dyDescent="0.15">
      <c r="A25" s="17">
        <f t="shared" ca="1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ca="1" si="2"/>
        <v/>
      </c>
      <c r="J25" s="40">
        <v>1107</v>
      </c>
    </row>
    <row r="26" spans="1:10" ht="14.25" x14ac:dyDescent="0.15">
      <c r="A26" s="17" t="str">
        <f t="shared" ca="1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ca="1" si="2"/>
        <v>X</v>
      </c>
      <c r="J26" s="40" t="s">
        <v>146</v>
      </c>
    </row>
    <row r="27" spans="1:10" ht="14.25" x14ac:dyDescent="0.15">
      <c r="A27" s="17" t="str">
        <f t="shared" ca="1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ca="1" si="2"/>
        <v>X</v>
      </c>
      <c r="J27" s="40" t="s">
        <v>144</v>
      </c>
    </row>
    <row r="28" spans="1:10" ht="14.25" x14ac:dyDescent="0.15">
      <c r="A28" s="17">
        <f t="shared" ca="1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ca="1" si="2"/>
        <v/>
      </c>
      <c r="J28" s="40">
        <v>1254</v>
      </c>
    </row>
    <row r="29" spans="1:10" ht="14.25" x14ac:dyDescent="0.15">
      <c r="A29" s="17">
        <f t="shared" ca="1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 ca="1"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ca="1" si="2"/>
        <v/>
      </c>
      <c r="J29" s="40">
        <v>674</v>
      </c>
    </row>
    <row r="30" spans="1:10" ht="14.25" x14ac:dyDescent="0.15">
      <c r="A30" s="17" t="str">
        <f t="shared" ca="1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 ca="1"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ca="1" si="2"/>
        <v>X</v>
      </c>
      <c r="J30" s="40" t="s">
        <v>246</v>
      </c>
    </row>
    <row r="31" spans="1:10" ht="14.25" x14ac:dyDescent="0.15">
      <c r="A31" s="17">
        <f t="shared" ca="1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ca="1" si="2"/>
        <v/>
      </c>
      <c r="J31" s="40">
        <v>1195</v>
      </c>
    </row>
    <row r="32" spans="1:10" ht="14.25" x14ac:dyDescent="0.15">
      <c r="A32" s="17">
        <f t="shared" ca="1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ca="1" si="2"/>
        <v/>
      </c>
      <c r="J32" s="40">
        <v>704</v>
      </c>
    </row>
    <row r="33" spans="1:10" ht="14.25" x14ac:dyDescent="0.15">
      <c r="A33" s="17" t="str">
        <f t="shared" ca="1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 ca="1"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ca="1" si="2"/>
        <v>X</v>
      </c>
      <c r="J33" s="40" t="s">
        <v>155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ca="1" si="2"/>
        <v/>
      </c>
      <c r="J34" s="40">
        <v>1386</v>
      </c>
    </row>
    <row r="35" spans="1:10" ht="14.25" x14ac:dyDescent="0.15">
      <c r="A35" s="17">
        <f t="shared" ca="1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ca="1" si="2"/>
        <v/>
      </c>
      <c r="J35" s="40">
        <v>1332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ca="1" si="2"/>
        <v/>
      </c>
      <c r="J36" s="40">
        <v>7</v>
      </c>
    </row>
    <row r="37" spans="1:10" ht="14.25" x14ac:dyDescent="0.15">
      <c r="A37" s="17">
        <f t="shared" ca="1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ca="1" si="2"/>
        <v/>
      </c>
      <c r="J37" s="40">
        <v>935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6796875" defaultRowHeight="12.75" x14ac:dyDescent="0.15"/>
  <cols>
    <col min="1" max="1" width="31.6875" bestFit="1" customWidth="1"/>
    <col min="2" max="4" width="4.71875" customWidth="1"/>
    <col min="5" max="6" width="11.0546875" customWidth="1"/>
    <col min="7" max="7" width="32.9023437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 ca="1"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 ca="1">IF(OR(A2="",ISNUMBER(A2)),"","X")</f>
        <v>X</v>
      </c>
      <c r="J2" s="40" t="s">
        <v>162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 ca="1"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ca="1" si="2"/>
        <v>X</v>
      </c>
      <c r="J5" s="40" t="s">
        <v>662</v>
      </c>
    </row>
    <row r="6" spans="1:10" ht="14.25" x14ac:dyDescent="0.15">
      <c r="A6" s="17" t="str">
        <f t="shared" ca="1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 ca="1"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ca="1" si="2"/>
        <v>X</v>
      </c>
      <c r="J6" s="40" t="s">
        <v>116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 ca="1"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ca="1" si="2"/>
        <v/>
      </c>
      <c r="J8" s="40">
        <v>407</v>
      </c>
    </row>
    <row r="9" spans="1:10" ht="14.25" x14ac:dyDescent="0.15">
      <c r="A9" s="17">
        <f t="shared" ca="1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ca="1" si="2"/>
        <v/>
      </c>
      <c r="J9" s="40">
        <v>747</v>
      </c>
    </row>
    <row r="10" spans="1:10" ht="14.25" x14ac:dyDescent="0.15">
      <c r="A10" s="17" t="str">
        <f t="shared" ca="1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ca="1" si="2"/>
        <v>X</v>
      </c>
      <c r="J10" s="40" t="s">
        <v>130</v>
      </c>
    </row>
    <row r="11" spans="1:10" ht="14.25" x14ac:dyDescent="0.15">
      <c r="A11" s="17" t="str">
        <f t="shared" ca="1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 ca="1"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ca="1" si="2"/>
        <v>X</v>
      </c>
      <c r="J11" s="40" t="s">
        <v>157</v>
      </c>
    </row>
    <row r="12" spans="1:10" ht="14.25" x14ac:dyDescent="0.15">
      <c r="A12" s="17">
        <f t="shared" ca="1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ca="1" si="2"/>
        <v/>
      </c>
      <c r="J12" s="40">
        <v>699</v>
      </c>
    </row>
    <row r="13" spans="1:10" ht="14.25" x14ac:dyDescent="0.15">
      <c r="A13" s="17">
        <f t="shared" ca="1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ca="1" si="2"/>
        <v/>
      </c>
      <c r="J13" s="40">
        <v>989</v>
      </c>
    </row>
    <row r="14" spans="1:10" ht="14.25" x14ac:dyDescent="0.15">
      <c r="A14" s="17">
        <f t="shared" ca="1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ca="1" si="2"/>
        <v/>
      </c>
      <c r="J14" s="40">
        <v>35</v>
      </c>
    </row>
    <row r="15" spans="1:10" ht="14.25" x14ac:dyDescent="0.15">
      <c r="A15" s="17">
        <f t="shared" ca="1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ca="1" si="2"/>
        <v/>
      </c>
      <c r="J15" s="40">
        <v>415</v>
      </c>
    </row>
    <row r="16" spans="1:10" ht="14.25" x14ac:dyDescent="0.15">
      <c r="A16" s="17" t="str">
        <f t="shared" ca="1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 ca="1"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ca="1" si="2"/>
        <v>X</v>
      </c>
      <c r="J16" s="40" t="s">
        <v>131</v>
      </c>
    </row>
    <row r="17" spans="1:10" ht="14.25" x14ac:dyDescent="0.15">
      <c r="A17" s="17" t="str">
        <f t="shared" ca="1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 ca="1"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ca="1" si="2"/>
        <v>X</v>
      </c>
      <c r="J17" s="40" t="s">
        <v>156</v>
      </c>
    </row>
    <row r="18" spans="1:10" ht="14.25" x14ac:dyDescent="0.15">
      <c r="A18" s="17">
        <f t="shared" ca="1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 ca="1"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ca="1" si="2"/>
        <v/>
      </c>
      <c r="J18" s="40">
        <v>1192</v>
      </c>
    </row>
    <row r="19" spans="1:10" ht="14.25" x14ac:dyDescent="0.15">
      <c r="A19" s="17">
        <f t="shared" ca="1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 ca="1"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ca="1" si="2"/>
        <v/>
      </c>
      <c r="J19" s="40">
        <v>38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ca="1" si="2"/>
        <v/>
      </c>
      <c r="J22" s="40">
        <v>23</v>
      </c>
    </row>
    <row r="23" spans="1:10" ht="14.25" x14ac:dyDescent="0.15">
      <c r="A23" s="17" t="str">
        <f t="shared" ca="1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 ca="1"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ca="1" si="2"/>
        <v>X</v>
      </c>
      <c r="J23" s="40" t="s">
        <v>165</v>
      </c>
    </row>
    <row r="24" spans="1:10" ht="14.25" x14ac:dyDescent="0.15">
      <c r="A24" s="17">
        <f t="shared" ca="1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ca="1" si="2"/>
        <v/>
      </c>
      <c r="J24" s="40">
        <v>1254</v>
      </c>
    </row>
    <row r="25" spans="1:10" ht="14.25" x14ac:dyDescent="0.15">
      <c r="A25" s="17">
        <f t="shared" ca="1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ca="1" si="2"/>
        <v/>
      </c>
      <c r="J25" s="40">
        <v>1237</v>
      </c>
    </row>
    <row r="26" spans="1:10" ht="14.25" x14ac:dyDescent="0.15">
      <c r="A26" s="17">
        <f t="shared" ca="1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 ca="1"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ca="1" si="2"/>
        <v/>
      </c>
      <c r="J26" s="40">
        <v>1109</v>
      </c>
    </row>
    <row r="27" spans="1:10" ht="14.25" x14ac:dyDescent="0.15">
      <c r="A27" s="17">
        <f t="shared" ca="1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 ca="1"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ca="1" si="2"/>
        <v/>
      </c>
      <c r="J27" s="40">
        <v>1112</v>
      </c>
    </row>
    <row r="28" spans="1:10" ht="14.25" x14ac:dyDescent="0.15">
      <c r="A28" s="17" t="str">
        <f t="shared" ca="1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 ca="1"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ca="1" si="2"/>
        <v>X</v>
      </c>
      <c r="J28" s="40" t="s">
        <v>146</v>
      </c>
    </row>
    <row r="29" spans="1:10" ht="14.25" x14ac:dyDescent="0.15">
      <c r="A29" s="17">
        <f t="shared" ca="1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 ca="1"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ca="1" si="2"/>
        <v/>
      </c>
      <c r="J29" s="40">
        <v>1242</v>
      </c>
    </row>
    <row r="30" spans="1:10" ht="14.25" x14ac:dyDescent="0.15">
      <c r="A30" s="17" t="str">
        <f t="shared" ca="1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 ca="1"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ca="1" si="2"/>
        <v>X</v>
      </c>
      <c r="J30" s="40" t="s">
        <v>158</v>
      </c>
    </row>
    <row r="31" spans="1:10" ht="14.25" x14ac:dyDescent="0.15">
      <c r="A31" s="17">
        <f t="shared" ca="1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ca="1" si="2"/>
        <v/>
      </c>
      <c r="J31" s="40">
        <v>1385</v>
      </c>
    </row>
    <row r="32" spans="1:10" ht="14.25" x14ac:dyDescent="0.15">
      <c r="A32" s="17">
        <f t="shared" ca="1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 ca="1"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ca="1" si="2"/>
        <v/>
      </c>
      <c r="J32" s="40">
        <v>1383</v>
      </c>
    </row>
    <row r="33" spans="1:10" ht="14.25" x14ac:dyDescent="0.15">
      <c r="A33" s="17" t="str">
        <f t="shared" ca="1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 ca="1"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ca="1" si="2"/>
        <v>X</v>
      </c>
      <c r="J33" s="40" t="s">
        <v>149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ca="1" si="2"/>
        <v/>
      </c>
      <c r="J34" s="40">
        <v>1107</v>
      </c>
    </row>
    <row r="35" spans="1:10" ht="14.25" x14ac:dyDescent="0.15">
      <c r="A35" s="17" t="str">
        <f t="shared" ca="1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 ca="1"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ca="1" si="2"/>
        <v>X</v>
      </c>
      <c r="J35" s="40" t="s">
        <v>137</v>
      </c>
    </row>
    <row r="36" spans="1:10" ht="14.25" x14ac:dyDescent="0.15">
      <c r="A36" s="17">
        <f t="shared" ca="1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 ca="1"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ca="1" si="2"/>
        <v/>
      </c>
      <c r="J36" s="40">
        <v>120</v>
      </c>
    </row>
    <row r="37" spans="1:10" ht="14.25" x14ac:dyDescent="0.15">
      <c r="A37" s="17" t="str">
        <f t="shared" ca="1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 ca="1"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ca="1" si="2"/>
        <v>X</v>
      </c>
      <c r="J37" s="40" t="s">
        <v>144</v>
      </c>
    </row>
    <row r="38" spans="1:10" ht="14.25" x14ac:dyDescent="0.15">
      <c r="A38" s="17">
        <f t="shared" ca="1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ca="1" si="2"/>
        <v/>
      </c>
      <c r="J38" s="40">
        <v>704</v>
      </c>
    </row>
    <row r="39" spans="1:10" ht="14.25" x14ac:dyDescent="0.15">
      <c r="A39" s="17">
        <f t="shared" ca="1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ca="1" si="2"/>
        <v/>
      </c>
      <c r="J39" s="40">
        <v>1326</v>
      </c>
    </row>
    <row r="40" spans="1:10" ht="14.25" x14ac:dyDescent="0.15">
      <c r="A40" s="17" t="str">
        <f t="shared" ca="1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 ca="1"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ca="1" si="2"/>
        <v>X</v>
      </c>
      <c r="J40" s="40" t="s">
        <v>164</v>
      </c>
    </row>
    <row r="41" spans="1:10" ht="14.25" x14ac:dyDescent="0.15">
      <c r="A41" s="17">
        <f t="shared" ca="1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 ca="1"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ca="1" si="2"/>
        <v/>
      </c>
      <c r="J41" s="40">
        <v>1195</v>
      </c>
    </row>
    <row r="42" spans="1:10" ht="14.25" x14ac:dyDescent="0.15">
      <c r="A42" s="17" t="str">
        <f t="shared" ca="1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 ca="1"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ca="1" si="2"/>
        <v>X</v>
      </c>
      <c r="J42" s="40" t="s">
        <v>121</v>
      </c>
    </row>
    <row r="43" spans="1:10" ht="14.25" x14ac:dyDescent="0.15">
      <c r="A43" s="17" t="str">
        <f t="shared" ca="1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 ca="1"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ca="1" si="2"/>
        <v>X</v>
      </c>
      <c r="J43" s="40" t="s">
        <v>155</v>
      </c>
    </row>
    <row r="44" spans="1:10" ht="14.25" x14ac:dyDescent="0.15">
      <c r="A44" s="17" t="str">
        <f t="shared" ca="1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 ca="1"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ca="1" si="2"/>
        <v>X</v>
      </c>
      <c r="J44" s="40" t="s">
        <v>148</v>
      </c>
    </row>
    <row r="45" spans="1:10" ht="14.25" x14ac:dyDescent="0.15">
      <c r="A45" s="17">
        <f t="shared" ca="1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 ca="1"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ca="1" si="2"/>
        <v/>
      </c>
      <c r="J45" s="40">
        <v>1386</v>
      </c>
    </row>
    <row r="46" spans="1:10" ht="14.25" x14ac:dyDescent="0.15">
      <c r="A46" s="17" t="str">
        <f t="shared" ca="1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 ca="1"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ca="1" si="2"/>
        <v>X</v>
      </c>
      <c r="J46" s="40" t="s">
        <v>140</v>
      </c>
    </row>
    <row r="47" spans="1:10" ht="14.25" x14ac:dyDescent="0.15">
      <c r="A47" s="17">
        <f t="shared" ca="1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 ca="1"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ca="1" si="2"/>
        <v/>
      </c>
      <c r="J47" s="40">
        <v>1194</v>
      </c>
    </row>
    <row r="48" spans="1:10" ht="14.25" x14ac:dyDescent="0.15">
      <c r="A48" s="17" t="str">
        <f t="shared" ca="1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 ca="1"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ca="1" si="2"/>
        <v>X</v>
      </c>
      <c r="J48" s="40" t="s">
        <v>147</v>
      </c>
    </row>
    <row r="49" spans="1:10" ht="14.25" x14ac:dyDescent="0.15">
      <c r="A49" s="17" t="str">
        <f t="shared" ca="1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 ca="1"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ca="1" si="2"/>
        <v>X</v>
      </c>
      <c r="J49" s="40" t="s">
        <v>670</v>
      </c>
    </row>
    <row r="50" spans="1:10" ht="14.25" x14ac:dyDescent="0.15">
      <c r="A50" s="17" t="str">
        <f t="shared" ca="1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 ca="1"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ca="1" si="2"/>
        <v>X</v>
      </c>
      <c r="J50" s="40" t="s">
        <v>127</v>
      </c>
    </row>
    <row r="51" spans="1:10" ht="14.25" x14ac:dyDescent="0.15">
      <c r="A51" s="17">
        <f t="shared" ca="1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 ca="1"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ca="1" si="2"/>
        <v/>
      </c>
      <c r="J51" s="40">
        <v>935</v>
      </c>
    </row>
    <row r="52" spans="1:10" ht="14.25" x14ac:dyDescent="0.15">
      <c r="A52" s="17">
        <f t="shared" ca="1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 ca="1"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ca="1" si="2"/>
        <v/>
      </c>
      <c r="J52" s="40">
        <v>7</v>
      </c>
    </row>
    <row r="53" spans="1:10" ht="14.25" x14ac:dyDescent="0.15">
      <c r="A53" s="17" t="str">
        <f t="shared" ca="1" si="3"/>
        <v>Colin Parkinson (SWRC) (HCRC)</v>
      </c>
      <c r="B53" s="17"/>
      <c r="C53" s="18"/>
      <c r="D53" s="18"/>
      <c r="E53" s="18"/>
      <c r="F53" s="18" t="s">
        <v>214</v>
      </c>
      <c r="G53" s="19" t="str">
        <f ca="1"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ca="1" si="2"/>
        <v>X</v>
      </c>
      <c r="J53" s="40" t="s">
        <v>665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6796875" defaultRowHeight="12.75" x14ac:dyDescent="0.15"/>
  <cols>
    <col min="1" max="1" width="25.08203125" bestFit="1" customWidth="1"/>
    <col min="2" max="3" width="4.71875" customWidth="1"/>
    <col min="4" max="4" width="6.47265625" bestFit="1" customWidth="1"/>
    <col min="5" max="6" width="11.0546875" customWidth="1"/>
    <col min="7" max="7" width="30.07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 ca="1"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 ca="1">IF(OR(A2="",ISNUMBER(A2)),"","X")</f>
        <v>X</v>
      </c>
      <c r="J2" s="40" t="s">
        <v>160</v>
      </c>
    </row>
    <row r="3" spans="1:10" ht="14.25" x14ac:dyDescent="0.15">
      <c r="A3" s="17" t="str">
        <f t="shared" ca="1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ca="1" si="2">IF(OR(A3="",ISNUMBER(A3)),"","X")</f>
        <v>X</v>
      </c>
      <c r="J3" s="40" t="s">
        <v>136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ca="1" si="2"/>
        <v/>
      </c>
      <c r="J5" s="40" t="s">
        <v>591</v>
      </c>
    </row>
    <row r="6" spans="1:10" ht="14.25" x14ac:dyDescent="0.15">
      <c r="A6" s="17">
        <f t="shared" ca="1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 ca="1"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ca="1" si="2"/>
        <v/>
      </c>
      <c r="J6" s="40" t="s">
        <v>583</v>
      </c>
    </row>
    <row r="7" spans="1:10" ht="14.25" x14ac:dyDescent="0.15">
      <c r="A7" s="17">
        <f t="shared" ca="1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ca="1" si="2"/>
        <v/>
      </c>
      <c r="J7" s="40" t="s">
        <v>584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ca="1" si="2"/>
        <v>X</v>
      </c>
      <c r="J8" s="40" t="s">
        <v>150</v>
      </c>
    </row>
    <row r="9" spans="1:10" ht="14.25" x14ac:dyDescent="0.15">
      <c r="A9" s="17">
        <f t="shared" ca="1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ca="1" si="2"/>
        <v/>
      </c>
      <c r="J9" s="40" t="s">
        <v>585</v>
      </c>
    </row>
    <row r="10" spans="1:10" ht="14.25" x14ac:dyDescent="0.15">
      <c r="A10" s="17">
        <f t="shared" ca="1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ca="1" si="2"/>
        <v/>
      </c>
      <c r="J10" s="40" t="s">
        <v>619</v>
      </c>
    </row>
    <row r="11" spans="1:10" ht="14.25" x14ac:dyDescent="0.15">
      <c r="A11" s="17" t="str">
        <f t="shared" ca="1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ca="1" si="2"/>
        <v>X</v>
      </c>
      <c r="J11" s="40" t="s">
        <v>133</v>
      </c>
    </row>
    <row r="12" spans="1:10" ht="14.25" x14ac:dyDescent="0.15">
      <c r="A12" s="17">
        <f t="shared" ca="1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ca="1" si="2"/>
        <v/>
      </c>
      <c r="J12" s="40" t="s">
        <v>586</v>
      </c>
    </row>
    <row r="13" spans="1:10" ht="14.25" x14ac:dyDescent="0.15">
      <c r="A13" s="17">
        <f t="shared" ca="1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ca="1" si="2"/>
        <v/>
      </c>
      <c r="J13" s="40" t="s">
        <v>590</v>
      </c>
    </row>
    <row r="14" spans="1:10" ht="14.25" x14ac:dyDescent="0.15">
      <c r="A14" s="17">
        <f t="shared" ca="1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ca="1" si="2"/>
        <v/>
      </c>
      <c r="J14" s="40" t="s">
        <v>594</v>
      </c>
    </row>
    <row r="15" spans="1:10" ht="14.25" x14ac:dyDescent="0.15">
      <c r="A15" s="17" t="str">
        <f t="shared" ca="1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 ca="1"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ca="1" si="2"/>
        <v>X</v>
      </c>
      <c r="J15" s="40" t="s">
        <v>135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 ca="1"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ca="1" si="2"/>
        <v>X</v>
      </c>
      <c r="J18" s="40" t="s">
        <v>146</v>
      </c>
    </row>
    <row r="19" spans="1:10" ht="14.25" x14ac:dyDescent="0.15">
      <c r="A19" s="17" t="str">
        <f t="shared" ca="1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ca="1" si="2"/>
        <v>X</v>
      </c>
      <c r="J19" s="40" t="s">
        <v>128</v>
      </c>
    </row>
    <row r="20" spans="1:10" ht="14.25" x14ac:dyDescent="0.15">
      <c r="A20" s="17">
        <f t="shared" ca="1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 ca="1"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ca="1" si="2"/>
        <v/>
      </c>
      <c r="J20" s="40" t="s">
        <v>601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 ca="1"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ca="1" si="2"/>
        <v/>
      </c>
      <c r="J22" s="40" t="s">
        <v>607</v>
      </c>
    </row>
    <row r="23" spans="1:10" ht="14.25" x14ac:dyDescent="0.15">
      <c r="A23" s="17">
        <f t="shared" ca="1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ca="1" si="2"/>
        <v/>
      </c>
      <c r="J23" s="40" t="s">
        <v>213</v>
      </c>
    </row>
    <row r="24" spans="1:10" ht="14.25" x14ac:dyDescent="0.15">
      <c r="A24" s="17">
        <f t="shared" ca="1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 ca="1"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ca="1" si="2"/>
        <v/>
      </c>
      <c r="J24" s="40" t="s">
        <v>649</v>
      </c>
    </row>
    <row r="25" spans="1:10" ht="14.25" x14ac:dyDescent="0.15">
      <c r="A25" s="17" t="str">
        <f t="shared" ca="1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ca="1" si="2"/>
        <v>X</v>
      </c>
      <c r="J25" s="40" t="s">
        <v>124</v>
      </c>
    </row>
    <row r="26" spans="1:10" ht="14.25" x14ac:dyDescent="0.15">
      <c r="A26" s="17" t="str">
        <f t="shared" ca="1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ca="1" si="2"/>
        <v>X</v>
      </c>
      <c r="J26" s="40" t="s">
        <v>671</v>
      </c>
    </row>
    <row r="27" spans="1:10" ht="14.25" x14ac:dyDescent="0.15">
      <c r="A27" s="17" t="str">
        <f t="shared" ca="1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ca="1" si="2"/>
        <v>X</v>
      </c>
      <c r="J27" s="40" t="s">
        <v>126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ca="1" si="2"/>
        <v>X</v>
      </c>
      <c r="J28" s="40" t="s">
        <v>145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ca="1" si="2"/>
        <v>X</v>
      </c>
      <c r="J29" s="40" t="s">
        <v>147</v>
      </c>
    </row>
    <row r="30" spans="1:10" ht="14.25" x14ac:dyDescent="0.15">
      <c r="A30" s="17" t="str">
        <f t="shared" ca="1" si="0"/>
        <v/>
      </c>
      <c r="B30" s="17"/>
      <c r="C30" s="18"/>
      <c r="D30" s="27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27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27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27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27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27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27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27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27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27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27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27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27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27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27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27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27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27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27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27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27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27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27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27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27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27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27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27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27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27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27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27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27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27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27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27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27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27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27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27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27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27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27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27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27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27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27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27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27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27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27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27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27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27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27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27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27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27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27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27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27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27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27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27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27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27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27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27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27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27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9" zoomScaleNormal="100" workbookViewId="0">
      <selection activeCell="J58" sqref="J58"/>
    </sheetView>
  </sheetViews>
  <sheetFormatPr defaultColWidth="9.16796875" defaultRowHeight="12.75" x14ac:dyDescent="0.15"/>
  <cols>
    <col min="1" max="1" width="26.69921875" bestFit="1" customWidth="1"/>
    <col min="2" max="4" width="4.71875" customWidth="1"/>
    <col min="5" max="6" width="11.0546875" customWidth="1"/>
    <col min="7" max="7" width="37.7578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 ca="1"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 ca="1">IF(OR(A2="",ISNUMBER(A2)),"","X")</f>
        <v>X</v>
      </c>
      <c r="J2" s="40" t="s">
        <v>247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 ca="1"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ca="1" si="2"/>
        <v>X</v>
      </c>
      <c r="J5" s="40" t="s">
        <v>116</v>
      </c>
    </row>
    <row r="6" spans="1:10" ht="14.25" x14ac:dyDescent="0.15">
      <c r="A6" s="17" t="str">
        <f t="shared" ca="1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 ca="1"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ca="1" si="2"/>
        <v>X</v>
      </c>
      <c r="J6" s="40" t="s">
        <v>162</v>
      </c>
    </row>
    <row r="7" spans="1:10" ht="14.25" x14ac:dyDescent="0.15">
      <c r="A7" s="17">
        <f t="shared" ca="1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 ca="1"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ca="1" si="2"/>
        <v/>
      </c>
      <c r="J7" s="40" t="s">
        <v>591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ca="1" si="2"/>
        <v>X</v>
      </c>
      <c r="J8" s="40" t="s">
        <v>150</v>
      </c>
    </row>
    <row r="9" spans="1:10" ht="14.25" x14ac:dyDescent="0.15">
      <c r="A9" s="17" t="str">
        <f t="shared" ca="1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 ca="1"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ca="1" si="2"/>
        <v>X</v>
      </c>
      <c r="J9" s="40" t="s">
        <v>248</v>
      </c>
    </row>
    <row r="10" spans="1:10" ht="14.25" x14ac:dyDescent="0.15">
      <c r="A10" s="17">
        <f t="shared" ca="1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ca="1" si="2"/>
        <v/>
      </c>
      <c r="J10" s="40" t="s">
        <v>586</v>
      </c>
    </row>
    <row r="11" spans="1:10" ht="14.25" x14ac:dyDescent="0.15">
      <c r="A11" s="17" t="str">
        <f t="shared" ca="1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 ca="1"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ca="1" si="2"/>
        <v>X</v>
      </c>
      <c r="J11" s="40" t="s">
        <v>249</v>
      </c>
    </row>
    <row r="12" spans="1:10" ht="14.25" x14ac:dyDescent="0.15">
      <c r="A12" s="17">
        <f t="shared" ca="1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ca="1" si="2"/>
        <v/>
      </c>
      <c r="J12" s="40" t="s">
        <v>585</v>
      </c>
    </row>
    <row r="13" spans="1:10" ht="14.25" x14ac:dyDescent="0.15">
      <c r="A13" s="17">
        <f t="shared" ca="1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ca="1" si="2"/>
        <v/>
      </c>
      <c r="J13" s="40" t="s">
        <v>594</v>
      </c>
    </row>
    <row r="14" spans="1:10" ht="14.25" x14ac:dyDescent="0.15">
      <c r="A14" s="17" t="str">
        <f t="shared" ca="1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 ca="1"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ca="1" si="2"/>
        <v>X</v>
      </c>
      <c r="J14" s="40" t="s">
        <v>666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ca="1" si="2"/>
        <v/>
      </c>
      <c r="J16" s="40" t="s">
        <v>620</v>
      </c>
    </row>
    <row r="17" spans="1:10" ht="14.25" x14ac:dyDescent="0.15">
      <c r="A17" s="17">
        <f t="shared" ca="1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 ca="1"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ca="1" si="2"/>
        <v/>
      </c>
      <c r="J17" s="40" t="s">
        <v>226</v>
      </c>
    </row>
    <row r="18" spans="1:10" ht="14.25" x14ac:dyDescent="0.15">
      <c r="A18" s="17" t="str">
        <f t="shared" ca="1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 ca="1"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ca="1" si="2"/>
        <v>X</v>
      </c>
      <c r="J18" s="40" t="s">
        <v>250</v>
      </c>
    </row>
    <row r="19" spans="1:10" ht="14.25" x14ac:dyDescent="0.15">
      <c r="A19" s="17" t="str">
        <f t="shared" ca="1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 ca="1"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ca="1" si="2"/>
        <v>X</v>
      </c>
      <c r="J19" s="40" t="s">
        <v>129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 ca="1"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ca="1" si="2"/>
        <v>X</v>
      </c>
      <c r="J21" s="40" t="s">
        <v>156</v>
      </c>
    </row>
    <row r="22" spans="1:10" ht="14.25" x14ac:dyDescent="0.15">
      <c r="A22" s="17" t="str">
        <f t="shared" ca="1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 ca="1"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ca="1" si="2"/>
        <v>X</v>
      </c>
      <c r="J22" s="40" t="s">
        <v>251</v>
      </c>
    </row>
    <row r="23" spans="1:10" ht="14.25" x14ac:dyDescent="0.15">
      <c r="A23" s="17" t="str">
        <f t="shared" ca="1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 ca="1"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ca="1" si="2"/>
        <v>X</v>
      </c>
      <c r="J23" s="40" t="s">
        <v>665</v>
      </c>
    </row>
    <row r="24" spans="1:10" ht="14.25" x14ac:dyDescent="0.15">
      <c r="A24" s="17" t="str">
        <f t="shared" ca="1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 ca="1"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ca="1" si="2"/>
        <v>X</v>
      </c>
      <c r="J24" s="40" t="s">
        <v>252</v>
      </c>
    </row>
    <row r="25" spans="1:10" ht="14.25" x14ac:dyDescent="0.15">
      <c r="A25" s="17" t="str">
        <f t="shared" ca="1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 ca="1"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ca="1" si="2"/>
        <v>X</v>
      </c>
      <c r="J25" s="40" t="s">
        <v>165</v>
      </c>
    </row>
    <row r="26" spans="1:10" ht="14.25" x14ac:dyDescent="0.15">
      <c r="A26" s="17">
        <f t="shared" ca="1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ca="1" si="2"/>
        <v/>
      </c>
      <c r="J26" s="40" t="s">
        <v>598</v>
      </c>
    </row>
    <row r="27" spans="1:10" ht="14.25" x14ac:dyDescent="0.15">
      <c r="A27" s="17" t="str">
        <f t="shared" ca="1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 ca="1"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ca="1" si="2"/>
        <v>X</v>
      </c>
      <c r="J27" s="40" t="s">
        <v>143</v>
      </c>
    </row>
    <row r="28" spans="1:10" ht="14.25" x14ac:dyDescent="0.15">
      <c r="A28" s="17" t="str">
        <f t="shared" ca="1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 ca="1"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ca="1" si="2"/>
        <v>X</v>
      </c>
      <c r="J28" s="40" t="s">
        <v>253</v>
      </c>
    </row>
    <row r="29" spans="1:10" ht="14.25" x14ac:dyDescent="0.15">
      <c r="A29" s="17">
        <f t="shared" ca="1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 ca="1"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ca="1" si="2"/>
        <v/>
      </c>
      <c r="J29" s="40" t="s">
        <v>601</v>
      </c>
    </row>
    <row r="30" spans="1:10" ht="14.25" x14ac:dyDescent="0.15">
      <c r="A30" s="17" t="str">
        <f t="shared" ca="1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 ca="1"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ca="1" si="2"/>
        <v>X</v>
      </c>
      <c r="J30" s="40" t="s">
        <v>141</v>
      </c>
    </row>
    <row r="31" spans="1:10" ht="14.25" x14ac:dyDescent="0.15">
      <c r="A31" s="17" t="str">
        <f t="shared" ca="1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 ca="1"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ca="1" si="2"/>
        <v>X</v>
      </c>
      <c r="J31" s="40" t="s">
        <v>254</v>
      </c>
    </row>
    <row r="32" spans="1:10" ht="14.25" x14ac:dyDescent="0.15">
      <c r="A32" s="17">
        <f t="shared" ca="1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 ca="1"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ca="1" si="2"/>
        <v/>
      </c>
      <c r="J32" s="40" t="s">
        <v>606</v>
      </c>
    </row>
    <row r="33" spans="1:10" ht="14.25" x14ac:dyDescent="0.15">
      <c r="A33" s="17" t="str">
        <f t="shared" ca="1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 ca="1"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ca="1" si="2"/>
        <v>X</v>
      </c>
      <c r="J33" s="40" t="s">
        <v>255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 ca="1"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ca="1" si="2"/>
        <v>X</v>
      </c>
      <c r="J34" s="40" t="s">
        <v>256</v>
      </c>
    </row>
    <row r="35" spans="1:10" ht="14.25" x14ac:dyDescent="0.15">
      <c r="A35" s="17">
        <f t="shared" ca="1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 ca="1"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ca="1" si="2"/>
        <v/>
      </c>
      <c r="J35" s="40" t="s">
        <v>643</v>
      </c>
    </row>
    <row r="36" spans="1:10" ht="14.25" x14ac:dyDescent="0.15">
      <c r="A36" s="17" t="str">
        <f t="shared" ca="1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 ca="1"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ca="1" si="2"/>
        <v>X</v>
      </c>
      <c r="J36" s="40" t="s">
        <v>257</v>
      </c>
    </row>
    <row r="37" spans="1:10" ht="14.25" x14ac:dyDescent="0.15">
      <c r="A37" s="17">
        <f t="shared" ca="1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 ca="1"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ca="1" si="2"/>
        <v/>
      </c>
      <c r="J37" s="40" t="s">
        <v>605</v>
      </c>
    </row>
    <row r="38" spans="1:10" ht="14.25" x14ac:dyDescent="0.15">
      <c r="A38" s="17">
        <f t="shared" ca="1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 ca="1"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ca="1" si="2"/>
        <v/>
      </c>
      <c r="J38" s="40" t="s">
        <v>607</v>
      </c>
    </row>
    <row r="39" spans="1:10" ht="14.25" x14ac:dyDescent="0.15">
      <c r="A39" s="17">
        <f t="shared" ca="1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ca="1" si="2"/>
        <v/>
      </c>
      <c r="J39" s="40" t="s">
        <v>617</v>
      </c>
    </row>
    <row r="40" spans="1:10" ht="14.25" x14ac:dyDescent="0.15">
      <c r="A40" s="17" t="str">
        <f t="shared" ca="1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 ca="1"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ca="1" si="2"/>
        <v>X</v>
      </c>
      <c r="J40" s="40" t="s">
        <v>149</v>
      </c>
    </row>
    <row r="41" spans="1:10" ht="14.25" x14ac:dyDescent="0.15">
      <c r="A41" s="17" t="str">
        <f t="shared" ca="1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 ca="1"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ca="1" si="2"/>
        <v>X</v>
      </c>
      <c r="J41" s="40" t="s">
        <v>258</v>
      </c>
    </row>
    <row r="42" spans="1:10" ht="14.25" x14ac:dyDescent="0.15">
      <c r="A42" s="17">
        <f t="shared" ca="1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 ca="1"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ca="1" si="2"/>
        <v/>
      </c>
      <c r="J42" s="40" t="s">
        <v>213</v>
      </c>
    </row>
    <row r="43" spans="1:10" ht="14.25" x14ac:dyDescent="0.15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4.25" x14ac:dyDescent="0.15">
      <c r="A44" s="17">
        <f t="shared" ca="1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 ca="1"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ca="1" si="2"/>
        <v/>
      </c>
      <c r="J44" s="40" t="s">
        <v>600</v>
      </c>
    </row>
    <row r="45" spans="1:10" ht="14.25" x14ac:dyDescent="0.15">
      <c r="A45" s="17" t="str">
        <f t="shared" ca="1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 ca="1"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ca="1" si="2"/>
        <v>X</v>
      </c>
      <c r="J45" s="40" t="s">
        <v>144</v>
      </c>
    </row>
    <row r="46" spans="1:10" ht="14.25" x14ac:dyDescent="0.15">
      <c r="A46" s="17">
        <f t="shared" ca="1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 ca="1"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ca="1" si="2"/>
        <v/>
      </c>
      <c r="J46" s="40" t="s">
        <v>610</v>
      </c>
    </row>
    <row r="47" spans="1:10" ht="14.25" x14ac:dyDescent="0.15">
      <c r="A47" s="17" t="str">
        <f t="shared" ca="1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 ca="1"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ca="1" si="2"/>
        <v>X</v>
      </c>
      <c r="J47" s="40" t="s">
        <v>260</v>
      </c>
    </row>
    <row r="48" spans="1:10" ht="14.25" x14ac:dyDescent="0.15">
      <c r="A48" s="17" t="str">
        <f t="shared" ca="1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 ca="1"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ca="1" si="2"/>
        <v>X</v>
      </c>
      <c r="J48" s="40" t="s">
        <v>124</v>
      </c>
    </row>
    <row r="49" spans="1:10" ht="14.25" x14ac:dyDescent="0.15">
      <c r="A49" s="17">
        <f t="shared" ca="1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 ca="1"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ca="1" si="2"/>
        <v/>
      </c>
      <c r="J49" s="40" t="s">
        <v>611</v>
      </c>
    </row>
    <row r="50" spans="1:10" ht="14.25" x14ac:dyDescent="0.15">
      <c r="A50" s="17" t="str">
        <f t="shared" ca="1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 ca="1"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ca="1" si="2"/>
        <v>X</v>
      </c>
      <c r="J50" s="40" t="s">
        <v>261</v>
      </c>
    </row>
    <row r="51" spans="1:10" ht="14.25" x14ac:dyDescent="0.15">
      <c r="A51" s="17" t="str">
        <f t="shared" ca="1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 ca="1"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ca="1" si="2"/>
        <v>X</v>
      </c>
      <c r="J51" s="40" t="s">
        <v>155</v>
      </c>
    </row>
    <row r="52" spans="1:10" ht="14.25" x14ac:dyDescent="0.15">
      <c r="A52" s="17" t="str">
        <f t="shared" ca="1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 ca="1"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ca="1" si="2"/>
        <v>X</v>
      </c>
      <c r="J52" s="40" t="s">
        <v>673</v>
      </c>
    </row>
    <row r="53" spans="1:10" ht="14.25" x14ac:dyDescent="0.15">
      <c r="A53" s="17" t="str">
        <f t="shared" ca="1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 ca="1"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ca="1" si="2"/>
        <v>X</v>
      </c>
      <c r="J53" s="40" t="s">
        <v>147</v>
      </c>
    </row>
    <row r="54" spans="1:10" ht="14.25" x14ac:dyDescent="0.15">
      <c r="A54" s="17">
        <f t="shared" ca="1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 ca="1"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ca="1" si="2"/>
        <v/>
      </c>
      <c r="J54" s="40" t="s">
        <v>650</v>
      </c>
    </row>
    <row r="55" spans="1:10" ht="14.25" x14ac:dyDescent="0.15">
      <c r="A55" s="17" t="str">
        <f t="shared" ca="1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 ca="1"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ca="1" si="2"/>
        <v>X</v>
      </c>
      <c r="J55" s="40" t="s">
        <v>262</v>
      </c>
    </row>
    <row r="56" spans="1:10" ht="14.25" x14ac:dyDescent="0.15">
      <c r="A56" s="17">
        <f t="shared" ca="1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 ca="1"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ca="1" si="2"/>
        <v/>
      </c>
      <c r="J56" s="40" t="s">
        <v>625</v>
      </c>
    </row>
    <row r="57" spans="1:10" ht="14.25" x14ac:dyDescent="0.15">
      <c r="A57" s="17">
        <f t="shared" ca="1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 ca="1"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ca="1" si="2"/>
        <v/>
      </c>
      <c r="J57" s="40" t="s">
        <v>651</v>
      </c>
    </row>
    <row r="58" spans="1:10" ht="14.25" x14ac:dyDescent="0.15">
      <c r="A58" s="17">
        <f t="shared" ca="1" si="3"/>
        <v>581</v>
      </c>
      <c r="B58" s="17">
        <v>0</v>
      </c>
      <c r="C58" s="18">
        <v>33</v>
      </c>
      <c r="D58" s="18">
        <v>15</v>
      </c>
      <c r="E58" s="18" t="s">
        <v>170</v>
      </c>
      <c r="F58" s="18"/>
      <c r="G58" s="19" t="str">
        <f ca="1">IF($A58="","",IF($I58="X",A58,CONCATENATE(VLOOKUP(A58,Competitors!$A$2:$I$650,3, FALSE)," ",VLOOKUP(A58,Competitors!$A$2:$I$650,2,FALSE))))</f>
        <v>Mike Ives</v>
      </c>
      <c r="H58" s="20">
        <f t="shared" si="1"/>
        <v>2.3090277777777779E-2</v>
      </c>
      <c r="I58" t="str">
        <f t="shared" ca="1" si="2"/>
        <v/>
      </c>
      <c r="J58" s="40" t="s">
        <v>0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8.203125" customWidth="1"/>
    <col min="7" max="7" width="36.5429687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8" t="str">
        <f t="shared" ref="A2:A33" ca="1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28">
        <f t="shared" ca="1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28">
        <f t="shared" ca="1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ca="1" si="2"/>
        <v/>
      </c>
      <c r="J4" s="40" t="s">
        <v>591</v>
      </c>
    </row>
    <row r="5" spans="1:10" ht="14.25" x14ac:dyDescent="0.15">
      <c r="A5" s="28">
        <f t="shared" ca="1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 ca="1"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ca="1" si="2"/>
        <v/>
      </c>
      <c r="J5" s="40" t="s">
        <v>620</v>
      </c>
    </row>
    <row r="6" spans="1:10" ht="14.25" x14ac:dyDescent="0.15">
      <c r="A6" s="28">
        <f t="shared" ca="1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 ca="1"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ca="1" si="2"/>
        <v/>
      </c>
      <c r="J6" s="40" t="s">
        <v>585</v>
      </c>
    </row>
    <row r="7" spans="1:10" ht="14.25" x14ac:dyDescent="0.15">
      <c r="A7" s="28">
        <f t="shared" ca="1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ca="1" si="2"/>
        <v/>
      </c>
      <c r="J7" s="40" t="s">
        <v>586</v>
      </c>
    </row>
    <row r="8" spans="1:10" ht="14.25" x14ac:dyDescent="0.15">
      <c r="A8" s="28">
        <f t="shared" ca="1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ca="1" si="2"/>
        <v/>
      </c>
      <c r="J8" s="40" t="s">
        <v>587</v>
      </c>
    </row>
    <row r="9" spans="1:10" ht="14.25" x14ac:dyDescent="0.15">
      <c r="A9" s="28" t="str">
        <f t="shared" ca="1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ca="1" si="2"/>
        <v>X</v>
      </c>
      <c r="J9" s="40" t="s">
        <v>143</v>
      </c>
    </row>
    <row r="10" spans="1:10" ht="14.25" x14ac:dyDescent="0.15">
      <c r="A10" s="28">
        <f t="shared" ca="1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 ca="1"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ca="1" si="2"/>
        <v/>
      </c>
      <c r="J10" s="40" t="s">
        <v>213</v>
      </c>
    </row>
    <row r="11" spans="1:10" ht="14.25" x14ac:dyDescent="0.15">
      <c r="A11" s="28" t="str">
        <f t="shared" ca="1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ca="1" si="2"/>
        <v>X</v>
      </c>
      <c r="J11" s="40" t="s">
        <v>141</v>
      </c>
    </row>
    <row r="12" spans="1:10" ht="14.25" x14ac:dyDescent="0.15">
      <c r="A12" s="28">
        <f t="shared" ca="1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ca="1" si="2"/>
        <v/>
      </c>
      <c r="J12" s="40" t="s">
        <v>601</v>
      </c>
    </row>
    <row r="13" spans="1:10" ht="14.25" x14ac:dyDescent="0.15">
      <c r="A13" s="28">
        <f t="shared" ca="1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 ca="1"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ca="1" si="2"/>
        <v/>
      </c>
      <c r="J13" s="40" t="s">
        <v>643</v>
      </c>
    </row>
    <row r="14" spans="1:10" ht="14.25" x14ac:dyDescent="0.15">
      <c r="A14" s="28" t="str">
        <f t="shared" ca="1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 ca="1"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ca="1" si="2"/>
        <v>X</v>
      </c>
      <c r="J14" s="40" t="s">
        <v>145</v>
      </c>
    </row>
    <row r="15" spans="1:10" ht="14.25" x14ac:dyDescent="0.15">
      <c r="A15" s="28" t="str">
        <f t="shared" ca="1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 ca="1"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ca="1" si="2"/>
        <v>X</v>
      </c>
      <c r="J15" s="40" t="s">
        <v>146</v>
      </c>
    </row>
    <row r="16" spans="1:10" ht="14.25" x14ac:dyDescent="0.15">
      <c r="A16" s="28">
        <f t="shared" ca="1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 ca="1"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ca="1" si="2"/>
        <v/>
      </c>
      <c r="J16" s="40" t="s">
        <v>606</v>
      </c>
    </row>
    <row r="17" spans="1:10" ht="14.25" x14ac:dyDescent="0.15">
      <c r="A17" s="28">
        <f t="shared" ca="1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 ca="1"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ca="1" si="2"/>
        <v/>
      </c>
      <c r="J17" s="40" t="s">
        <v>649</v>
      </c>
    </row>
    <row r="18" spans="1:10" ht="14.25" x14ac:dyDescent="0.15">
      <c r="A18" s="28">
        <f t="shared" ca="1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 ca="1"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ca="1" si="2"/>
        <v/>
      </c>
      <c r="J18" s="40" t="s">
        <v>617</v>
      </c>
    </row>
    <row r="19" spans="1:10" ht="14.25" x14ac:dyDescent="0.15">
      <c r="A19" s="28" t="str">
        <f t="shared" ca="1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ca="1" si="2"/>
        <v>X</v>
      </c>
      <c r="J19" s="40" t="s">
        <v>149</v>
      </c>
    </row>
    <row r="20" spans="1:10" ht="14.25" x14ac:dyDescent="0.15">
      <c r="A20" s="28">
        <f t="shared" ca="1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 ca="1"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ca="1" si="2"/>
        <v/>
      </c>
      <c r="J20" s="40" t="s">
        <v>621</v>
      </c>
    </row>
    <row r="21" spans="1:10" ht="14.25" x14ac:dyDescent="0.15">
      <c r="A21" s="28">
        <f t="shared" ca="1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ca="1" si="2"/>
        <v/>
      </c>
      <c r="J21" s="40" t="s">
        <v>613</v>
      </c>
    </row>
    <row r="22" spans="1:10" ht="14.25" x14ac:dyDescent="0.15">
      <c r="A22" s="28">
        <f t="shared" ca="1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 ca="1"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ca="1" si="2"/>
        <v/>
      </c>
      <c r="J22" s="40" t="s">
        <v>604</v>
      </c>
    </row>
    <row r="23" spans="1:10" ht="14.25" x14ac:dyDescent="0.15">
      <c r="A23" s="28" t="str">
        <f t="shared" ca="1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 ca="1"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ca="1" si="2"/>
        <v>X</v>
      </c>
      <c r="J23" s="40" t="s">
        <v>263</v>
      </c>
    </row>
    <row r="24" spans="1:10" ht="14.25" x14ac:dyDescent="0.15">
      <c r="A24" s="28" t="str">
        <f t="shared" ca="1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 ca="1"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ca="1" si="2"/>
        <v>X</v>
      </c>
      <c r="J24" s="40" t="s">
        <v>264</v>
      </c>
    </row>
    <row r="25" spans="1:10" ht="14.25" x14ac:dyDescent="0.15">
      <c r="A25" s="28">
        <f t="shared" ca="1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ca="1" si="2"/>
        <v/>
      </c>
      <c r="J25" s="40" t="s">
        <v>611</v>
      </c>
    </row>
    <row r="26" spans="1:10" ht="14.25" x14ac:dyDescent="0.15">
      <c r="A26" s="28">
        <f t="shared" ca="1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 ca="1"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ca="1" si="2"/>
        <v/>
      </c>
      <c r="J26" s="40" t="s">
        <v>610</v>
      </c>
    </row>
    <row r="27" spans="1:10" ht="14.25" x14ac:dyDescent="0.15">
      <c r="A27" s="28" t="str">
        <f t="shared" ca="1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 ca="1"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ca="1" si="2"/>
        <v>X</v>
      </c>
      <c r="J27" s="40" t="s">
        <v>140</v>
      </c>
    </row>
    <row r="28" spans="1:10" ht="14.25" x14ac:dyDescent="0.15">
      <c r="A28" s="28" t="str">
        <f t="shared" ca="1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 ca="1"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ca="1" si="2"/>
        <v>X</v>
      </c>
      <c r="J28" s="40" t="s">
        <v>147</v>
      </c>
    </row>
    <row r="29" spans="1:10" ht="14.25" x14ac:dyDescent="0.15">
      <c r="A29" s="28" t="str">
        <f t="shared" ca="1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 ca="1"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ca="1" si="2"/>
        <v>X</v>
      </c>
      <c r="J29" s="40" t="s">
        <v>265</v>
      </c>
    </row>
    <row r="30" spans="1:10" ht="14.25" x14ac:dyDescent="0.15">
      <c r="A30" s="28" t="str">
        <f t="shared" ca="1" si="0"/>
        <v/>
      </c>
      <c r="B30" s="28"/>
      <c r="C30" s="28"/>
      <c r="D30" s="28"/>
      <c r="E30" s="28"/>
      <c r="F30" s="2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8" t="str">
        <f t="shared" ca="1" si="0"/>
        <v/>
      </c>
      <c r="B31" s="28"/>
      <c r="C31" s="28"/>
      <c r="D31" s="28"/>
      <c r="E31" s="28"/>
      <c r="F31" s="2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8" t="str">
        <f t="shared" ca="1" si="0"/>
        <v/>
      </c>
      <c r="B32" s="28"/>
      <c r="C32" s="28"/>
      <c r="D32" s="28"/>
      <c r="E32" s="28"/>
      <c r="F32" s="2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8" t="str">
        <f t="shared" ca="1" si="0"/>
        <v/>
      </c>
      <c r="B33" s="28"/>
      <c r="C33" s="28"/>
      <c r="D33" s="28"/>
      <c r="E33" s="28"/>
      <c r="F33" s="2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8" t="str">
        <f t="shared" ref="A34:A65" ca="1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8" t="str">
        <f t="shared" ca="1" si="3"/>
        <v/>
      </c>
      <c r="B35" s="28"/>
      <c r="C35" s="28"/>
      <c r="D35" s="28"/>
      <c r="E35" s="28"/>
      <c r="F35" s="2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8" t="str">
        <f t="shared" ca="1" si="3"/>
        <v/>
      </c>
      <c r="B36" s="28"/>
      <c r="C36" s="28"/>
      <c r="D36" s="28"/>
      <c r="E36" s="28"/>
      <c r="F36" s="2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8" t="str">
        <f t="shared" ca="1" si="3"/>
        <v/>
      </c>
      <c r="B37" s="28"/>
      <c r="C37" s="28"/>
      <c r="D37" s="28"/>
      <c r="E37" s="28"/>
      <c r="F37" s="2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8" t="str">
        <f t="shared" ca="1" si="3"/>
        <v/>
      </c>
      <c r="B38" s="28"/>
      <c r="C38" s="28"/>
      <c r="D38" s="28"/>
      <c r="E38" s="28"/>
      <c r="F38" s="2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8" t="str">
        <f t="shared" ca="1" si="3"/>
        <v/>
      </c>
      <c r="B39" s="28"/>
      <c r="C39" s="28"/>
      <c r="D39" s="28"/>
      <c r="E39" s="28"/>
      <c r="F39" s="2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8" t="str">
        <f t="shared" ca="1" si="3"/>
        <v/>
      </c>
      <c r="B40" s="28"/>
      <c r="C40" s="28"/>
      <c r="D40" s="28"/>
      <c r="E40" s="28"/>
      <c r="F40" s="2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8" t="str">
        <f t="shared" ca="1" si="3"/>
        <v/>
      </c>
      <c r="B41" s="28"/>
      <c r="C41" s="28"/>
      <c r="D41" s="28"/>
      <c r="E41" s="28"/>
      <c r="F41" s="2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8" t="str">
        <f t="shared" ca="1" si="3"/>
        <v/>
      </c>
      <c r="B42" s="28"/>
      <c r="C42" s="28"/>
      <c r="D42" s="28"/>
      <c r="E42" s="28"/>
      <c r="F42" s="2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8" t="str">
        <f t="shared" ca="1" si="3"/>
        <v/>
      </c>
      <c r="B43" s="28"/>
      <c r="C43" s="28"/>
      <c r="D43" s="28"/>
      <c r="E43" s="28"/>
      <c r="F43" s="2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8" t="str">
        <f t="shared" ca="1" si="3"/>
        <v/>
      </c>
      <c r="B44" s="28"/>
      <c r="C44" s="28"/>
      <c r="D44" s="28"/>
      <c r="E44" s="28"/>
      <c r="F44" s="2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8" t="str">
        <f t="shared" ca="1" si="3"/>
        <v/>
      </c>
      <c r="B45" s="28"/>
      <c r="C45" s="28"/>
      <c r="D45" s="28"/>
      <c r="E45" s="28"/>
      <c r="F45" s="2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8" t="str">
        <f t="shared" ca="1" si="3"/>
        <v/>
      </c>
      <c r="B46" s="28"/>
      <c r="C46" s="28"/>
      <c r="D46" s="28"/>
      <c r="E46" s="28"/>
      <c r="F46" s="2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8" t="str">
        <f t="shared" ca="1" si="3"/>
        <v/>
      </c>
      <c r="B47" s="28"/>
      <c r="C47" s="28"/>
      <c r="D47" s="28"/>
      <c r="E47" s="28"/>
      <c r="F47" s="2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8" t="str">
        <f t="shared" ca="1" si="3"/>
        <v/>
      </c>
      <c r="B48" s="28"/>
      <c r="C48" s="28"/>
      <c r="D48" s="28"/>
      <c r="E48" s="28"/>
      <c r="F48" s="2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8" t="str">
        <f t="shared" ca="1" si="3"/>
        <v/>
      </c>
      <c r="B49" s="28"/>
      <c r="C49" s="28"/>
      <c r="D49" s="28"/>
      <c r="E49" s="28"/>
      <c r="F49" s="2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8" t="str">
        <f t="shared" ca="1" si="3"/>
        <v/>
      </c>
      <c r="B50" s="28"/>
      <c r="C50" s="28"/>
      <c r="D50" s="28"/>
      <c r="E50" s="28"/>
      <c r="F50" s="2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8" t="str">
        <f t="shared" ca="1" si="3"/>
        <v/>
      </c>
      <c r="B51" s="28"/>
      <c r="C51" s="28"/>
      <c r="D51" s="28"/>
      <c r="E51" s="28"/>
      <c r="F51" s="2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8" t="str">
        <f t="shared" ca="1" si="3"/>
        <v/>
      </c>
      <c r="B52" s="28"/>
      <c r="C52" s="28"/>
      <c r="D52" s="28"/>
      <c r="E52" s="28"/>
      <c r="F52" s="2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8" t="str">
        <f t="shared" ca="1" si="3"/>
        <v/>
      </c>
      <c r="B53" s="28"/>
      <c r="C53" s="28"/>
      <c r="D53" s="28"/>
      <c r="E53" s="28"/>
      <c r="F53" s="2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8" t="str">
        <f t="shared" ca="1" si="3"/>
        <v/>
      </c>
      <c r="B54" s="28"/>
      <c r="C54" s="28"/>
      <c r="D54" s="28"/>
      <c r="E54" s="28"/>
      <c r="F54" s="2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8" t="str">
        <f t="shared" ca="1" si="3"/>
        <v/>
      </c>
      <c r="B55" s="28"/>
      <c r="C55" s="28"/>
      <c r="D55" s="28"/>
      <c r="E55" s="28"/>
      <c r="F55" s="2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8" t="str">
        <f t="shared" ca="1" si="3"/>
        <v/>
      </c>
      <c r="B56" s="28"/>
      <c r="C56" s="28"/>
      <c r="D56" s="28"/>
      <c r="E56" s="28"/>
      <c r="F56" s="2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8" t="str">
        <f t="shared" ca="1" si="3"/>
        <v/>
      </c>
      <c r="B57" s="28"/>
      <c r="C57" s="28"/>
      <c r="D57" s="28"/>
      <c r="E57" s="28"/>
      <c r="F57" s="2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8" t="str">
        <f t="shared" ca="1" si="3"/>
        <v/>
      </c>
      <c r="B58" s="28"/>
      <c r="C58" s="28"/>
      <c r="D58" s="28"/>
      <c r="E58" s="28"/>
      <c r="F58" s="2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8" t="str">
        <f t="shared" ca="1" si="3"/>
        <v/>
      </c>
      <c r="B59" s="28"/>
      <c r="C59" s="28"/>
      <c r="D59" s="28"/>
      <c r="E59" s="28"/>
      <c r="F59" s="2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8" t="str">
        <f t="shared" ca="1" si="3"/>
        <v/>
      </c>
      <c r="B60" s="28"/>
      <c r="C60" s="28"/>
      <c r="D60" s="28"/>
      <c r="E60" s="28"/>
      <c r="F60" s="2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8" t="str">
        <f t="shared" ca="1" si="3"/>
        <v/>
      </c>
      <c r="B61" s="28"/>
      <c r="C61" s="28"/>
      <c r="D61" s="28"/>
      <c r="E61" s="28"/>
      <c r="F61" s="2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8" t="str">
        <f t="shared" ca="1" si="3"/>
        <v/>
      </c>
      <c r="B62" s="28"/>
      <c r="C62" s="28"/>
      <c r="D62" s="28"/>
      <c r="E62" s="28"/>
      <c r="F62" s="2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8" t="str">
        <f t="shared" ca="1" si="3"/>
        <v/>
      </c>
      <c r="B63" s="28"/>
      <c r="C63" s="28"/>
      <c r="D63" s="28"/>
      <c r="E63" s="28"/>
      <c r="F63" s="2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8" t="str">
        <f t="shared" ca="1" si="3"/>
        <v/>
      </c>
      <c r="B64" s="28"/>
      <c r="C64" s="28"/>
      <c r="D64" s="28"/>
      <c r="E64" s="28"/>
      <c r="F64" s="2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8" t="str">
        <f t="shared" ca="1" si="3"/>
        <v/>
      </c>
      <c r="B65" s="28"/>
      <c r="C65" s="28"/>
      <c r="D65" s="28"/>
      <c r="E65" s="28"/>
      <c r="F65" s="2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8" t="str">
        <f t="shared" ref="A66:A101" ca="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8" t="str">
        <f t="shared" ca="1" si="4"/>
        <v/>
      </c>
      <c r="B67" s="28"/>
      <c r="C67" s="28"/>
      <c r="D67" s="28"/>
      <c r="E67" s="28"/>
      <c r="F67" s="2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8" t="str">
        <f t="shared" ca="1" si="4"/>
        <v/>
      </c>
      <c r="B68" s="28"/>
      <c r="C68" s="28"/>
      <c r="D68" s="28"/>
      <c r="E68" s="28"/>
      <c r="F68" s="2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8" t="str">
        <f t="shared" ca="1" si="4"/>
        <v/>
      </c>
      <c r="B69" s="28"/>
      <c r="C69" s="28"/>
      <c r="D69" s="28"/>
      <c r="E69" s="28"/>
      <c r="F69" s="2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8" t="str">
        <f t="shared" ca="1" si="4"/>
        <v/>
      </c>
      <c r="B70" s="28"/>
      <c r="C70" s="28"/>
      <c r="D70" s="28"/>
      <c r="E70" s="28"/>
      <c r="F70" s="2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8" t="str">
        <f t="shared" ca="1" si="4"/>
        <v/>
      </c>
      <c r="B71" s="28"/>
      <c r="C71" s="28"/>
      <c r="D71" s="28"/>
      <c r="E71" s="28"/>
      <c r="F71" s="2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8" t="str">
        <f t="shared" ca="1" si="4"/>
        <v/>
      </c>
      <c r="B72" s="28"/>
      <c r="C72" s="28"/>
      <c r="D72" s="28"/>
      <c r="E72" s="28"/>
      <c r="F72" s="2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8" t="str">
        <f t="shared" ca="1" si="4"/>
        <v/>
      </c>
      <c r="B73" s="28"/>
      <c r="C73" s="28"/>
      <c r="D73" s="28"/>
      <c r="E73" s="28"/>
      <c r="F73" s="2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8" t="str">
        <f t="shared" ca="1" si="4"/>
        <v/>
      </c>
      <c r="B74" s="28"/>
      <c r="C74" s="28"/>
      <c r="D74" s="28"/>
      <c r="E74" s="28"/>
      <c r="F74" s="2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8" t="str">
        <f t="shared" ca="1" si="4"/>
        <v/>
      </c>
      <c r="B75" s="28"/>
      <c r="C75" s="28"/>
      <c r="D75" s="28"/>
      <c r="E75" s="28"/>
      <c r="F75" s="2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8" t="str">
        <f t="shared" ca="1" si="4"/>
        <v/>
      </c>
      <c r="B76" s="28"/>
      <c r="C76" s="28"/>
      <c r="D76" s="28"/>
      <c r="E76" s="28"/>
      <c r="F76" s="2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8" t="str">
        <f t="shared" ca="1" si="4"/>
        <v/>
      </c>
      <c r="B77" s="28"/>
      <c r="C77" s="28"/>
      <c r="D77" s="28"/>
      <c r="E77" s="28"/>
      <c r="F77" s="2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8" t="str">
        <f t="shared" ca="1" si="4"/>
        <v/>
      </c>
      <c r="B78" s="28"/>
      <c r="C78" s="28"/>
      <c r="D78" s="28"/>
      <c r="E78" s="28"/>
      <c r="F78" s="2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8" t="str">
        <f t="shared" ca="1" si="4"/>
        <v/>
      </c>
      <c r="B79" s="28"/>
      <c r="C79" s="28"/>
      <c r="D79" s="28"/>
      <c r="E79" s="28"/>
      <c r="F79" s="2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8" t="str">
        <f t="shared" ca="1" si="4"/>
        <v/>
      </c>
      <c r="B80" s="28"/>
      <c r="C80" s="28"/>
      <c r="D80" s="28"/>
      <c r="E80" s="28"/>
      <c r="F80" s="2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8" t="str">
        <f t="shared" ca="1" si="4"/>
        <v/>
      </c>
      <c r="B81" s="28"/>
      <c r="C81" s="28"/>
      <c r="D81" s="28"/>
      <c r="E81" s="28"/>
      <c r="F81" s="2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8" t="str">
        <f t="shared" ca="1" si="4"/>
        <v/>
      </c>
      <c r="B82" s="28"/>
      <c r="C82" s="28"/>
      <c r="D82" s="28"/>
      <c r="E82" s="28"/>
      <c r="F82" s="2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8" t="str">
        <f t="shared" ca="1" si="4"/>
        <v/>
      </c>
      <c r="B83" s="28"/>
      <c r="C83" s="28"/>
      <c r="D83" s="28"/>
      <c r="E83" s="28"/>
      <c r="F83" s="2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8" t="str">
        <f t="shared" ca="1" si="4"/>
        <v/>
      </c>
      <c r="B84" s="28"/>
      <c r="C84" s="28"/>
      <c r="D84" s="28"/>
      <c r="E84" s="28"/>
      <c r="F84" s="2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8" t="str">
        <f t="shared" ca="1" si="4"/>
        <v/>
      </c>
      <c r="B85" s="28"/>
      <c r="C85" s="28"/>
      <c r="D85" s="28"/>
      <c r="E85" s="28"/>
      <c r="F85" s="2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8" t="str">
        <f t="shared" ca="1" si="4"/>
        <v/>
      </c>
      <c r="B86" s="28"/>
      <c r="C86" s="28"/>
      <c r="D86" s="28"/>
      <c r="E86" s="28"/>
      <c r="F86" s="2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8" t="str">
        <f t="shared" ca="1" si="4"/>
        <v/>
      </c>
      <c r="B87" s="28"/>
      <c r="C87" s="28"/>
      <c r="D87" s="28"/>
      <c r="E87" s="28"/>
      <c r="F87" s="2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8" t="str">
        <f t="shared" ca="1" si="4"/>
        <v/>
      </c>
      <c r="B88" s="28"/>
      <c r="C88" s="28"/>
      <c r="D88" s="28"/>
      <c r="E88" s="28"/>
      <c r="F88" s="2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8" t="str">
        <f t="shared" ca="1" si="4"/>
        <v/>
      </c>
      <c r="B89" s="28"/>
      <c r="C89" s="28"/>
      <c r="D89" s="28"/>
      <c r="E89" s="28"/>
      <c r="F89" s="2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8" t="str">
        <f t="shared" ca="1" si="4"/>
        <v/>
      </c>
      <c r="B90" s="28"/>
      <c r="C90" s="28"/>
      <c r="D90" s="28"/>
      <c r="E90" s="28"/>
      <c r="F90" s="2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8" t="str">
        <f t="shared" ca="1" si="4"/>
        <v/>
      </c>
      <c r="B91" s="28"/>
      <c r="C91" s="28"/>
      <c r="D91" s="28"/>
      <c r="E91" s="28"/>
      <c r="F91" s="2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8" t="str">
        <f t="shared" ca="1" si="4"/>
        <v/>
      </c>
      <c r="B92" s="28"/>
      <c r="C92" s="28"/>
      <c r="D92" s="28"/>
      <c r="E92" s="28"/>
      <c r="F92" s="2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8" t="str">
        <f t="shared" ca="1" si="4"/>
        <v/>
      </c>
      <c r="B93" s="28"/>
      <c r="C93" s="28"/>
      <c r="D93" s="28"/>
      <c r="E93" s="28"/>
      <c r="F93" s="2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8" t="str">
        <f t="shared" ca="1" si="4"/>
        <v/>
      </c>
      <c r="B94" s="28"/>
      <c r="C94" s="28"/>
      <c r="D94" s="28"/>
      <c r="E94" s="28"/>
      <c r="F94" s="2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8" t="str">
        <f t="shared" ca="1" si="4"/>
        <v/>
      </c>
      <c r="B95" s="28"/>
      <c r="C95" s="28"/>
      <c r="D95" s="28"/>
      <c r="E95" s="28"/>
      <c r="F95" s="2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8" t="str">
        <f t="shared" ca="1" si="4"/>
        <v/>
      </c>
      <c r="B96" s="28"/>
      <c r="C96" s="28"/>
      <c r="D96" s="28"/>
      <c r="E96" s="28"/>
      <c r="F96" s="2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8" t="str">
        <f t="shared" ca="1" si="4"/>
        <v/>
      </c>
      <c r="B97" s="28"/>
      <c r="C97" s="28"/>
      <c r="D97" s="28"/>
      <c r="E97" s="28"/>
      <c r="F97" s="2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8" t="str">
        <f t="shared" ca="1" si="4"/>
        <v/>
      </c>
      <c r="B98" s="28"/>
      <c r="C98" s="28"/>
      <c r="D98" s="28"/>
      <c r="E98" s="28"/>
      <c r="F98" s="2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8" t="str">
        <f t="shared" ca="1" si="4"/>
        <v/>
      </c>
      <c r="B99" s="28"/>
      <c r="C99" s="28"/>
      <c r="D99" s="28"/>
      <c r="E99" s="28"/>
      <c r="F99" s="2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8" t="str">
        <f t="shared" ca="1" si="4"/>
        <v/>
      </c>
      <c r="B100" s="28"/>
      <c r="C100" s="28"/>
      <c r="D100" s="28"/>
      <c r="E100" s="28"/>
      <c r="F100" s="2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8" t="str">
        <f t="shared" ca="1" si="4"/>
        <v/>
      </c>
      <c r="B101" s="28"/>
      <c r="C101" s="28"/>
      <c r="D101" s="28"/>
      <c r="E101" s="28"/>
      <c r="F101" s="2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6796875" defaultRowHeight="12.75" x14ac:dyDescent="0.15"/>
  <cols>
    <col min="1" max="1" width="28.85546875" bestFit="1" customWidth="1"/>
    <col min="2" max="3" width="4.71875" customWidth="1"/>
    <col min="4" max="4" width="12.53906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34" t="str">
        <f t="shared" ref="A2:A33" ca="1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 ca="1"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 ca="1">IF(OR(A2="",ISNUMBER(A2)),"","X")</f>
        <v>X</v>
      </c>
      <c r="J2" s="40" t="s">
        <v>266</v>
      </c>
    </row>
    <row r="3" spans="1:10" ht="14.25" x14ac:dyDescent="0.15">
      <c r="A3" s="34" t="str">
        <f t="shared" ca="1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 ca="1"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34" t="str">
        <f t="shared" ca="1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 ca="1"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ca="1" si="2"/>
        <v>X</v>
      </c>
      <c r="J4" s="40" t="s">
        <v>267</v>
      </c>
    </row>
    <row r="5" spans="1:10" ht="14.25" x14ac:dyDescent="0.15">
      <c r="A5" s="34" t="str">
        <f t="shared" ca="1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 ca="1"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ca="1" si="2"/>
        <v>X</v>
      </c>
      <c r="J5" s="40" t="s">
        <v>268</v>
      </c>
    </row>
    <row r="6" spans="1:10" ht="14.25" x14ac:dyDescent="0.15">
      <c r="A6" s="34" t="str">
        <f t="shared" ca="1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 ca="1"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ca="1" si="2"/>
        <v>X</v>
      </c>
      <c r="J6" s="40" t="s">
        <v>219</v>
      </c>
    </row>
    <row r="7" spans="1:10" ht="14.25" x14ac:dyDescent="0.15">
      <c r="A7" s="34">
        <f t="shared" ca="1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 ca="1"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ca="1" si="2"/>
        <v/>
      </c>
      <c r="J7" s="40" t="s">
        <v>591</v>
      </c>
    </row>
    <row r="8" spans="1:10" ht="14.25" x14ac:dyDescent="0.15">
      <c r="A8" s="34">
        <f t="shared" ca="1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 ca="1"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ca="1" si="2"/>
        <v/>
      </c>
      <c r="J8" s="40" t="s">
        <v>584</v>
      </c>
    </row>
    <row r="9" spans="1:10" ht="14.25" x14ac:dyDescent="0.15">
      <c r="A9" s="34" t="str">
        <f t="shared" ca="1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 ca="1"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ca="1" si="2"/>
        <v>X</v>
      </c>
      <c r="J9" s="40" t="s">
        <v>180</v>
      </c>
    </row>
    <row r="10" spans="1:10" ht="14.25" x14ac:dyDescent="0.15">
      <c r="A10" s="34" t="str">
        <f t="shared" ca="1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 ca="1"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ca="1" si="2"/>
        <v>X</v>
      </c>
      <c r="J10" s="40" t="s">
        <v>154</v>
      </c>
    </row>
    <row r="11" spans="1:10" ht="14.25" x14ac:dyDescent="0.15">
      <c r="A11" s="34">
        <f t="shared" ca="1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 ca="1"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ca="1" si="2"/>
        <v/>
      </c>
      <c r="J11" s="40" t="s">
        <v>602</v>
      </c>
    </row>
    <row r="12" spans="1:10" ht="14.25" x14ac:dyDescent="0.15">
      <c r="A12" s="34" t="str">
        <f t="shared" ca="1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 ca="1"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ca="1" si="2"/>
        <v>X</v>
      </c>
      <c r="J12" s="40" t="s">
        <v>156</v>
      </c>
    </row>
    <row r="13" spans="1:10" ht="14.25" x14ac:dyDescent="0.15">
      <c r="A13" s="34">
        <f t="shared" ca="1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 ca="1"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ca="1" si="2"/>
        <v/>
      </c>
      <c r="J13" s="40" t="s">
        <v>642</v>
      </c>
    </row>
    <row r="14" spans="1:10" ht="14.25" x14ac:dyDescent="0.15">
      <c r="A14" s="34" t="str">
        <f t="shared" ca="1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 ca="1"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ca="1" si="2"/>
        <v>X</v>
      </c>
      <c r="J14" s="40" t="s">
        <v>269</v>
      </c>
    </row>
    <row r="15" spans="1:10" ht="14.25" x14ac:dyDescent="0.15">
      <c r="A15" s="34" t="str">
        <f t="shared" ca="1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 ca="1"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ca="1" si="2"/>
        <v>X</v>
      </c>
      <c r="J15" s="40" t="s">
        <v>270</v>
      </c>
    </row>
    <row r="16" spans="1:10" ht="14.25" x14ac:dyDescent="0.15">
      <c r="A16" s="34" t="str">
        <f t="shared" ca="1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 ca="1"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ca="1" si="2"/>
        <v>X</v>
      </c>
      <c r="J16" s="40" t="s">
        <v>271</v>
      </c>
    </row>
    <row r="17" spans="1:10" ht="14.25" x14ac:dyDescent="0.15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4.25" x14ac:dyDescent="0.15">
      <c r="A18" s="34">
        <f t="shared" ca="1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 ca="1"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ca="1" si="2"/>
        <v/>
      </c>
      <c r="J18" s="40" t="s">
        <v>598</v>
      </c>
    </row>
    <row r="19" spans="1:10" ht="14.25" x14ac:dyDescent="0.15">
      <c r="A19" s="34">
        <f t="shared" ca="1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 ca="1"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ca="1" si="2"/>
        <v/>
      </c>
      <c r="J19" s="40" t="s">
        <v>645</v>
      </c>
    </row>
    <row r="20" spans="1:10" ht="14.25" x14ac:dyDescent="0.15">
      <c r="A20" s="34">
        <f t="shared" ca="1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 ca="1"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ca="1" si="2"/>
        <v/>
      </c>
      <c r="J20" s="40" t="s">
        <v>646</v>
      </c>
    </row>
    <row r="21" spans="1:10" ht="14.25" x14ac:dyDescent="0.15">
      <c r="A21" s="34" t="str">
        <f t="shared" ca="1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 ca="1"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ca="1" si="2"/>
        <v>X</v>
      </c>
      <c r="J21" s="40" t="s">
        <v>272</v>
      </c>
    </row>
    <row r="22" spans="1:10" ht="14.25" x14ac:dyDescent="0.15">
      <c r="A22" s="34">
        <f t="shared" ca="1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 ca="1"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ca="1" si="2"/>
        <v/>
      </c>
      <c r="J22" s="40" t="s">
        <v>647</v>
      </c>
    </row>
    <row r="23" spans="1:10" ht="14.25" x14ac:dyDescent="0.15">
      <c r="A23" s="34" t="str">
        <f t="shared" ca="1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 ca="1"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ca="1" si="2"/>
        <v>X</v>
      </c>
      <c r="J23" s="40" t="s">
        <v>273</v>
      </c>
    </row>
    <row r="24" spans="1:10" ht="14.25" x14ac:dyDescent="0.15">
      <c r="A24" s="34">
        <f t="shared" ca="1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 ca="1"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ca="1" si="2"/>
        <v/>
      </c>
      <c r="J24" s="40" t="s">
        <v>648</v>
      </c>
    </row>
    <row r="25" spans="1:10" ht="14.25" x14ac:dyDescent="0.15">
      <c r="A25" s="34" t="str">
        <f t="shared" ca="1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 ca="1"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ca="1" si="2"/>
        <v>X</v>
      </c>
      <c r="J25" s="40" t="s">
        <v>221</v>
      </c>
    </row>
    <row r="26" spans="1:10" ht="14.25" x14ac:dyDescent="0.15">
      <c r="A26" s="34" t="str">
        <f t="shared" ca="1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 ca="1"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ca="1" si="2"/>
        <v>X</v>
      </c>
      <c r="J26" s="40" t="s">
        <v>241</v>
      </c>
    </row>
    <row r="27" spans="1:10" ht="14.25" x14ac:dyDescent="0.15">
      <c r="A27" s="34">
        <f t="shared" ca="1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 ca="1"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ca="1" si="2"/>
        <v/>
      </c>
      <c r="J27" s="40" t="s">
        <v>213</v>
      </c>
    </row>
    <row r="28" spans="1:10" ht="14.25" x14ac:dyDescent="0.15">
      <c r="A28" s="34">
        <f t="shared" ca="1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 ca="1"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ca="1" si="2"/>
        <v/>
      </c>
      <c r="J28" s="40" t="s">
        <v>621</v>
      </c>
    </row>
    <row r="29" spans="1:10" ht="14.25" x14ac:dyDescent="0.15">
      <c r="A29" s="34" t="str">
        <f t="shared" ca="1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 ca="1"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ca="1" si="2"/>
        <v>X</v>
      </c>
      <c r="J29" s="40" t="s">
        <v>274</v>
      </c>
    </row>
    <row r="30" spans="1:10" ht="14.25" x14ac:dyDescent="0.15">
      <c r="A30" s="34">
        <f t="shared" ca="1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 ca="1"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ca="1" si="2"/>
        <v/>
      </c>
      <c r="J30" s="40" t="s">
        <v>600</v>
      </c>
    </row>
    <row r="31" spans="1:10" ht="14.25" x14ac:dyDescent="0.15">
      <c r="A31" s="34" t="str">
        <f t="shared" ca="1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 ca="1"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ca="1" si="2"/>
        <v>X</v>
      </c>
      <c r="J31" s="40" t="s">
        <v>275</v>
      </c>
    </row>
    <row r="32" spans="1:10" ht="14.25" x14ac:dyDescent="0.15">
      <c r="A32" s="34" t="str">
        <f t="shared" ca="1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 ca="1"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ca="1" si="2"/>
        <v>X</v>
      </c>
      <c r="J32" s="40" t="s">
        <v>193</v>
      </c>
    </row>
    <row r="33" spans="1:10" ht="14.25" x14ac:dyDescent="0.15">
      <c r="A33" s="34" t="str">
        <f t="shared" ca="1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 ca="1"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ca="1" si="2"/>
        <v>X</v>
      </c>
      <c r="J33" s="40" t="s">
        <v>223</v>
      </c>
    </row>
    <row r="34" spans="1:10" ht="14.25" x14ac:dyDescent="0.15">
      <c r="A34" s="34" t="str">
        <f t="shared" ref="A34:A65" ca="1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 ca="1"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ca="1" si="2"/>
        <v>X</v>
      </c>
      <c r="J34" s="40" t="s">
        <v>222</v>
      </c>
    </row>
    <row r="35" spans="1:10" ht="14.25" x14ac:dyDescent="0.15">
      <c r="A35" s="34" t="str">
        <f t="shared" ca="1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 ca="1"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ca="1" si="2"/>
        <v>X</v>
      </c>
      <c r="J35" s="40" t="s">
        <v>225</v>
      </c>
    </row>
    <row r="36" spans="1:10" ht="14.25" x14ac:dyDescent="0.15">
      <c r="A36" s="34" t="str">
        <f t="shared" ca="1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 ca="1"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ca="1" si="2"/>
        <v>X</v>
      </c>
      <c r="J36" s="40" t="s">
        <v>186</v>
      </c>
    </row>
    <row r="37" spans="1:10" ht="14.25" x14ac:dyDescent="0.15">
      <c r="A37" s="34">
        <f t="shared" ca="1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 ca="1"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ca="1" si="2"/>
        <v/>
      </c>
      <c r="J37" s="40" t="s">
        <v>613</v>
      </c>
    </row>
    <row r="38" spans="1:10" ht="14.25" x14ac:dyDescent="0.15">
      <c r="A38" s="34">
        <f t="shared" ca="1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 ca="1"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ca="1" si="2"/>
        <v/>
      </c>
      <c r="J38" s="40" t="s">
        <v>616</v>
      </c>
    </row>
    <row r="39" spans="1:10" ht="14.25" x14ac:dyDescent="0.15">
      <c r="A39" s="34" t="str">
        <f t="shared" ca="1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 ca="1"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ca="1" si="2"/>
        <v>X</v>
      </c>
      <c r="J39" s="40" t="s">
        <v>276</v>
      </c>
    </row>
    <row r="40" spans="1:10" ht="14.25" x14ac:dyDescent="0.15">
      <c r="A40" s="34" t="str">
        <f t="shared" ca="1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 ca="1"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ca="1" si="2"/>
        <v>X</v>
      </c>
      <c r="J40" s="40" t="s">
        <v>277</v>
      </c>
    </row>
    <row r="41" spans="1:10" ht="14.25" x14ac:dyDescent="0.15">
      <c r="A41" s="34" t="str">
        <f t="shared" ca="1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 ca="1"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ca="1" si="2"/>
        <v>X</v>
      </c>
      <c r="J41" s="40" t="s">
        <v>278</v>
      </c>
    </row>
    <row r="42" spans="1:10" ht="14.25" x14ac:dyDescent="0.15">
      <c r="A42" s="34">
        <f t="shared" ca="1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 ca="1"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ca="1" si="2"/>
        <v/>
      </c>
      <c r="J42" s="40" t="s">
        <v>611</v>
      </c>
    </row>
    <row r="43" spans="1:10" ht="14.25" x14ac:dyDescent="0.15">
      <c r="A43" s="34" t="str">
        <f t="shared" ca="1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 ca="1"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ca="1" si="2"/>
        <v>X</v>
      </c>
      <c r="J43" s="40" t="s">
        <v>200</v>
      </c>
    </row>
    <row r="44" spans="1:10" ht="14.25" x14ac:dyDescent="0.15">
      <c r="A44" s="34" t="str">
        <f t="shared" ca="1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 ca="1"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ca="1" si="2"/>
        <v>X</v>
      </c>
      <c r="J44" s="40" t="s">
        <v>279</v>
      </c>
    </row>
    <row r="45" spans="1:10" ht="14.25" x14ac:dyDescent="0.15">
      <c r="A45" s="34" t="str">
        <f t="shared" ca="1" si="3"/>
        <v/>
      </c>
      <c r="B45" s="34"/>
      <c r="C45" s="35"/>
      <c r="D45" s="36"/>
      <c r="E45" s="35"/>
      <c r="F45" s="35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34" t="str">
        <f t="shared" ca="1" si="3"/>
        <v/>
      </c>
      <c r="B46" s="34"/>
      <c r="C46" s="35"/>
      <c r="D46" s="36"/>
      <c r="E46" s="35"/>
      <c r="F46" s="35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34" t="str">
        <f t="shared" ca="1" si="3"/>
        <v/>
      </c>
      <c r="B47" s="34"/>
      <c r="C47" s="35"/>
      <c r="D47" s="36"/>
      <c r="E47" s="35"/>
      <c r="F47" s="35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34" t="str">
        <f t="shared" ca="1" si="3"/>
        <v/>
      </c>
      <c r="B48" s="34"/>
      <c r="C48" s="35"/>
      <c r="D48" s="36"/>
      <c r="E48" s="35"/>
      <c r="F48" s="35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34" t="str">
        <f t="shared" ca="1" si="3"/>
        <v/>
      </c>
      <c r="B49" s="34"/>
      <c r="C49" s="35"/>
      <c r="D49" s="36"/>
      <c r="E49" s="35"/>
      <c r="F49" s="35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34" t="str">
        <f t="shared" ca="1" si="3"/>
        <v/>
      </c>
      <c r="B50" s="34"/>
      <c r="C50" s="35"/>
      <c r="D50" s="36"/>
      <c r="E50" s="35"/>
      <c r="F50" s="35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34" t="str">
        <f t="shared" ca="1" si="3"/>
        <v/>
      </c>
      <c r="B51" s="34"/>
      <c r="C51" s="35"/>
      <c r="D51" s="36"/>
      <c r="E51" s="35"/>
      <c r="F51" s="35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34" t="str">
        <f t="shared" ca="1" si="3"/>
        <v/>
      </c>
      <c r="B52" s="34"/>
      <c r="C52" s="35"/>
      <c r="D52" s="36"/>
      <c r="E52" s="35"/>
      <c r="F52" s="35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34" t="str">
        <f t="shared" ca="1" si="3"/>
        <v/>
      </c>
      <c r="B53" s="34"/>
      <c r="C53" s="35"/>
      <c r="D53" s="36"/>
      <c r="E53" s="35"/>
      <c r="F53" s="35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34" t="str">
        <f t="shared" ca="1" si="3"/>
        <v/>
      </c>
      <c r="B54" s="34"/>
      <c r="C54" s="35"/>
      <c r="D54" s="36"/>
      <c r="E54" s="35"/>
      <c r="F54" s="35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34" t="str">
        <f t="shared" ca="1" si="3"/>
        <v/>
      </c>
      <c r="B55" s="34"/>
      <c r="C55" s="35"/>
      <c r="D55" s="36"/>
      <c r="E55" s="35"/>
      <c r="F55" s="35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34" t="str">
        <f t="shared" ca="1" si="3"/>
        <v/>
      </c>
      <c r="B56" s="34"/>
      <c r="C56" s="35"/>
      <c r="D56" s="36"/>
      <c r="E56" s="35"/>
      <c r="F56" s="35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34" t="str">
        <f t="shared" ca="1" si="3"/>
        <v/>
      </c>
      <c r="B57" s="34"/>
      <c r="C57" s="35"/>
      <c r="D57" s="36"/>
      <c r="E57" s="35"/>
      <c r="F57" s="35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34" t="str">
        <f t="shared" ca="1" si="3"/>
        <v/>
      </c>
      <c r="B58" s="34"/>
      <c r="C58" s="35"/>
      <c r="D58" s="36"/>
      <c r="E58" s="35"/>
      <c r="F58" s="35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34" t="str">
        <f t="shared" ca="1" si="3"/>
        <v/>
      </c>
      <c r="B59" s="34"/>
      <c r="C59" s="35"/>
      <c r="D59" s="36"/>
      <c r="E59" s="35"/>
      <c r="F59" s="35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34" t="str">
        <f t="shared" ca="1" si="3"/>
        <v/>
      </c>
      <c r="B60" s="34"/>
      <c r="C60" s="35"/>
      <c r="D60" s="36"/>
      <c r="E60" s="35"/>
      <c r="F60" s="35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34" t="str">
        <f t="shared" ca="1" si="3"/>
        <v/>
      </c>
      <c r="B61" s="34"/>
      <c r="C61" s="35"/>
      <c r="D61" s="36"/>
      <c r="E61" s="35"/>
      <c r="F61" s="35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34" t="str">
        <f t="shared" ca="1" si="3"/>
        <v/>
      </c>
      <c r="B62" s="34"/>
      <c r="C62" s="35"/>
      <c r="D62" s="36"/>
      <c r="E62" s="35"/>
      <c r="F62" s="35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34" t="str">
        <f t="shared" ca="1" si="3"/>
        <v/>
      </c>
      <c r="B63" s="34"/>
      <c r="C63" s="35"/>
      <c r="D63" s="36"/>
      <c r="E63" s="35"/>
      <c r="F63" s="35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34" t="str">
        <f t="shared" ca="1" si="3"/>
        <v/>
      </c>
      <c r="B64" s="34"/>
      <c r="C64" s="35"/>
      <c r="D64" s="36"/>
      <c r="E64" s="35"/>
      <c r="F64" s="35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34" t="str">
        <f t="shared" ca="1" si="3"/>
        <v/>
      </c>
      <c r="B65" s="34"/>
      <c r="C65" s="35"/>
      <c r="D65" s="36"/>
      <c r="E65" s="35"/>
      <c r="F65" s="35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34" t="str">
        <f t="shared" ref="A66:A101" ca="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34" t="str">
        <f t="shared" ca="1" si="4"/>
        <v/>
      </c>
      <c r="B67" s="34"/>
      <c r="C67" s="35"/>
      <c r="D67" s="36"/>
      <c r="E67" s="35"/>
      <c r="F67" s="35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34" t="str">
        <f t="shared" ca="1" si="4"/>
        <v/>
      </c>
      <c r="B68" s="34"/>
      <c r="C68" s="35"/>
      <c r="D68" s="36"/>
      <c r="E68" s="35"/>
      <c r="F68" s="35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34" t="str">
        <f t="shared" ca="1" si="4"/>
        <v/>
      </c>
      <c r="B69" s="34"/>
      <c r="C69" s="35"/>
      <c r="D69" s="36"/>
      <c r="E69" s="35"/>
      <c r="F69" s="35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34" t="str">
        <f t="shared" ca="1" si="4"/>
        <v/>
      </c>
      <c r="B70" s="34"/>
      <c r="C70" s="35"/>
      <c r="D70" s="36"/>
      <c r="E70" s="35"/>
      <c r="F70" s="35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34" t="str">
        <f t="shared" ca="1" si="4"/>
        <v/>
      </c>
      <c r="B71" s="34"/>
      <c r="C71" s="35"/>
      <c r="D71" s="36"/>
      <c r="E71" s="35"/>
      <c r="F71" s="35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34" t="str">
        <f t="shared" ca="1" si="4"/>
        <v/>
      </c>
      <c r="B72" s="34"/>
      <c r="C72" s="35"/>
      <c r="D72" s="36"/>
      <c r="E72" s="35"/>
      <c r="F72" s="35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34" t="str">
        <f t="shared" ca="1" si="4"/>
        <v/>
      </c>
      <c r="B73" s="34"/>
      <c r="C73" s="35"/>
      <c r="D73" s="36"/>
      <c r="E73" s="35"/>
      <c r="F73" s="35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34" t="str">
        <f t="shared" ca="1" si="4"/>
        <v/>
      </c>
      <c r="B74" s="34"/>
      <c r="C74" s="35"/>
      <c r="D74" s="36"/>
      <c r="E74" s="35"/>
      <c r="F74" s="35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34" t="str">
        <f t="shared" ca="1" si="4"/>
        <v/>
      </c>
      <c r="B75" s="34"/>
      <c r="C75" s="35"/>
      <c r="D75" s="36"/>
      <c r="E75" s="35"/>
      <c r="F75" s="35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34" t="str">
        <f t="shared" ca="1" si="4"/>
        <v/>
      </c>
      <c r="B76" s="34"/>
      <c r="C76" s="35"/>
      <c r="D76" s="36"/>
      <c r="E76" s="35"/>
      <c r="F76" s="35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34" t="str">
        <f t="shared" ca="1" si="4"/>
        <v/>
      </c>
      <c r="B77" s="34"/>
      <c r="C77" s="35"/>
      <c r="D77" s="36"/>
      <c r="E77" s="35"/>
      <c r="F77" s="35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34" t="str">
        <f t="shared" ca="1" si="4"/>
        <v/>
      </c>
      <c r="B78" s="34"/>
      <c r="C78" s="35"/>
      <c r="D78" s="36"/>
      <c r="E78" s="35"/>
      <c r="F78" s="35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34" t="str">
        <f t="shared" ca="1" si="4"/>
        <v/>
      </c>
      <c r="B79" s="34"/>
      <c r="C79" s="35"/>
      <c r="D79" s="36"/>
      <c r="E79" s="35"/>
      <c r="F79" s="35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34" t="str">
        <f t="shared" ca="1" si="4"/>
        <v/>
      </c>
      <c r="B80" s="34"/>
      <c r="C80" s="35"/>
      <c r="D80" s="36"/>
      <c r="E80" s="35"/>
      <c r="F80" s="35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34" t="str">
        <f t="shared" ca="1" si="4"/>
        <v/>
      </c>
      <c r="B81" s="34"/>
      <c r="C81" s="35"/>
      <c r="D81" s="36"/>
      <c r="E81" s="35"/>
      <c r="F81" s="35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34" t="str">
        <f t="shared" ca="1" si="4"/>
        <v/>
      </c>
      <c r="B82" s="34"/>
      <c r="C82" s="35"/>
      <c r="D82" s="36"/>
      <c r="E82" s="35"/>
      <c r="F82" s="35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34" t="str">
        <f t="shared" ca="1" si="4"/>
        <v/>
      </c>
      <c r="B83" s="34"/>
      <c r="C83" s="35"/>
      <c r="D83" s="36"/>
      <c r="E83" s="35"/>
      <c r="F83" s="35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34" t="str">
        <f t="shared" ca="1" si="4"/>
        <v/>
      </c>
      <c r="B84" s="34"/>
      <c r="C84" s="35"/>
      <c r="D84" s="36"/>
      <c r="E84" s="35"/>
      <c r="F84" s="35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34" t="str">
        <f t="shared" ca="1" si="4"/>
        <v/>
      </c>
      <c r="B85" s="34"/>
      <c r="C85" s="35"/>
      <c r="D85" s="36"/>
      <c r="E85" s="35"/>
      <c r="F85" s="35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34" t="str">
        <f t="shared" ca="1" si="4"/>
        <v/>
      </c>
      <c r="B86" s="34"/>
      <c r="C86" s="35"/>
      <c r="D86" s="36"/>
      <c r="E86" s="35"/>
      <c r="F86" s="35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34" t="str">
        <f t="shared" ca="1" si="4"/>
        <v/>
      </c>
      <c r="B87" s="34"/>
      <c r="C87" s="35"/>
      <c r="D87" s="36"/>
      <c r="E87" s="35"/>
      <c r="F87" s="35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34" t="str">
        <f t="shared" ca="1" si="4"/>
        <v/>
      </c>
      <c r="B88" s="34"/>
      <c r="C88" s="35"/>
      <c r="D88" s="36"/>
      <c r="E88" s="35"/>
      <c r="F88" s="35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34" t="str">
        <f t="shared" ca="1" si="4"/>
        <v/>
      </c>
      <c r="B89" s="34"/>
      <c r="C89" s="35"/>
      <c r="D89" s="36"/>
      <c r="E89" s="35"/>
      <c r="F89" s="35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34" t="str">
        <f t="shared" ca="1" si="4"/>
        <v/>
      </c>
      <c r="B90" s="34"/>
      <c r="C90" s="35"/>
      <c r="D90" s="36"/>
      <c r="E90" s="35"/>
      <c r="F90" s="35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34" t="str">
        <f t="shared" ca="1" si="4"/>
        <v/>
      </c>
      <c r="B91" s="34"/>
      <c r="C91" s="35"/>
      <c r="D91" s="36"/>
      <c r="E91" s="35"/>
      <c r="F91" s="35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34" t="str">
        <f t="shared" ca="1" si="4"/>
        <v/>
      </c>
      <c r="B92" s="34"/>
      <c r="C92" s="35"/>
      <c r="D92" s="36"/>
      <c r="E92" s="35"/>
      <c r="F92" s="35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34" t="str">
        <f t="shared" ca="1" si="4"/>
        <v/>
      </c>
      <c r="B93" s="34"/>
      <c r="C93" s="35"/>
      <c r="D93" s="36"/>
      <c r="E93" s="35"/>
      <c r="F93" s="35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34" t="str">
        <f t="shared" ca="1" si="4"/>
        <v/>
      </c>
      <c r="B94" s="34"/>
      <c r="C94" s="35"/>
      <c r="D94" s="36"/>
      <c r="E94" s="35"/>
      <c r="F94" s="35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34" t="str">
        <f t="shared" ca="1" si="4"/>
        <v/>
      </c>
      <c r="B95" s="34"/>
      <c r="C95" s="35"/>
      <c r="D95" s="36"/>
      <c r="E95" s="35"/>
      <c r="F95" s="35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34" t="str">
        <f t="shared" ca="1" si="4"/>
        <v/>
      </c>
      <c r="B96" s="34"/>
      <c r="C96" s="35"/>
      <c r="D96" s="36"/>
      <c r="E96" s="35"/>
      <c r="F96" s="35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34" t="str">
        <f t="shared" ca="1" si="4"/>
        <v/>
      </c>
      <c r="B97" s="34"/>
      <c r="C97" s="35"/>
      <c r="D97" s="36"/>
      <c r="E97" s="35"/>
      <c r="F97" s="35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34" t="str">
        <f t="shared" ca="1" si="4"/>
        <v/>
      </c>
      <c r="B98" s="34"/>
      <c r="C98" s="35"/>
      <c r="D98" s="36"/>
      <c r="E98" s="35"/>
      <c r="F98" s="35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34" t="str">
        <f t="shared" ca="1" si="4"/>
        <v/>
      </c>
      <c r="B99" s="34"/>
      <c r="C99" s="35"/>
      <c r="D99" s="36"/>
      <c r="E99" s="35"/>
      <c r="F99" s="35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34" t="str">
        <f t="shared" ca="1" si="4"/>
        <v/>
      </c>
      <c r="B100" s="34"/>
      <c r="C100" s="35"/>
      <c r="D100" s="36"/>
      <c r="E100" s="35"/>
      <c r="F100" s="35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34" t="str">
        <f t="shared" ca="1" si="4"/>
        <v/>
      </c>
      <c r="B101" s="34"/>
      <c r="C101" s="35"/>
      <c r="D101" s="36"/>
      <c r="E101" s="35"/>
      <c r="F101" s="35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7.91406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 ca="1"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 ca="1">IF(OR(A2="",ISNUMBER(A2)),"","X")</f>
        <v/>
      </c>
      <c r="J2" s="40" t="s">
        <v>591</v>
      </c>
    </row>
    <row r="3" spans="1:10" ht="14.25" x14ac:dyDescent="0.15">
      <c r="A3" s="17">
        <f t="shared" ca="1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ca="1" si="2"/>
        <v/>
      </c>
      <c r="J4" s="40" t="s">
        <v>586</v>
      </c>
    </row>
    <row r="5" spans="1:10" ht="14.25" x14ac:dyDescent="0.15">
      <c r="A5" s="17">
        <f t="shared" ca="1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ca="1" si="2"/>
        <v/>
      </c>
      <c r="J5" s="40" t="s">
        <v>585</v>
      </c>
    </row>
    <row r="6" spans="1:10" ht="14.25" x14ac:dyDescent="0.15">
      <c r="A6" s="17">
        <f t="shared" ca="1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 ca="1"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ca="1" si="2"/>
        <v/>
      </c>
      <c r="J6" s="40" t="s">
        <v>587</v>
      </c>
    </row>
    <row r="7" spans="1:10" ht="14.25" x14ac:dyDescent="0.15">
      <c r="A7" s="17">
        <f t="shared" ca="1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ca="1" si="2"/>
        <v/>
      </c>
      <c r="J7" s="40" t="s">
        <v>642</v>
      </c>
    </row>
    <row r="8" spans="1:10" ht="14.25" x14ac:dyDescent="0.15">
      <c r="A8" s="17">
        <f t="shared" ca="1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ca="1" si="2"/>
        <v/>
      </c>
      <c r="J8" s="40" t="s">
        <v>594</v>
      </c>
    </row>
    <row r="9" spans="1:10" ht="14.25" x14ac:dyDescent="0.15">
      <c r="A9" s="17">
        <f t="shared" ca="1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ca="1" si="2"/>
        <v/>
      </c>
      <c r="J9" s="40" t="s">
        <v>598</v>
      </c>
    </row>
    <row r="10" spans="1:10" ht="14.25" x14ac:dyDescent="0.15">
      <c r="A10" s="17">
        <f t="shared" ca="1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 ca="1"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ca="1" si="2"/>
        <v/>
      </c>
      <c r="J10" s="40" t="s">
        <v>600</v>
      </c>
    </row>
    <row r="11" spans="1:10" ht="14.25" x14ac:dyDescent="0.15">
      <c r="A11" s="17">
        <f t="shared" ca="1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 ca="1"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ca="1" si="2"/>
        <v/>
      </c>
      <c r="J11" s="40" t="s">
        <v>603</v>
      </c>
    </row>
    <row r="12" spans="1:10" ht="14.25" x14ac:dyDescent="0.15">
      <c r="A12" s="17">
        <f t="shared" ca="1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ca="1" si="2"/>
        <v/>
      </c>
      <c r="J12" s="40" t="s">
        <v>213</v>
      </c>
    </row>
    <row r="13" spans="1:10" ht="14.25" x14ac:dyDescent="0.15">
      <c r="A13" s="17">
        <f t="shared" ca="1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ca="1" si="2"/>
        <v/>
      </c>
      <c r="J13" s="40" t="s">
        <v>589</v>
      </c>
    </row>
    <row r="14" spans="1:10" ht="14.25" x14ac:dyDescent="0.15">
      <c r="A14" s="17">
        <f t="shared" ca="1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 ca="1"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ca="1" si="2"/>
        <v/>
      </c>
      <c r="J15" s="40" t="s">
        <v>601</v>
      </c>
    </row>
    <row r="16" spans="1:10" ht="14.25" x14ac:dyDescent="0.15">
      <c r="A16" s="17" t="str">
        <f t="shared" ca="1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 ca="1"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ca="1" si="2"/>
        <v>X</v>
      </c>
      <c r="J16" s="40" t="s">
        <v>146</v>
      </c>
    </row>
    <row r="17" spans="1:10" ht="14.25" x14ac:dyDescent="0.15">
      <c r="A17" s="17">
        <f t="shared" ca="1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 ca="1"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ca="1" si="2"/>
        <v/>
      </c>
      <c r="J17" s="40" t="s">
        <v>624</v>
      </c>
    </row>
    <row r="18" spans="1:10" ht="14.25" x14ac:dyDescent="0.15">
      <c r="A18" s="17">
        <f t="shared" ca="1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ca="1" si="2"/>
        <v/>
      </c>
      <c r="J18" s="40" t="s">
        <v>643</v>
      </c>
    </row>
    <row r="19" spans="1:10" ht="14.25" x14ac:dyDescent="0.15">
      <c r="A19" s="17">
        <f t="shared" ca="1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ca="1" si="2"/>
        <v/>
      </c>
      <c r="J19" s="40" t="s">
        <v>610</v>
      </c>
    </row>
    <row r="20" spans="1:10" ht="14.25" x14ac:dyDescent="0.15">
      <c r="A20" s="17">
        <f t="shared" ca="1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ca="1" si="2"/>
        <v/>
      </c>
      <c r="J20" s="40" t="s">
        <v>613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ca="1" si="2"/>
        <v/>
      </c>
      <c r="J23" s="40" t="s">
        <v>611</v>
      </c>
    </row>
    <row r="24" spans="1:10" ht="14.25" x14ac:dyDescent="0.15">
      <c r="A24" s="17">
        <f t="shared" ca="1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ca="1" si="2"/>
        <v/>
      </c>
      <c r="J24" s="40" t="s">
        <v>616</v>
      </c>
    </row>
    <row r="25" spans="1:10" ht="14.25" x14ac:dyDescent="0.15">
      <c r="A25" s="17">
        <f t="shared" ca="1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ca="1" si="2"/>
        <v/>
      </c>
      <c r="J25" s="40" t="s">
        <v>615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ca="1" si="2"/>
        <v/>
      </c>
      <c r="J27" s="40" t="s">
        <v>644</v>
      </c>
    </row>
    <row r="28" spans="1:10" ht="14.25" x14ac:dyDescent="0.15">
      <c r="A28" s="17">
        <f t="shared" ca="1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ca="1" si="2"/>
        <v/>
      </c>
      <c r="J28" s="40" t="s">
        <v>625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2026-02-22T16:13:49Z</dcterms:modified>
</cp:coreProperties>
</file>