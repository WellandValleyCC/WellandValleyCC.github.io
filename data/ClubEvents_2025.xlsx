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pos\wvcc\WellandValleyCC.github.io\data\"/>
    </mc:Choice>
  </mc:AlternateContent>
  <xr:revisionPtr revIDLastSave="0" documentId="13_ncr:1_{65B818ED-1724-4A9D-A45E-D2DD3DC83589}" xr6:coauthVersionLast="47" xr6:coauthVersionMax="47" xr10:uidLastSave="{00000000-0000-0000-0000-000000000000}"/>
  <bookViews>
    <workbookView xWindow="5573" yWindow="0" windowWidth="22769" windowHeight="17280" firstSheet="21" activeTab="26" xr2:uid="{45F9DFA6-3E60-47DF-96C3-C485FAB93508}"/>
  </bookViews>
  <sheets>
    <sheet name="Revisions" sheetId="1" r:id="rId1"/>
    <sheet name="Competitors" sheetId="31" r:id="rId2"/>
    <sheet name="NameLookup" sheetId="33" r:id="rId3"/>
    <sheet name="Calendar" sheetId="2" r:id="rId4"/>
    <sheet name="Leagues" sheetId="32" r:id="rId5"/>
    <sheet name="RoundRobinRiders" sheetId="4" r:id="rId6"/>
    <sheet name="Event_01" sheetId="5" r:id="rId7"/>
    <sheet name="Event_02" sheetId="6" r:id="rId8"/>
    <sheet name="Event_03" sheetId="7" r:id="rId9"/>
    <sheet name="Event_04" sheetId="8" r:id="rId10"/>
    <sheet name="Event_05" sheetId="9" r:id="rId11"/>
    <sheet name="Event_06" sheetId="10" r:id="rId12"/>
    <sheet name="Event_07" sheetId="11" r:id="rId13"/>
    <sheet name="Event_08" sheetId="12" r:id="rId14"/>
    <sheet name="Event_09" sheetId="13" r:id="rId15"/>
    <sheet name="Event_10" sheetId="14" r:id="rId16"/>
    <sheet name="Event_11" sheetId="15" r:id="rId17"/>
    <sheet name="Event_12" sheetId="16" r:id="rId18"/>
    <sheet name="Event_13" sheetId="17" r:id="rId19"/>
    <sheet name="Event_14" sheetId="18" r:id="rId20"/>
    <sheet name="Event_15" sheetId="19" r:id="rId21"/>
    <sheet name="Event_16" sheetId="20" r:id="rId22"/>
    <sheet name="Event_17" sheetId="21" r:id="rId23"/>
    <sheet name="Event_18" sheetId="22" r:id="rId24"/>
    <sheet name="Event_19" sheetId="23" r:id="rId25"/>
    <sheet name="Event_20" sheetId="24" r:id="rId26"/>
    <sheet name="Event_21" sheetId="25" r:id="rId27"/>
    <sheet name="Event_22" sheetId="26" r:id="rId28"/>
    <sheet name="Event_23" sheetId="27" r:id="rId29"/>
    <sheet name="Event_24" sheetId="28" r:id="rId30"/>
    <sheet name="Event_25" sheetId="29" r:id="rId31"/>
    <sheet name="Event_26" sheetId="30" r:id="rId32"/>
  </sheets>
  <definedNames>
    <definedName name="Calendar">Calendar!$A$2:$G$27</definedName>
    <definedName name="CalendarEventNumbers">Calendar!$A$2:$A$27</definedName>
    <definedName name="ClubNames">NameLookup!$B$2:$B$402</definedName>
    <definedName name="ClubNumbers">NameLookup!$A$2:$A$402</definedName>
    <definedName name="MemberData">Event_01!$G$2</definedName>
    <definedName name="NameToNumber">Event_16!$J$34</definedName>
    <definedName name="NonTenEvents">Calendar!$J$2:$J$27</definedName>
    <definedName name="Number2Name">NameLookup!$A$2:$B$402</definedName>
    <definedName name="RoundRobinNameToClub">RoundRobinRiders!$A$2:$C$26</definedName>
    <definedName name="RoundRobinNameToClubRange">RoundRobinRiders!$A$2:$C$157</definedName>
    <definedName name="RoundRobinRiderClubs">RoundRobinRiders!$B:$B</definedName>
    <definedName name="RoundRobinRiderDecoratedNames">RoundRobinRiders!$C:$C</definedName>
    <definedName name="RoundRobinRiderNames">RoundRobinRiders!$A:A</definedName>
    <definedName name="RoundRobinRiders">RoundRobinRiders!$A:$A</definedName>
    <definedName name="RoundRobinRidersIsFemale">RoundRobinRiders!$D:$D</definedName>
    <definedName name="TenMileEvents">Calendar!$K$2:$K$27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8" i="25" l="1"/>
  <c r="I58" i="25"/>
  <c r="A17" i="2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1" i="4"/>
  <c r="A5" i="5"/>
  <c r="A6" i="5"/>
  <c r="A7" i="5"/>
  <c r="A8" i="5"/>
  <c r="A9" i="5"/>
  <c r="A10" i="5"/>
  <c r="A11" i="5"/>
  <c r="A12" i="5"/>
  <c r="A14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5" i="6"/>
  <c r="A6" i="6"/>
  <c r="A7" i="6"/>
  <c r="A8" i="6"/>
  <c r="A9" i="6"/>
  <c r="A10" i="6"/>
  <c r="A11" i="6"/>
  <c r="A12" i="6"/>
  <c r="A13" i="6"/>
  <c r="A14" i="6"/>
  <c r="A17" i="6"/>
  <c r="A18" i="6"/>
  <c r="A19" i="6"/>
  <c r="A20" i="6"/>
  <c r="A21" i="6"/>
  <c r="A22" i="6"/>
  <c r="A23" i="6"/>
  <c r="A25" i="6"/>
  <c r="A26" i="6"/>
  <c r="A27" i="6"/>
  <c r="A29" i="6"/>
  <c r="A30" i="6"/>
  <c r="A31" i="6"/>
  <c r="A32" i="6"/>
  <c r="A33" i="6"/>
  <c r="A34" i="6"/>
  <c r="A35" i="6"/>
  <c r="A36" i="6"/>
  <c r="A37" i="6"/>
  <c r="A38" i="6"/>
  <c r="A39" i="6"/>
  <c r="A41" i="6"/>
  <c r="A42" i="6"/>
  <c r="A43" i="6"/>
  <c r="A44" i="6"/>
  <c r="A45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22" i="9"/>
  <c r="A23" i="9"/>
  <c r="A25" i="9"/>
  <c r="A26" i="9"/>
  <c r="A28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5" i="12"/>
  <c r="A6" i="12"/>
  <c r="A7" i="12"/>
  <c r="A8" i="12"/>
  <c r="A9" i="12"/>
  <c r="A10" i="12"/>
  <c r="A12" i="12"/>
  <c r="A13" i="12"/>
  <c r="A14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5" i="13"/>
  <c r="A6" i="13"/>
  <c r="A7" i="13"/>
  <c r="A8" i="13"/>
  <c r="A9" i="13"/>
  <c r="A10" i="13"/>
  <c r="A11" i="13"/>
  <c r="A12" i="13"/>
  <c r="A14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5" i="14"/>
  <c r="A7" i="14"/>
  <c r="A8" i="14"/>
  <c r="A10" i="14"/>
  <c r="A11" i="14"/>
  <c r="A13" i="14"/>
  <c r="A14" i="14"/>
  <c r="A15" i="14"/>
  <c r="A16" i="14"/>
  <c r="A17" i="14"/>
  <c r="A18" i="14"/>
  <c r="A19" i="14"/>
  <c r="A21" i="14"/>
  <c r="A22" i="14"/>
  <c r="A24" i="14"/>
  <c r="A25" i="14"/>
  <c r="A28" i="14"/>
  <c r="A30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5" i="15"/>
  <c r="A6" i="15"/>
  <c r="A8" i="15"/>
  <c r="A10" i="15"/>
  <c r="A11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6" i="16"/>
  <c r="A7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5" i="17"/>
  <c r="A6" i="17"/>
  <c r="A7" i="17"/>
  <c r="A8" i="17"/>
  <c r="A10" i="17"/>
  <c r="A11" i="17"/>
  <c r="A12" i="17"/>
  <c r="A13" i="17"/>
  <c r="A14" i="17"/>
  <c r="A15" i="17"/>
  <c r="A16" i="17"/>
  <c r="A18" i="17"/>
  <c r="A20" i="17"/>
  <c r="A21" i="17"/>
  <c r="A23" i="17"/>
  <c r="A24" i="17"/>
  <c r="A25" i="17"/>
  <c r="A27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6" i="18"/>
  <c r="A7" i="18"/>
  <c r="A8" i="18"/>
  <c r="A9" i="18"/>
  <c r="A10" i="18"/>
  <c r="A11" i="18"/>
  <c r="A12" i="18"/>
  <c r="A13" i="18"/>
  <c r="A14" i="18"/>
  <c r="A15" i="18"/>
  <c r="A17" i="18"/>
  <c r="A18" i="18"/>
  <c r="A19" i="18"/>
  <c r="A20" i="18"/>
  <c r="A21" i="18"/>
  <c r="A22" i="18"/>
  <c r="A24" i="18"/>
  <c r="A25" i="18"/>
  <c r="A26" i="18"/>
  <c r="A27" i="18"/>
  <c r="A28" i="18"/>
  <c r="A30" i="18"/>
  <c r="A31" i="18"/>
  <c r="A33" i="18"/>
  <c r="A35" i="18"/>
  <c r="A36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G55" i="18"/>
  <c r="A56" i="18"/>
  <c r="A57" i="18"/>
  <c r="A58" i="18"/>
  <c r="A59" i="18"/>
  <c r="G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I75" i="18"/>
  <c r="A76" i="18"/>
  <c r="A77" i="18"/>
  <c r="A78" i="18"/>
  <c r="A79" i="18"/>
  <c r="G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I95" i="18"/>
  <c r="A96" i="18"/>
  <c r="A97" i="18"/>
  <c r="A98" i="18"/>
  <c r="A99" i="18"/>
  <c r="A100" i="18"/>
  <c r="A101" i="18"/>
  <c r="A5" i="19"/>
  <c r="A8" i="19"/>
  <c r="A11" i="19"/>
  <c r="A12" i="19"/>
  <c r="A14" i="19"/>
  <c r="A15" i="19"/>
  <c r="A16" i="19"/>
  <c r="A17" i="19"/>
  <c r="A20" i="19"/>
  <c r="A21" i="19"/>
  <c r="A22" i="19"/>
  <c r="A23" i="19"/>
  <c r="A24" i="19"/>
  <c r="A25" i="19"/>
  <c r="A26" i="19"/>
  <c r="A27" i="19"/>
  <c r="A29" i="19"/>
  <c r="A30" i="19"/>
  <c r="A31" i="19"/>
  <c r="A32" i="19"/>
  <c r="A33" i="19"/>
  <c r="A34" i="19"/>
  <c r="A36" i="19"/>
  <c r="A37" i="19"/>
  <c r="A39" i="19"/>
  <c r="A40" i="19"/>
  <c r="A41" i="19"/>
  <c r="A42" i="19"/>
  <c r="A43" i="19"/>
  <c r="A44" i="19"/>
  <c r="A45" i="19"/>
  <c r="A46" i="19"/>
  <c r="A47" i="19"/>
  <c r="A48" i="19"/>
  <c r="I48" i="19"/>
  <c r="A49" i="19"/>
  <c r="I49" i="19"/>
  <c r="A50" i="19"/>
  <c r="A51" i="19"/>
  <c r="A52" i="19"/>
  <c r="G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G68" i="19"/>
  <c r="A69" i="19"/>
  <c r="I69" i="19"/>
  <c r="A70" i="19"/>
  <c r="A71" i="19"/>
  <c r="A72" i="19"/>
  <c r="I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G90" i="19"/>
  <c r="A91" i="19"/>
  <c r="A92" i="19"/>
  <c r="I92" i="19"/>
  <c r="A93" i="19"/>
  <c r="A94" i="19"/>
  <c r="A95" i="19"/>
  <c r="A96" i="19"/>
  <c r="A97" i="19"/>
  <c r="A98" i="19"/>
  <c r="A99" i="19"/>
  <c r="A100" i="19"/>
  <c r="A101" i="19"/>
  <c r="A6" i="20"/>
  <c r="A8" i="20"/>
  <c r="A9" i="20"/>
  <c r="A11" i="20"/>
  <c r="A12" i="20"/>
  <c r="A13" i="20"/>
  <c r="I13" i="20"/>
  <c r="A14" i="20"/>
  <c r="A17" i="20"/>
  <c r="I17" i="20"/>
  <c r="A18" i="20"/>
  <c r="A19" i="20"/>
  <c r="I19" i="20"/>
  <c r="A20" i="20"/>
  <c r="A21" i="20"/>
  <c r="A22" i="20"/>
  <c r="A23" i="20"/>
  <c r="A25" i="20"/>
  <c r="A26" i="20"/>
  <c r="A27" i="20"/>
  <c r="A32" i="20"/>
  <c r="A33" i="20"/>
  <c r="A36" i="20"/>
  <c r="A37" i="20"/>
  <c r="A38" i="20"/>
  <c r="A39" i="20"/>
  <c r="A40" i="20"/>
  <c r="A41" i="20"/>
  <c r="A42" i="20"/>
  <c r="A43" i="20"/>
  <c r="A44" i="20"/>
  <c r="I44" i="20"/>
  <c r="A45" i="20"/>
  <c r="G45" i="20"/>
  <c r="A46" i="20"/>
  <c r="A47" i="20"/>
  <c r="I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I62" i="20"/>
  <c r="A63" i="20"/>
  <c r="A64" i="20"/>
  <c r="A65" i="20"/>
  <c r="A66" i="20"/>
  <c r="G66" i="20"/>
  <c r="A67" i="20"/>
  <c r="I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I86" i="20"/>
  <c r="A87" i="20"/>
  <c r="G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5" i="21"/>
  <c r="A8" i="21"/>
  <c r="A9" i="21"/>
  <c r="A11" i="21"/>
  <c r="A13" i="21"/>
  <c r="A14" i="21"/>
  <c r="A15" i="21"/>
  <c r="A19" i="21"/>
  <c r="A20" i="21"/>
  <c r="A21" i="21"/>
  <c r="A23" i="21"/>
  <c r="A24" i="21"/>
  <c r="A25" i="21"/>
  <c r="A26" i="21"/>
  <c r="A27" i="21"/>
  <c r="A28" i="21"/>
  <c r="A30" i="21"/>
  <c r="A31" i="21"/>
  <c r="A33" i="21"/>
  <c r="A34" i="21"/>
  <c r="A36" i="21"/>
  <c r="I36" i="21"/>
  <c r="A37" i="21"/>
  <c r="I37" i="21"/>
  <c r="G37" i="21"/>
  <c r="A38" i="21"/>
  <c r="I38" i="21"/>
  <c r="A39" i="21"/>
  <c r="I39" i="21"/>
  <c r="A40" i="21"/>
  <c r="I40" i="21"/>
  <c r="A41" i="21"/>
  <c r="I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G57" i="21"/>
  <c r="A58" i="21"/>
  <c r="G58" i="21"/>
  <c r="A59" i="21"/>
  <c r="G59" i="21"/>
  <c r="A60" i="21"/>
  <c r="A61" i="21"/>
  <c r="G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G78" i="21"/>
  <c r="A79" i="21"/>
  <c r="A80" i="21"/>
  <c r="I80" i="21"/>
  <c r="A81" i="21"/>
  <c r="G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G101" i="21"/>
  <c r="A6" i="22"/>
  <c r="I6" i="22"/>
  <c r="A9" i="22"/>
  <c r="A10" i="22"/>
  <c r="A12" i="22"/>
  <c r="A13" i="22"/>
  <c r="A14" i="22"/>
  <c r="A15" i="22"/>
  <c r="A16" i="22"/>
  <c r="A17" i="22"/>
  <c r="A19" i="22"/>
  <c r="A21" i="22"/>
  <c r="I21" i="22"/>
  <c r="A23" i="22"/>
  <c r="A24" i="22"/>
  <c r="A25" i="22"/>
  <c r="A28" i="22"/>
  <c r="I28" i="22"/>
  <c r="G28" i="22"/>
  <c r="A29" i="22"/>
  <c r="I29" i="22"/>
  <c r="A30" i="22"/>
  <c r="A31" i="22"/>
  <c r="A32" i="22"/>
  <c r="A34" i="22"/>
  <c r="A35" i="22"/>
  <c r="I35" i="22"/>
  <c r="A36" i="22"/>
  <c r="A37" i="22"/>
  <c r="A38" i="22"/>
  <c r="G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G52" i="22"/>
  <c r="A53" i="22"/>
  <c r="A54" i="22"/>
  <c r="A55" i="22"/>
  <c r="G55" i="22"/>
  <c r="A56" i="22"/>
  <c r="A57" i="22"/>
  <c r="G57" i="22"/>
  <c r="A58" i="22"/>
  <c r="A59" i="22"/>
  <c r="A60" i="22"/>
  <c r="I60" i="22"/>
  <c r="A61" i="22"/>
  <c r="A62" i="22"/>
  <c r="A63" i="22"/>
  <c r="A64" i="22"/>
  <c r="A65" i="22"/>
  <c r="A66" i="22"/>
  <c r="A67" i="22"/>
  <c r="A68" i="22"/>
  <c r="G68" i="22"/>
  <c r="A69" i="22"/>
  <c r="A70" i="22"/>
  <c r="I70" i="22"/>
  <c r="A71" i="22"/>
  <c r="G71" i="22"/>
  <c r="A72" i="22"/>
  <c r="G72" i="22"/>
  <c r="A73" i="22"/>
  <c r="G73" i="22"/>
  <c r="A74" i="22"/>
  <c r="I74" i="22"/>
  <c r="A75" i="22"/>
  <c r="A76" i="22"/>
  <c r="G76" i="22"/>
  <c r="A77" i="22"/>
  <c r="I77" i="22"/>
  <c r="A78" i="22"/>
  <c r="A79" i="22"/>
  <c r="A80" i="22"/>
  <c r="G80" i="22"/>
  <c r="A81" i="22"/>
  <c r="A82" i="22"/>
  <c r="A83" i="22"/>
  <c r="A84" i="22"/>
  <c r="A85" i="22"/>
  <c r="I85" i="22"/>
  <c r="A86" i="22"/>
  <c r="A87" i="22"/>
  <c r="A88" i="22"/>
  <c r="G88" i="22"/>
  <c r="A89" i="22"/>
  <c r="A90" i="22"/>
  <c r="A91" i="22"/>
  <c r="A92" i="22"/>
  <c r="G92" i="22"/>
  <c r="A93" i="22"/>
  <c r="A94" i="22"/>
  <c r="A95" i="22"/>
  <c r="I95" i="22"/>
  <c r="A96" i="22"/>
  <c r="A97" i="22"/>
  <c r="G97" i="22"/>
  <c r="A98" i="22"/>
  <c r="A99" i="22"/>
  <c r="A100" i="22"/>
  <c r="I100" i="22"/>
  <c r="A101" i="22"/>
  <c r="A8" i="23"/>
  <c r="A9" i="23"/>
  <c r="A12" i="23"/>
  <c r="A13" i="23"/>
  <c r="A14" i="23"/>
  <c r="A15" i="23"/>
  <c r="A18" i="23"/>
  <c r="I18" i="23"/>
  <c r="A19" i="23"/>
  <c r="A22" i="23"/>
  <c r="A24" i="23"/>
  <c r="A25" i="23"/>
  <c r="A26" i="23"/>
  <c r="A27" i="23"/>
  <c r="I27" i="23"/>
  <c r="A29" i="23"/>
  <c r="A31" i="23"/>
  <c r="A32" i="23"/>
  <c r="I32" i="23"/>
  <c r="A34" i="23"/>
  <c r="I34" i="23"/>
  <c r="A36" i="23"/>
  <c r="A38" i="23"/>
  <c r="A39" i="23"/>
  <c r="A41" i="23"/>
  <c r="A45" i="23"/>
  <c r="A47" i="23"/>
  <c r="A51" i="23"/>
  <c r="A52" i="23"/>
  <c r="A54" i="23"/>
  <c r="A55" i="23"/>
  <c r="I55" i="23"/>
  <c r="A56" i="23"/>
  <c r="I56" i="23"/>
  <c r="A57" i="23"/>
  <c r="I57" i="23"/>
  <c r="A58" i="23"/>
  <c r="G58" i="23"/>
  <c r="A59" i="23"/>
  <c r="G59" i="23"/>
  <c r="A60" i="23"/>
  <c r="A61" i="23"/>
  <c r="A62" i="23"/>
  <c r="A63" i="23"/>
  <c r="A64" i="23"/>
  <c r="A65" i="23"/>
  <c r="G65" i="23"/>
  <c r="A66" i="23"/>
  <c r="A67" i="23"/>
  <c r="I67" i="23"/>
  <c r="A68" i="23"/>
  <c r="G68" i="23"/>
  <c r="A69" i="23"/>
  <c r="A70" i="23"/>
  <c r="A71" i="23"/>
  <c r="A72" i="23"/>
  <c r="A73" i="23"/>
  <c r="A74" i="23"/>
  <c r="A75" i="23"/>
  <c r="I75" i="23"/>
  <c r="A76" i="23"/>
  <c r="A77" i="23"/>
  <c r="I77" i="23"/>
  <c r="A78" i="23"/>
  <c r="A79" i="23"/>
  <c r="A80" i="23"/>
  <c r="A81" i="23"/>
  <c r="I81" i="23"/>
  <c r="A82" i="23"/>
  <c r="A83" i="23"/>
  <c r="A84" i="23"/>
  <c r="A85" i="23"/>
  <c r="A86" i="23"/>
  <c r="A87" i="23"/>
  <c r="G87" i="23"/>
  <c r="A88" i="23"/>
  <c r="G88" i="23"/>
  <c r="A89" i="23"/>
  <c r="G89" i="23"/>
  <c r="A90" i="23"/>
  <c r="A91" i="23"/>
  <c r="A92" i="23"/>
  <c r="A93" i="23"/>
  <c r="A94" i="23"/>
  <c r="A95" i="23"/>
  <c r="A96" i="23"/>
  <c r="A97" i="23"/>
  <c r="A98" i="23"/>
  <c r="A99" i="23"/>
  <c r="A100" i="23"/>
  <c r="G100" i="23"/>
  <c r="A101" i="23"/>
  <c r="A5" i="24"/>
  <c r="A6" i="24"/>
  <c r="A7" i="24"/>
  <c r="I7" i="24"/>
  <c r="G7" i="24"/>
  <c r="A9" i="24"/>
  <c r="A10" i="24"/>
  <c r="A12" i="24"/>
  <c r="I12" i="24"/>
  <c r="A13" i="24"/>
  <c r="A14" i="24"/>
  <c r="A17" i="24"/>
  <c r="I17" i="24"/>
  <c r="A20" i="24"/>
  <c r="A22" i="24"/>
  <c r="A23" i="24"/>
  <c r="A24" i="24"/>
  <c r="A30" i="24"/>
  <c r="I30" i="24"/>
  <c r="A31" i="24"/>
  <c r="I31" i="24"/>
  <c r="A32" i="24"/>
  <c r="I32" i="24"/>
  <c r="A33" i="24"/>
  <c r="G33" i="24"/>
  <c r="A34" i="24"/>
  <c r="G34" i="24"/>
  <c r="A35" i="24"/>
  <c r="A36" i="24"/>
  <c r="A37" i="24"/>
  <c r="A38" i="24"/>
  <c r="A39" i="24"/>
  <c r="G39" i="24"/>
  <c r="A40" i="24"/>
  <c r="A41" i="24"/>
  <c r="A42" i="24"/>
  <c r="A43" i="24"/>
  <c r="G43" i="24"/>
  <c r="A44" i="24"/>
  <c r="G44" i="24"/>
  <c r="A45" i="24"/>
  <c r="A46" i="24"/>
  <c r="A47" i="24"/>
  <c r="A48" i="24"/>
  <c r="A49" i="24"/>
  <c r="A50" i="24"/>
  <c r="G50" i="24"/>
  <c r="A51" i="24"/>
  <c r="G51" i="24"/>
  <c r="A52" i="24"/>
  <c r="G52" i="24"/>
  <c r="A53" i="24"/>
  <c r="G53" i="24"/>
  <c r="A54" i="24"/>
  <c r="G54" i="24"/>
  <c r="A55" i="24"/>
  <c r="G55" i="24"/>
  <c r="A56" i="24"/>
  <c r="G56" i="24"/>
  <c r="A57" i="24"/>
  <c r="A58" i="24"/>
  <c r="I58" i="24"/>
  <c r="A59" i="24"/>
  <c r="A60" i="24"/>
  <c r="A61" i="24"/>
  <c r="A62" i="24"/>
  <c r="A63" i="24"/>
  <c r="G63" i="24"/>
  <c r="A64" i="24"/>
  <c r="I64" i="24"/>
  <c r="A65" i="24"/>
  <c r="G65" i="24"/>
  <c r="A66" i="24"/>
  <c r="A67" i="24"/>
  <c r="I67" i="24"/>
  <c r="A68" i="24"/>
  <c r="A69" i="24"/>
  <c r="A70" i="24"/>
  <c r="I70" i="24"/>
  <c r="A71" i="24"/>
  <c r="A72" i="24"/>
  <c r="A73" i="24"/>
  <c r="A74" i="24"/>
  <c r="G74" i="24"/>
  <c r="A75" i="24"/>
  <c r="A76" i="24"/>
  <c r="A77" i="24"/>
  <c r="I77" i="24"/>
  <c r="A78" i="24"/>
  <c r="A79" i="24"/>
  <c r="A80" i="24"/>
  <c r="A81" i="24"/>
  <c r="A82" i="24"/>
  <c r="A83" i="24"/>
  <c r="I83" i="24"/>
  <c r="A84" i="24"/>
  <c r="A85" i="24"/>
  <c r="I85" i="24"/>
  <c r="A86" i="24"/>
  <c r="A87" i="24"/>
  <c r="I87" i="24"/>
  <c r="A88" i="24"/>
  <c r="I88" i="24"/>
  <c r="A89" i="24"/>
  <c r="A90" i="24"/>
  <c r="A91" i="24"/>
  <c r="G91" i="24"/>
  <c r="A92" i="24"/>
  <c r="I92" i="24"/>
  <c r="A93" i="24"/>
  <c r="G93" i="24"/>
  <c r="A94" i="24"/>
  <c r="I94" i="24"/>
  <c r="A95" i="24"/>
  <c r="A96" i="24"/>
  <c r="A97" i="24"/>
  <c r="G97" i="24"/>
  <c r="A98" i="24"/>
  <c r="I98" i="24"/>
  <c r="A99" i="24"/>
  <c r="G99" i="24"/>
  <c r="A100" i="24"/>
  <c r="A101" i="24"/>
  <c r="A7" i="25"/>
  <c r="A9" i="25"/>
  <c r="A10" i="25"/>
  <c r="A11" i="25"/>
  <c r="A12" i="25"/>
  <c r="A13" i="25"/>
  <c r="A14" i="25"/>
  <c r="A16" i="25"/>
  <c r="A18" i="25"/>
  <c r="A22" i="25"/>
  <c r="I22" i="25"/>
  <c r="A24" i="25"/>
  <c r="I24" i="25"/>
  <c r="G24" i="25"/>
  <c r="A26" i="25"/>
  <c r="A28" i="25"/>
  <c r="A29" i="25"/>
  <c r="I29" i="25"/>
  <c r="A31" i="25"/>
  <c r="I31" i="25"/>
  <c r="A32" i="25"/>
  <c r="A33" i="25"/>
  <c r="A34" i="25"/>
  <c r="A35" i="25"/>
  <c r="A36" i="25"/>
  <c r="A37" i="25"/>
  <c r="A38" i="25"/>
  <c r="A39" i="25"/>
  <c r="A41" i="25"/>
  <c r="I41" i="25"/>
  <c r="A42" i="25"/>
  <c r="A44" i="25"/>
  <c r="A46" i="25"/>
  <c r="A47" i="25"/>
  <c r="A49" i="25"/>
  <c r="I49" i="25"/>
  <c r="A50" i="25"/>
  <c r="A52" i="25"/>
  <c r="A54" i="25"/>
  <c r="A55" i="25"/>
  <c r="I55" i="25"/>
  <c r="A56" i="25"/>
  <c r="I56" i="25"/>
  <c r="A57" i="25"/>
  <c r="I57" i="25"/>
  <c r="A59" i="25"/>
  <c r="I59" i="25"/>
  <c r="A60" i="25"/>
  <c r="A61" i="25"/>
  <c r="A62" i="25"/>
  <c r="A63" i="25"/>
  <c r="A64" i="25"/>
  <c r="A65" i="25"/>
  <c r="G65" i="25"/>
  <c r="A66" i="25"/>
  <c r="G66" i="25"/>
  <c r="A67" i="25"/>
  <c r="A68" i="25"/>
  <c r="A69" i="25"/>
  <c r="A70" i="25"/>
  <c r="A71" i="25"/>
  <c r="A72" i="25"/>
  <c r="A73" i="25"/>
  <c r="A74" i="25"/>
  <c r="I74" i="25"/>
  <c r="A75" i="25"/>
  <c r="A76" i="25"/>
  <c r="I76" i="25"/>
  <c r="A77" i="25"/>
  <c r="I77" i="25"/>
  <c r="A78" i="25"/>
  <c r="A79" i="25"/>
  <c r="A80" i="25"/>
  <c r="A81" i="25"/>
  <c r="A82" i="25"/>
  <c r="A83" i="25"/>
  <c r="A84" i="25"/>
  <c r="A85" i="25"/>
  <c r="G85" i="25"/>
  <c r="A86" i="25"/>
  <c r="G86" i="25"/>
  <c r="A87" i="25"/>
  <c r="A88" i="25"/>
  <c r="G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5" i="26"/>
  <c r="A6" i="26"/>
  <c r="A7" i="26"/>
  <c r="A8" i="26"/>
  <c r="I8" i="26"/>
  <c r="A10" i="26"/>
  <c r="I10" i="26"/>
  <c r="A12" i="26"/>
  <c r="A13" i="26"/>
  <c r="A16" i="26"/>
  <c r="A17" i="26"/>
  <c r="A18" i="26"/>
  <c r="I18" i="26"/>
  <c r="G18" i="26"/>
  <c r="A20" i="26"/>
  <c r="A21" i="26"/>
  <c r="I21" i="26"/>
  <c r="G21" i="26"/>
  <c r="A22" i="26"/>
  <c r="A23" i="26"/>
  <c r="I23" i="26"/>
  <c r="A24" i="26"/>
  <c r="I24" i="26"/>
  <c r="A25" i="26"/>
  <c r="A26" i="26"/>
  <c r="A29" i="26"/>
  <c r="A30" i="26"/>
  <c r="A31" i="26"/>
  <c r="A32" i="26"/>
  <c r="A33" i="26"/>
  <c r="A34" i="26"/>
  <c r="A35" i="26"/>
  <c r="G35" i="26"/>
  <c r="A36" i="26"/>
  <c r="I36" i="26"/>
  <c r="A37" i="26"/>
  <c r="A38" i="26"/>
  <c r="I38" i="26"/>
  <c r="A39" i="26"/>
  <c r="A40" i="26"/>
  <c r="A41" i="26"/>
  <c r="A42" i="26"/>
  <c r="I42" i="26"/>
  <c r="A43" i="26"/>
  <c r="G43" i="26"/>
  <c r="A44" i="26"/>
  <c r="I44" i="26"/>
  <c r="A45" i="26"/>
  <c r="G45" i="26"/>
  <c r="A46" i="26"/>
  <c r="I46" i="26"/>
  <c r="A47" i="26"/>
  <c r="I47" i="26"/>
  <c r="A48" i="26"/>
  <c r="A49" i="26"/>
  <c r="A50" i="26"/>
  <c r="A51" i="26"/>
  <c r="A52" i="26"/>
  <c r="A53" i="26"/>
  <c r="A54" i="26"/>
  <c r="A55" i="26"/>
  <c r="I55" i="26"/>
  <c r="A56" i="26"/>
  <c r="I56" i="26"/>
  <c r="A57" i="26"/>
  <c r="A58" i="26"/>
  <c r="G58" i="26"/>
  <c r="A59" i="26"/>
  <c r="A60" i="26"/>
  <c r="A61" i="26"/>
  <c r="A62" i="26"/>
  <c r="A63" i="26"/>
  <c r="A64" i="26"/>
  <c r="I64" i="26"/>
  <c r="A65" i="26"/>
  <c r="A66" i="26"/>
  <c r="A67" i="26"/>
  <c r="G67" i="26"/>
  <c r="A68" i="26"/>
  <c r="A69" i="26"/>
  <c r="A70" i="26"/>
  <c r="G70" i="26"/>
  <c r="A71" i="26"/>
  <c r="A72" i="26"/>
  <c r="A73" i="26"/>
  <c r="A74" i="26"/>
  <c r="A75" i="26"/>
  <c r="I75" i="26"/>
  <c r="A76" i="26"/>
  <c r="I76" i="26"/>
  <c r="A77" i="26"/>
  <c r="A78" i="26"/>
  <c r="G78" i="26"/>
  <c r="A79" i="26"/>
  <c r="A80" i="26"/>
  <c r="A81" i="26"/>
  <c r="I81" i="26"/>
  <c r="A82" i="26"/>
  <c r="G82" i="26"/>
  <c r="A83" i="26"/>
  <c r="G83" i="26"/>
  <c r="A84" i="26"/>
  <c r="A85" i="26"/>
  <c r="A86" i="26"/>
  <c r="A87" i="26"/>
  <c r="A88" i="26"/>
  <c r="A89" i="26"/>
  <c r="I89" i="26"/>
  <c r="A90" i="26"/>
  <c r="I90" i="26"/>
  <c r="A91" i="26"/>
  <c r="A92" i="26"/>
  <c r="A93" i="26"/>
  <c r="A94" i="26"/>
  <c r="A95" i="26"/>
  <c r="I95" i="26"/>
  <c r="A96" i="26"/>
  <c r="G96" i="26"/>
  <c r="A97" i="26"/>
  <c r="A98" i="26"/>
  <c r="A99" i="26"/>
  <c r="A100" i="26"/>
  <c r="A101" i="26"/>
  <c r="G101" i="26"/>
  <c r="A5" i="27"/>
  <c r="I5" i="27"/>
  <c r="A6" i="27"/>
  <c r="A7" i="27"/>
  <c r="A8" i="27"/>
  <c r="I8" i="27"/>
  <c r="A9" i="27"/>
  <c r="I9" i="27"/>
  <c r="A11" i="27"/>
  <c r="A13" i="27"/>
  <c r="A14" i="27"/>
  <c r="A15" i="27"/>
  <c r="A16" i="27"/>
  <c r="A18" i="27"/>
  <c r="A19" i="27"/>
  <c r="A20" i="27"/>
  <c r="A21" i="27"/>
  <c r="I21" i="27"/>
  <c r="A22" i="27"/>
  <c r="A23" i="27"/>
  <c r="A24" i="27"/>
  <c r="A25" i="27"/>
  <c r="A26" i="27"/>
  <c r="A27" i="27"/>
  <c r="A28" i="27"/>
  <c r="I28" i="27"/>
  <c r="A29" i="27"/>
  <c r="A30" i="27"/>
  <c r="I30" i="27"/>
  <c r="A31" i="27"/>
  <c r="I31" i="27"/>
  <c r="A32" i="27"/>
  <c r="I32" i="27"/>
  <c r="A33" i="27"/>
  <c r="A34" i="27"/>
  <c r="A35" i="27"/>
  <c r="I35" i="27"/>
  <c r="A36" i="27"/>
  <c r="A37" i="27"/>
  <c r="A38" i="27"/>
  <c r="A39" i="27"/>
  <c r="A40" i="27"/>
  <c r="A41" i="27"/>
  <c r="I41" i="27"/>
  <c r="A42" i="27"/>
  <c r="A43" i="27"/>
  <c r="A44" i="27"/>
  <c r="A45" i="27"/>
  <c r="A46" i="27"/>
  <c r="A47" i="27"/>
  <c r="A48" i="27"/>
  <c r="G48" i="27"/>
  <c r="A49" i="27"/>
  <c r="G49" i="27"/>
  <c r="A50" i="27"/>
  <c r="A51" i="27"/>
  <c r="A52" i="27"/>
  <c r="G52" i="27"/>
  <c r="A53" i="27"/>
  <c r="G53" i="27"/>
  <c r="A54" i="27"/>
  <c r="A55" i="27"/>
  <c r="A56" i="27"/>
  <c r="A57" i="27"/>
  <c r="A58" i="27"/>
  <c r="A59" i="27"/>
  <c r="A60" i="27"/>
  <c r="A61" i="27"/>
  <c r="I61" i="27"/>
  <c r="A62" i="27"/>
  <c r="G62" i="27"/>
  <c r="A63" i="27"/>
  <c r="A64" i="27"/>
  <c r="G64" i="27"/>
  <c r="A65" i="27"/>
  <c r="A66" i="27"/>
  <c r="A67" i="27"/>
  <c r="A68" i="27"/>
  <c r="G68" i="27"/>
  <c r="A69" i="27"/>
  <c r="G69" i="27"/>
  <c r="A70" i="27"/>
  <c r="A71" i="27"/>
  <c r="A72" i="27"/>
  <c r="I72" i="27"/>
  <c r="A73" i="27"/>
  <c r="G73" i="27"/>
  <c r="A74" i="27"/>
  <c r="G74" i="27"/>
  <c r="A75" i="27"/>
  <c r="A76" i="27"/>
  <c r="G76" i="27"/>
  <c r="A77" i="27"/>
  <c r="A78" i="27"/>
  <c r="A79" i="27"/>
  <c r="A80" i="27"/>
  <c r="A81" i="27"/>
  <c r="G81" i="27"/>
  <c r="A82" i="27"/>
  <c r="G82" i="27"/>
  <c r="A83" i="27"/>
  <c r="A84" i="27"/>
  <c r="I84" i="27"/>
  <c r="A85" i="27"/>
  <c r="A86" i="27"/>
  <c r="A87" i="27"/>
  <c r="I87" i="27"/>
  <c r="A88" i="27"/>
  <c r="I88" i="27"/>
  <c r="A89" i="27"/>
  <c r="G89" i="27"/>
  <c r="A90" i="27"/>
  <c r="G90" i="27"/>
  <c r="A91" i="27"/>
  <c r="I91" i="27"/>
  <c r="A92" i="27"/>
  <c r="A93" i="27"/>
  <c r="I93" i="27"/>
  <c r="A94" i="27"/>
  <c r="A95" i="27"/>
  <c r="A96" i="27"/>
  <c r="G96" i="27"/>
  <c r="A97" i="27"/>
  <c r="A98" i="27"/>
  <c r="A99" i="27"/>
  <c r="A100" i="27"/>
  <c r="A101" i="27"/>
  <c r="G101" i="27"/>
  <c r="A5" i="28"/>
  <c r="A6" i="28"/>
  <c r="A7" i="28"/>
  <c r="I7" i="28"/>
  <c r="A8" i="28"/>
  <c r="A9" i="28"/>
  <c r="A10" i="28"/>
  <c r="A11" i="28"/>
  <c r="I11" i="28"/>
  <c r="A12" i="28"/>
  <c r="A13" i="28"/>
  <c r="I13" i="28"/>
  <c r="A14" i="28"/>
  <c r="I14" i="28"/>
  <c r="A15" i="28"/>
  <c r="A17" i="28"/>
  <c r="I17" i="28"/>
  <c r="A18" i="28"/>
  <c r="A19" i="28"/>
  <c r="I19" i="28"/>
  <c r="A20" i="28"/>
  <c r="A22" i="28"/>
  <c r="A23" i="28"/>
  <c r="A24" i="28"/>
  <c r="A25" i="28"/>
  <c r="A27" i="28"/>
  <c r="I27" i="28"/>
  <c r="A28" i="28"/>
  <c r="A29" i="28"/>
  <c r="A30" i="28"/>
  <c r="A31" i="28"/>
  <c r="A32" i="28"/>
  <c r="A33" i="28"/>
  <c r="I33" i="28"/>
  <c r="A34" i="28"/>
  <c r="G34" i="28"/>
  <c r="A35" i="28"/>
  <c r="G35" i="28"/>
  <c r="A36" i="28"/>
  <c r="A37" i="28"/>
  <c r="A38" i="28"/>
  <c r="I38" i="28"/>
  <c r="A39" i="28"/>
  <c r="I39" i="28"/>
  <c r="A40" i="28"/>
  <c r="A41" i="28"/>
  <c r="A42" i="28"/>
  <c r="A43" i="28"/>
  <c r="A44" i="28"/>
  <c r="A45" i="28"/>
  <c r="A46" i="28"/>
  <c r="A47" i="28"/>
  <c r="I47" i="28"/>
  <c r="A48" i="28"/>
  <c r="A49" i="28"/>
  <c r="A50" i="28"/>
  <c r="I50" i="28"/>
  <c r="A51" i="28"/>
  <c r="A52" i="28"/>
  <c r="A53" i="28"/>
  <c r="G53" i="28"/>
  <c r="A54" i="28"/>
  <c r="G54" i="28"/>
  <c r="A55" i="28"/>
  <c r="A56" i="28"/>
  <c r="I56" i="28"/>
  <c r="A57" i="28"/>
  <c r="A58" i="28"/>
  <c r="I58" i="28"/>
  <c r="A59" i="28"/>
  <c r="G59" i="28"/>
  <c r="A60" i="28"/>
  <c r="A61" i="28"/>
  <c r="A62" i="28"/>
  <c r="G62" i="28"/>
  <c r="A63" i="28"/>
  <c r="A64" i="28"/>
  <c r="A65" i="28"/>
  <c r="A66" i="28"/>
  <c r="A67" i="28"/>
  <c r="A68" i="28"/>
  <c r="A69" i="28"/>
  <c r="A70" i="28"/>
  <c r="A71" i="28"/>
  <c r="A72" i="28"/>
  <c r="A73" i="28"/>
  <c r="I73" i="28"/>
  <c r="A74" i="28"/>
  <c r="I74" i="28"/>
  <c r="A75" i="28"/>
  <c r="I75" i="28"/>
  <c r="A76" i="28"/>
  <c r="A77" i="28"/>
  <c r="G77" i="28"/>
  <c r="A78" i="28"/>
  <c r="I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G90" i="28"/>
  <c r="A91" i="28"/>
  <c r="A92" i="28"/>
  <c r="A93" i="28"/>
  <c r="I93" i="28"/>
  <c r="A94" i="28"/>
  <c r="G94" i="28"/>
  <c r="A95" i="28"/>
  <c r="A96" i="28"/>
  <c r="I96" i="28"/>
  <c r="A97" i="28"/>
  <c r="A98" i="28"/>
  <c r="I98" i="28"/>
  <c r="A99" i="28"/>
  <c r="I99" i="28"/>
  <c r="A100" i="28"/>
  <c r="A101" i="28"/>
  <c r="A5" i="29"/>
  <c r="I5" i="29"/>
  <c r="A6" i="29"/>
  <c r="A7" i="29"/>
  <c r="A8" i="29"/>
  <c r="A9" i="29"/>
  <c r="A10" i="29"/>
  <c r="A11" i="29"/>
  <c r="A12" i="29"/>
  <c r="A13" i="29"/>
  <c r="I13" i="29"/>
  <c r="A14" i="29"/>
  <c r="A15" i="29"/>
  <c r="A16" i="29"/>
  <c r="A17" i="29"/>
  <c r="A18" i="29"/>
  <c r="A19" i="29"/>
  <c r="A20" i="29"/>
  <c r="I20" i="29"/>
  <c r="A21" i="29"/>
  <c r="A22" i="29"/>
  <c r="G22" i="29"/>
  <c r="A23" i="29"/>
  <c r="A24" i="29"/>
  <c r="I24" i="29"/>
  <c r="A25" i="29"/>
  <c r="G25" i="29"/>
  <c r="A26" i="29"/>
  <c r="A27" i="29"/>
  <c r="A28" i="29"/>
  <c r="G28" i="29"/>
  <c r="A29" i="29"/>
  <c r="A30" i="29"/>
  <c r="I30" i="29"/>
  <c r="A31" i="29"/>
  <c r="A32" i="29"/>
  <c r="A33" i="29"/>
  <c r="A34" i="29"/>
  <c r="I34" i="29"/>
  <c r="A35" i="29"/>
  <c r="A36" i="29"/>
  <c r="G36" i="29"/>
  <c r="A37" i="29"/>
  <c r="G37" i="29"/>
  <c r="A38" i="29"/>
  <c r="A39" i="29"/>
  <c r="A40" i="29"/>
  <c r="I40" i="29"/>
  <c r="A41" i="29"/>
  <c r="A42" i="29"/>
  <c r="A43" i="29"/>
  <c r="I43" i="29"/>
  <c r="A44" i="29"/>
  <c r="I44" i="29"/>
  <c r="A45" i="29"/>
  <c r="G45" i="29"/>
  <c r="A46" i="29"/>
  <c r="A47" i="29"/>
  <c r="A48" i="29"/>
  <c r="A49" i="29"/>
  <c r="A50" i="29"/>
  <c r="I50" i="29"/>
  <c r="A51" i="29"/>
  <c r="I51" i="29"/>
  <c r="A52" i="29"/>
  <c r="A53" i="29"/>
  <c r="A54" i="29"/>
  <c r="I54" i="29"/>
  <c r="A55" i="29"/>
  <c r="A56" i="29"/>
  <c r="A57" i="29"/>
  <c r="G57" i="29"/>
  <c r="A58" i="29"/>
  <c r="A59" i="29"/>
  <c r="I59" i="29"/>
  <c r="A60" i="29"/>
  <c r="I60" i="29"/>
  <c r="A61" i="29"/>
  <c r="G61" i="29"/>
  <c r="A62" i="29"/>
  <c r="G62" i="29"/>
  <c r="A63" i="29"/>
  <c r="I63" i="29"/>
  <c r="A64" i="29"/>
  <c r="G64" i="29"/>
  <c r="A65" i="29"/>
  <c r="A66" i="29"/>
  <c r="A67" i="29"/>
  <c r="A68" i="29"/>
  <c r="A69" i="29"/>
  <c r="A70" i="29"/>
  <c r="G70" i="29"/>
  <c r="A71" i="29"/>
  <c r="G71" i="29"/>
  <c r="A72" i="29"/>
  <c r="A73" i="29"/>
  <c r="G73" i="29"/>
  <c r="A74" i="29"/>
  <c r="A75" i="29"/>
  <c r="A76" i="29"/>
  <c r="G76" i="29"/>
  <c r="A77" i="29"/>
  <c r="A78" i="29"/>
  <c r="I78" i="29"/>
  <c r="A79" i="29"/>
  <c r="A80" i="29"/>
  <c r="A81" i="29"/>
  <c r="A82" i="29"/>
  <c r="A83" i="29"/>
  <c r="G83" i="29"/>
  <c r="A84" i="29"/>
  <c r="I84" i="29"/>
  <c r="A85" i="29"/>
  <c r="A86" i="29"/>
  <c r="A87" i="29"/>
  <c r="A88" i="29"/>
  <c r="A89" i="29"/>
  <c r="A90" i="29"/>
  <c r="A91" i="29"/>
  <c r="I91" i="29"/>
  <c r="A92" i="29"/>
  <c r="A93" i="29"/>
  <c r="A94" i="29"/>
  <c r="G94" i="29"/>
  <c r="A95" i="29"/>
  <c r="A96" i="29"/>
  <c r="I96" i="29"/>
  <c r="A97" i="29"/>
  <c r="G97" i="29"/>
  <c r="A98" i="29"/>
  <c r="G98" i="29"/>
  <c r="A99" i="29"/>
  <c r="G99" i="29"/>
  <c r="A100" i="29"/>
  <c r="I100" i="29"/>
  <c r="A101" i="29"/>
  <c r="A5" i="30"/>
  <c r="A6" i="30"/>
  <c r="G6" i="30"/>
  <c r="A7" i="30"/>
  <c r="A8" i="30"/>
  <c r="A9" i="30"/>
  <c r="G9" i="30"/>
  <c r="A10" i="30"/>
  <c r="A11" i="30"/>
  <c r="A12" i="30"/>
  <c r="A13" i="30"/>
  <c r="A14" i="30"/>
  <c r="A15" i="30"/>
  <c r="A16" i="30"/>
  <c r="G16" i="30"/>
  <c r="A17" i="30"/>
  <c r="I17" i="30"/>
  <c r="A18" i="30"/>
  <c r="A19" i="30"/>
  <c r="A20" i="30"/>
  <c r="A21" i="30"/>
  <c r="A22" i="30"/>
  <c r="A23" i="30"/>
  <c r="G23" i="30"/>
  <c r="A24" i="30"/>
  <c r="G24" i="30"/>
  <c r="A25" i="30"/>
  <c r="I25" i="30"/>
  <c r="A26" i="30"/>
  <c r="I26" i="30"/>
  <c r="A27" i="30"/>
  <c r="I27" i="30"/>
  <c r="A28" i="30"/>
  <c r="I28" i="30"/>
  <c r="A29" i="30"/>
  <c r="A30" i="30"/>
  <c r="A31" i="30"/>
  <c r="I31" i="30"/>
  <c r="A32" i="30"/>
  <c r="A33" i="30"/>
  <c r="G33" i="30"/>
  <c r="A34" i="30"/>
  <c r="I34" i="30"/>
  <c r="A35" i="30"/>
  <c r="A36" i="30"/>
  <c r="A37" i="30"/>
  <c r="A38" i="30"/>
  <c r="A39" i="30"/>
  <c r="G39" i="30"/>
  <c r="A40" i="30"/>
  <c r="G40" i="30"/>
  <c r="A41" i="30"/>
  <c r="G41" i="30"/>
  <c r="A42" i="30"/>
  <c r="G42" i="30"/>
  <c r="A43" i="30"/>
  <c r="I43" i="30"/>
  <c r="A44" i="30"/>
  <c r="A45" i="30"/>
  <c r="A46" i="30"/>
  <c r="I46" i="30"/>
  <c r="A47" i="30"/>
  <c r="I47" i="30"/>
  <c r="A48" i="30"/>
  <c r="A49" i="30"/>
  <c r="I49" i="30"/>
  <c r="A50" i="30"/>
  <c r="A51" i="30"/>
  <c r="G51" i="30"/>
  <c r="A52" i="30"/>
  <c r="A53" i="30"/>
  <c r="A54" i="30"/>
  <c r="A55" i="30"/>
  <c r="A56" i="30"/>
  <c r="I56" i="30"/>
  <c r="A57" i="30"/>
  <c r="A58" i="30"/>
  <c r="A59" i="30"/>
  <c r="A60" i="30"/>
  <c r="A61" i="30"/>
  <c r="A62" i="30"/>
  <c r="G62" i="30"/>
  <c r="A63" i="30"/>
  <c r="I63" i="30"/>
  <c r="A64" i="30"/>
  <c r="G64" i="30"/>
  <c r="A65" i="30"/>
  <c r="I65" i="30"/>
  <c r="A66" i="30"/>
  <c r="A67" i="30"/>
  <c r="I67" i="30"/>
  <c r="A68" i="30"/>
  <c r="A69" i="30"/>
  <c r="G69" i="30"/>
  <c r="A70" i="30"/>
  <c r="A71" i="30"/>
  <c r="A72" i="30"/>
  <c r="A73" i="30"/>
  <c r="I73" i="30"/>
  <c r="A74" i="30"/>
  <c r="G74" i="30"/>
  <c r="A75" i="30"/>
  <c r="A76" i="30"/>
  <c r="I76" i="30"/>
  <c r="A77" i="30"/>
  <c r="I77" i="30"/>
  <c r="A78" i="30"/>
  <c r="A79" i="30"/>
  <c r="A80" i="30"/>
  <c r="G80" i="30"/>
  <c r="A81" i="30"/>
  <c r="A82" i="30"/>
  <c r="A83" i="30"/>
  <c r="A84" i="30"/>
  <c r="A85" i="30"/>
  <c r="I85" i="30"/>
  <c r="A86" i="30"/>
  <c r="I86" i="30"/>
  <c r="A87" i="30"/>
  <c r="G87" i="30"/>
  <c r="A88" i="30"/>
  <c r="A89" i="30"/>
  <c r="G89" i="30"/>
  <c r="A90" i="30"/>
  <c r="A91" i="30"/>
  <c r="G91" i="30"/>
  <c r="A92" i="30"/>
  <c r="A93" i="30"/>
  <c r="I93" i="30"/>
  <c r="A94" i="30"/>
  <c r="I94" i="30"/>
  <c r="A95" i="30"/>
  <c r="A96" i="30"/>
  <c r="A97" i="30"/>
  <c r="I97" i="30"/>
  <c r="A98" i="30"/>
  <c r="A99" i="30"/>
  <c r="A100" i="30"/>
  <c r="I100" i="30"/>
  <c r="A101" i="30"/>
  <c r="A5" i="7"/>
  <c r="I5" i="7"/>
  <c r="A6" i="7"/>
  <c r="I6" i="7"/>
  <c r="G6" i="7"/>
  <c r="A7" i="7"/>
  <c r="A8" i="7"/>
  <c r="A9" i="7"/>
  <c r="A10" i="7"/>
  <c r="A11" i="7"/>
  <c r="I11" i="7"/>
  <c r="A12" i="7"/>
  <c r="A13" i="7"/>
  <c r="A14" i="7"/>
  <c r="A15" i="7"/>
  <c r="A16" i="7"/>
  <c r="A17" i="7"/>
  <c r="A18" i="7"/>
  <c r="A19" i="7"/>
  <c r="A20" i="7"/>
  <c r="A21" i="7"/>
  <c r="A22" i="7"/>
  <c r="I22" i="7"/>
  <c r="A23" i="7"/>
  <c r="I23" i="7"/>
  <c r="A24" i="7"/>
  <c r="A25" i="7"/>
  <c r="G25" i="7"/>
  <c r="A26" i="7"/>
  <c r="G26" i="7"/>
  <c r="A27" i="7"/>
  <c r="G27" i="7"/>
  <c r="A28" i="7"/>
  <c r="A29" i="7"/>
  <c r="I29" i="7"/>
  <c r="A30" i="7"/>
  <c r="G30" i="7"/>
  <c r="A31" i="7"/>
  <c r="I31" i="7"/>
  <c r="A32" i="7"/>
  <c r="A33" i="7"/>
  <c r="A34" i="7"/>
  <c r="A35" i="7"/>
  <c r="A36" i="7"/>
  <c r="A37" i="7"/>
  <c r="A38" i="7"/>
  <c r="A39" i="7"/>
  <c r="G39" i="7"/>
  <c r="A40" i="7"/>
  <c r="A41" i="7"/>
  <c r="A42" i="7"/>
  <c r="I42" i="7"/>
  <c r="A43" i="7"/>
  <c r="G43" i="7"/>
  <c r="A44" i="7"/>
  <c r="A45" i="7"/>
  <c r="A46" i="7"/>
  <c r="A47" i="7"/>
  <c r="A48" i="7"/>
  <c r="G48" i="7"/>
  <c r="A49" i="7"/>
  <c r="G49" i="7"/>
  <c r="A50" i="7"/>
  <c r="I50" i="7"/>
  <c r="A51" i="7"/>
  <c r="G51" i="7"/>
  <c r="A52" i="7"/>
  <c r="A53" i="7"/>
  <c r="A54" i="7"/>
  <c r="A55" i="7"/>
  <c r="A56" i="7"/>
  <c r="A57" i="7"/>
  <c r="A58" i="7"/>
  <c r="A59" i="7"/>
  <c r="A60" i="7"/>
  <c r="A61" i="7"/>
  <c r="A62" i="7"/>
  <c r="I62" i="7"/>
  <c r="A63" i="7"/>
  <c r="I63" i="7"/>
  <c r="A64" i="7"/>
  <c r="G64" i="7"/>
  <c r="A65" i="7"/>
  <c r="G65" i="7"/>
  <c r="A66" i="7"/>
  <c r="G66" i="7"/>
  <c r="A67" i="7"/>
  <c r="I67" i="7"/>
  <c r="A68" i="7"/>
  <c r="I68" i="7"/>
  <c r="A69" i="7"/>
  <c r="G69" i="7"/>
  <c r="A70" i="7"/>
  <c r="I70" i="7"/>
  <c r="A71" i="7"/>
  <c r="A72" i="7"/>
  <c r="A73" i="7"/>
  <c r="A74" i="7"/>
  <c r="A75" i="7"/>
  <c r="A76" i="7"/>
  <c r="A77" i="7"/>
  <c r="A78" i="7"/>
  <c r="A79" i="7"/>
  <c r="I79" i="7"/>
  <c r="A80" i="7"/>
  <c r="A81" i="7"/>
  <c r="A82" i="7"/>
  <c r="G82" i="7"/>
  <c r="A83" i="7"/>
  <c r="G83" i="7"/>
  <c r="A84" i="7"/>
  <c r="A85" i="7"/>
  <c r="A86" i="7"/>
  <c r="A87" i="7"/>
  <c r="I87" i="7"/>
  <c r="A88" i="7"/>
  <c r="G88" i="7"/>
  <c r="A89" i="7"/>
  <c r="A90" i="7"/>
  <c r="G90" i="7"/>
  <c r="A91" i="7"/>
  <c r="I91" i="7"/>
  <c r="A92" i="7"/>
  <c r="A93" i="7"/>
  <c r="A94" i="7"/>
  <c r="A95" i="7"/>
  <c r="A96" i="7"/>
  <c r="A97" i="7"/>
  <c r="A98" i="7"/>
  <c r="A99" i="7"/>
  <c r="G99" i="7"/>
  <c r="A100" i="7"/>
  <c r="A101" i="7"/>
  <c r="A3" i="5"/>
  <c r="I3" i="5"/>
  <c r="A4" i="5"/>
  <c r="I4" i="5"/>
  <c r="A3" i="6"/>
  <c r="I3" i="6"/>
  <c r="A4" i="6"/>
  <c r="I4" i="6"/>
  <c r="G4" i="6"/>
  <c r="A3" i="8"/>
  <c r="A4" i="9"/>
  <c r="A3" i="10"/>
  <c r="I3" i="10"/>
  <c r="A4" i="10"/>
  <c r="A3" i="11"/>
  <c r="G3" i="11"/>
  <c r="A4" i="11"/>
  <c r="I4" i="11"/>
  <c r="A3" i="12"/>
  <c r="A4" i="12"/>
  <c r="A3" i="13"/>
  <c r="A4" i="13"/>
  <c r="A3" i="14"/>
  <c r="A4" i="14"/>
  <c r="A3" i="15"/>
  <c r="A3" i="16"/>
  <c r="A3" i="17"/>
  <c r="A4" i="17"/>
  <c r="A3" i="18"/>
  <c r="A4" i="18"/>
  <c r="I4" i="18"/>
  <c r="A3" i="19"/>
  <c r="A4" i="20"/>
  <c r="I4" i="20"/>
  <c r="G4" i="20"/>
  <c r="A4" i="21"/>
  <c r="I4" i="21"/>
  <c r="G4" i="21"/>
  <c r="A4" i="22"/>
  <c r="I4" i="22"/>
  <c r="A3" i="26"/>
  <c r="I3" i="26"/>
  <c r="A4" i="26"/>
  <c r="A3" i="27"/>
  <c r="A4" i="27"/>
  <c r="A3" i="28"/>
  <c r="A4" i="28"/>
  <c r="A3" i="29"/>
  <c r="A4" i="29"/>
  <c r="A3" i="30"/>
  <c r="A4" i="30"/>
  <c r="A3" i="7"/>
  <c r="A4" i="7"/>
  <c r="I4" i="7"/>
  <c r="A2" i="5"/>
  <c r="A2" i="6"/>
  <c r="A2" i="8"/>
  <c r="A2" i="9"/>
  <c r="I2" i="9"/>
  <c r="A2" i="11"/>
  <c r="G2" i="11"/>
  <c r="A2" i="12"/>
  <c r="I2" i="12"/>
  <c r="A2" i="13"/>
  <c r="A2" i="14"/>
  <c r="A2" i="15"/>
  <c r="I2" i="15"/>
  <c r="A2" i="16"/>
  <c r="A2" i="17"/>
  <c r="A2" i="18"/>
  <c r="A2" i="19"/>
  <c r="A2" i="22"/>
  <c r="A2" i="25"/>
  <c r="A2" i="27"/>
  <c r="A2" i="28"/>
  <c r="A2" i="29"/>
  <c r="A2" i="30"/>
  <c r="A2" i="7"/>
  <c r="A51" i="32"/>
  <c r="A52" i="32"/>
  <c r="A53" i="32"/>
  <c r="A54" i="32"/>
  <c r="A55" i="32"/>
  <c r="A56" i="32"/>
  <c r="A57" i="32"/>
  <c r="A58" i="32"/>
  <c r="A59" i="32"/>
  <c r="A60" i="32"/>
  <c r="A61" i="32"/>
  <c r="A62" i="32"/>
  <c r="A63" i="32"/>
  <c r="A64" i="32"/>
  <c r="A65" i="32"/>
  <c r="A66" i="32"/>
  <c r="A67" i="32"/>
  <c r="A68" i="32"/>
  <c r="A69" i="32"/>
  <c r="A70" i="32"/>
  <c r="A71" i="32"/>
  <c r="A72" i="32"/>
  <c r="A73" i="32"/>
  <c r="A74" i="32"/>
  <c r="A75" i="32"/>
  <c r="A76" i="32"/>
  <c r="A77" i="32"/>
  <c r="A78" i="32"/>
  <c r="A79" i="32"/>
  <c r="A80" i="32"/>
  <c r="A81" i="32"/>
  <c r="A82" i="32"/>
  <c r="A83" i="32"/>
  <c r="A84" i="32"/>
  <c r="A85" i="32"/>
  <c r="A86" i="32"/>
  <c r="A87" i="32"/>
  <c r="A88" i="32"/>
  <c r="A89" i="32"/>
  <c r="A90" i="32"/>
  <c r="A91" i="32"/>
  <c r="A92" i="32"/>
  <c r="A93" i="32"/>
  <c r="A94" i="32"/>
  <c r="A95" i="32"/>
  <c r="A96" i="32"/>
  <c r="A97" i="32"/>
  <c r="A98" i="32"/>
  <c r="A99" i="32"/>
  <c r="A100" i="32"/>
  <c r="A101" i="32"/>
  <c r="A251" i="33"/>
  <c r="B251" i="33"/>
  <c r="A252" i="33"/>
  <c r="B252" i="33"/>
  <c r="A253" i="33"/>
  <c r="B253" i="33"/>
  <c r="A254" i="33"/>
  <c r="B254" i="33"/>
  <c r="A255" i="33"/>
  <c r="B255" i="33"/>
  <c r="A256" i="33"/>
  <c r="B256" i="33"/>
  <c r="A257" i="33"/>
  <c r="B257" i="33"/>
  <c r="A258" i="33"/>
  <c r="B258" i="33"/>
  <c r="A259" i="33"/>
  <c r="B259" i="33"/>
  <c r="A260" i="33"/>
  <c r="B260" i="33"/>
  <c r="A261" i="33"/>
  <c r="B261" i="33"/>
  <c r="A262" i="33"/>
  <c r="B262" i="33"/>
  <c r="A263" i="33"/>
  <c r="B263" i="33"/>
  <c r="A264" i="33"/>
  <c r="B264" i="33"/>
  <c r="A265" i="33"/>
  <c r="B265" i="33"/>
  <c r="A266" i="33"/>
  <c r="B266" i="33"/>
  <c r="A267" i="33"/>
  <c r="B267" i="33"/>
  <c r="A268" i="33"/>
  <c r="B268" i="33"/>
  <c r="A269" i="33"/>
  <c r="B269" i="33"/>
  <c r="A270" i="33"/>
  <c r="B270" i="33"/>
  <c r="A271" i="33"/>
  <c r="B271" i="33"/>
  <c r="A272" i="33"/>
  <c r="B272" i="33"/>
  <c r="A273" i="33"/>
  <c r="B273" i="33"/>
  <c r="A274" i="33"/>
  <c r="B274" i="33"/>
  <c r="A275" i="33"/>
  <c r="B275" i="33"/>
  <c r="A276" i="33"/>
  <c r="B276" i="33"/>
  <c r="A277" i="33"/>
  <c r="B277" i="33"/>
  <c r="A278" i="33"/>
  <c r="B278" i="33"/>
  <c r="A279" i="33"/>
  <c r="B279" i="33"/>
  <c r="A280" i="33"/>
  <c r="B280" i="33"/>
  <c r="A281" i="33"/>
  <c r="B281" i="33"/>
  <c r="A282" i="33"/>
  <c r="B282" i="33"/>
  <c r="A283" i="33"/>
  <c r="B283" i="33"/>
  <c r="A284" i="33"/>
  <c r="B284" i="33"/>
  <c r="A285" i="33"/>
  <c r="B285" i="33"/>
  <c r="A286" i="33"/>
  <c r="B286" i="33"/>
  <c r="A287" i="33"/>
  <c r="B287" i="33"/>
  <c r="A288" i="33"/>
  <c r="B288" i="33"/>
  <c r="A289" i="33"/>
  <c r="B289" i="33"/>
  <c r="A290" i="33"/>
  <c r="B290" i="33"/>
  <c r="A291" i="33"/>
  <c r="B291" i="33"/>
  <c r="A292" i="33"/>
  <c r="B292" i="33"/>
  <c r="A293" i="33"/>
  <c r="B293" i="33"/>
  <c r="A294" i="33"/>
  <c r="B294" i="33"/>
  <c r="A295" i="33"/>
  <c r="B295" i="33"/>
  <c r="A296" i="33"/>
  <c r="B296" i="33"/>
  <c r="A297" i="33"/>
  <c r="B297" i="33"/>
  <c r="A298" i="33"/>
  <c r="B298" i="33"/>
  <c r="A299" i="33"/>
  <c r="B299" i="33"/>
  <c r="A300" i="33"/>
  <c r="B300" i="33"/>
  <c r="A301" i="33"/>
  <c r="B301" i="33"/>
  <c r="A302" i="33"/>
  <c r="B302" i="33"/>
  <c r="A303" i="33"/>
  <c r="B303" i="33"/>
  <c r="A304" i="33"/>
  <c r="B304" i="33"/>
  <c r="A305" i="33"/>
  <c r="B305" i="33"/>
  <c r="A306" i="33"/>
  <c r="B306" i="33"/>
  <c r="A307" i="33"/>
  <c r="B307" i="33"/>
  <c r="A308" i="33"/>
  <c r="B308" i="33"/>
  <c r="A309" i="33"/>
  <c r="B309" i="33"/>
  <c r="A310" i="33"/>
  <c r="B310" i="33"/>
  <c r="A311" i="33"/>
  <c r="B311" i="33"/>
  <c r="A312" i="33"/>
  <c r="B312" i="33"/>
  <c r="A313" i="33"/>
  <c r="B313" i="33"/>
  <c r="A314" i="33"/>
  <c r="B314" i="33"/>
  <c r="A315" i="33"/>
  <c r="B315" i="33"/>
  <c r="A316" i="33"/>
  <c r="B316" i="33"/>
  <c r="A317" i="33"/>
  <c r="B317" i="33"/>
  <c r="A318" i="33"/>
  <c r="B318" i="33"/>
  <c r="A319" i="33"/>
  <c r="B319" i="33"/>
  <c r="A320" i="33"/>
  <c r="B320" i="33"/>
  <c r="A321" i="33"/>
  <c r="B321" i="33"/>
  <c r="A322" i="33"/>
  <c r="B322" i="33"/>
  <c r="A323" i="33"/>
  <c r="B323" i="33"/>
  <c r="A324" i="33"/>
  <c r="B324" i="33"/>
  <c r="A325" i="33"/>
  <c r="B325" i="33"/>
  <c r="A326" i="33"/>
  <c r="B326" i="33"/>
  <c r="A327" i="33"/>
  <c r="B327" i="33"/>
  <c r="A328" i="33"/>
  <c r="B328" i="33"/>
  <c r="A329" i="33"/>
  <c r="B329" i="33"/>
  <c r="A330" i="33"/>
  <c r="B330" i="33"/>
  <c r="A331" i="33"/>
  <c r="B331" i="33"/>
  <c r="A332" i="33"/>
  <c r="B332" i="33"/>
  <c r="A333" i="33"/>
  <c r="B333" i="33"/>
  <c r="A334" i="33"/>
  <c r="B334" i="33"/>
  <c r="A335" i="33"/>
  <c r="B335" i="33"/>
  <c r="A336" i="33"/>
  <c r="B336" i="33"/>
  <c r="A337" i="33"/>
  <c r="B337" i="33"/>
  <c r="A338" i="33"/>
  <c r="B338" i="33"/>
  <c r="A339" i="33"/>
  <c r="B339" i="33"/>
  <c r="A340" i="33"/>
  <c r="B340" i="33"/>
  <c r="A341" i="33"/>
  <c r="B341" i="33"/>
  <c r="A342" i="33"/>
  <c r="B342" i="33"/>
  <c r="A343" i="33"/>
  <c r="B343" i="33"/>
  <c r="A344" i="33"/>
  <c r="B344" i="33"/>
  <c r="A345" i="33"/>
  <c r="B345" i="33"/>
  <c r="A346" i="33"/>
  <c r="B346" i="33"/>
  <c r="A347" i="33"/>
  <c r="B347" i="33"/>
  <c r="A348" i="33"/>
  <c r="B348" i="33"/>
  <c r="A349" i="33"/>
  <c r="B349" i="33"/>
  <c r="A350" i="33"/>
  <c r="B350" i="33"/>
  <c r="A351" i="33"/>
  <c r="B351" i="33"/>
  <c r="A352" i="33"/>
  <c r="B352" i="33"/>
  <c r="A353" i="33"/>
  <c r="B353" i="33"/>
  <c r="A354" i="33"/>
  <c r="B354" i="33"/>
  <c r="A355" i="33"/>
  <c r="B355" i="33"/>
  <c r="A356" i="33"/>
  <c r="B356" i="33"/>
  <c r="A357" i="33"/>
  <c r="B357" i="33"/>
  <c r="A358" i="33"/>
  <c r="B358" i="33"/>
  <c r="A359" i="33"/>
  <c r="B359" i="33"/>
  <c r="A360" i="33"/>
  <c r="B360" i="33"/>
  <c r="A361" i="33"/>
  <c r="B361" i="33"/>
  <c r="A362" i="33"/>
  <c r="B362" i="33"/>
  <c r="A363" i="33"/>
  <c r="B363" i="33"/>
  <c r="A364" i="33"/>
  <c r="B364" i="33"/>
  <c r="A365" i="33"/>
  <c r="B365" i="33"/>
  <c r="A366" i="33"/>
  <c r="B366" i="33"/>
  <c r="A367" i="33"/>
  <c r="B367" i="33"/>
  <c r="A368" i="33"/>
  <c r="B368" i="33"/>
  <c r="A369" i="33"/>
  <c r="B369" i="33"/>
  <c r="A370" i="33"/>
  <c r="B370" i="33"/>
  <c r="A371" i="33"/>
  <c r="B371" i="33"/>
  <c r="A372" i="33"/>
  <c r="B372" i="33"/>
  <c r="A373" i="33"/>
  <c r="B373" i="33"/>
  <c r="A374" i="33"/>
  <c r="B374" i="33"/>
  <c r="A375" i="33"/>
  <c r="B375" i="33"/>
  <c r="A376" i="33"/>
  <c r="B376" i="33"/>
  <c r="A377" i="33"/>
  <c r="B377" i="33"/>
  <c r="A378" i="33"/>
  <c r="B378" i="33"/>
  <c r="A379" i="33"/>
  <c r="B379" i="33"/>
  <c r="A380" i="33"/>
  <c r="B380" i="33"/>
  <c r="A381" i="33"/>
  <c r="B381" i="33"/>
  <c r="A382" i="33"/>
  <c r="B382" i="33"/>
  <c r="A383" i="33"/>
  <c r="B383" i="33"/>
  <c r="A384" i="33"/>
  <c r="B384" i="33"/>
  <c r="A385" i="33"/>
  <c r="B385" i="33"/>
  <c r="A386" i="33"/>
  <c r="B386" i="33"/>
  <c r="A387" i="33"/>
  <c r="B387" i="33"/>
  <c r="A388" i="33"/>
  <c r="B388" i="33"/>
  <c r="A389" i="33"/>
  <c r="B389" i="33"/>
  <c r="A390" i="33"/>
  <c r="B390" i="33"/>
  <c r="A391" i="33"/>
  <c r="B391" i="33"/>
  <c r="A392" i="33"/>
  <c r="B392" i="33"/>
  <c r="A393" i="33"/>
  <c r="B393" i="33"/>
  <c r="A394" i="33"/>
  <c r="B394" i="33"/>
  <c r="A395" i="33"/>
  <c r="B395" i="33"/>
  <c r="A396" i="33"/>
  <c r="B396" i="33"/>
  <c r="A397" i="33"/>
  <c r="B397" i="33"/>
  <c r="A398" i="33"/>
  <c r="B398" i="33"/>
  <c r="A399" i="33"/>
  <c r="B399" i="33"/>
  <c r="A400" i="33"/>
  <c r="B400" i="33"/>
  <c r="A401" i="33"/>
  <c r="B401" i="33"/>
  <c r="A402" i="33"/>
  <c r="B402" i="33"/>
  <c r="A2" i="33"/>
  <c r="B2" i="33"/>
  <c r="A3" i="33"/>
  <c r="B3" i="33"/>
  <c r="A4" i="33"/>
  <c r="B4" i="33"/>
  <c r="A5" i="33"/>
  <c r="B5" i="33"/>
  <c r="A6" i="33"/>
  <c r="B6" i="33"/>
  <c r="A7" i="33"/>
  <c r="B7" i="33"/>
  <c r="A8" i="33"/>
  <c r="B8" i="33"/>
  <c r="A9" i="33"/>
  <c r="B9" i="33"/>
  <c r="A10" i="33"/>
  <c r="B10" i="33"/>
  <c r="A11" i="33"/>
  <c r="B11" i="33"/>
  <c r="A12" i="33"/>
  <c r="B12" i="33"/>
  <c r="A13" i="33"/>
  <c r="B13" i="33"/>
  <c r="A14" i="33"/>
  <c r="B14" i="33"/>
  <c r="A15" i="33"/>
  <c r="B15" i="33"/>
  <c r="A16" i="33"/>
  <c r="B16" i="33"/>
  <c r="A17" i="33"/>
  <c r="B17" i="33"/>
  <c r="A18" i="33"/>
  <c r="B18" i="33"/>
  <c r="A19" i="33"/>
  <c r="B19" i="33"/>
  <c r="A20" i="33"/>
  <c r="B20" i="33"/>
  <c r="A21" i="33"/>
  <c r="B21" i="33"/>
  <c r="A22" i="33"/>
  <c r="B22" i="33"/>
  <c r="A23" i="33"/>
  <c r="B23" i="33"/>
  <c r="A24" i="33"/>
  <c r="B24" i="33"/>
  <c r="A25" i="33"/>
  <c r="B25" i="33"/>
  <c r="A26" i="33"/>
  <c r="B26" i="33"/>
  <c r="A27" i="33"/>
  <c r="B27" i="33"/>
  <c r="A28" i="33"/>
  <c r="B28" i="33"/>
  <c r="A29" i="33"/>
  <c r="B29" i="33"/>
  <c r="A30" i="33"/>
  <c r="B30" i="33"/>
  <c r="A31" i="33"/>
  <c r="B31" i="33"/>
  <c r="A32" i="33"/>
  <c r="B32" i="33"/>
  <c r="A33" i="33"/>
  <c r="B33" i="33"/>
  <c r="A34" i="33"/>
  <c r="B34" i="33"/>
  <c r="A35" i="33"/>
  <c r="B35" i="33"/>
  <c r="A36" i="33"/>
  <c r="B36" i="33"/>
  <c r="A37" i="33"/>
  <c r="B37" i="33"/>
  <c r="A38" i="33"/>
  <c r="B38" i="33"/>
  <c r="A39" i="33"/>
  <c r="B39" i="33"/>
  <c r="A40" i="33"/>
  <c r="B40" i="33"/>
  <c r="A41" i="33"/>
  <c r="B41" i="33"/>
  <c r="A42" i="33"/>
  <c r="B42" i="33"/>
  <c r="A43" i="33"/>
  <c r="B43" i="33"/>
  <c r="A44" i="33"/>
  <c r="B44" i="33"/>
  <c r="A45" i="33"/>
  <c r="B45" i="33"/>
  <c r="A46" i="33"/>
  <c r="B46" i="33"/>
  <c r="A47" i="33"/>
  <c r="B47" i="33"/>
  <c r="A48" i="33"/>
  <c r="B48" i="33"/>
  <c r="A49" i="33"/>
  <c r="B49" i="33"/>
  <c r="A50" i="33"/>
  <c r="B50" i="33"/>
  <c r="A51" i="33"/>
  <c r="B51" i="33"/>
  <c r="A52" i="33"/>
  <c r="B52" i="33"/>
  <c r="A53" i="33"/>
  <c r="B53" i="33"/>
  <c r="A54" i="33"/>
  <c r="B54" i="33"/>
  <c r="A55" i="33"/>
  <c r="B55" i="33"/>
  <c r="A56" i="33"/>
  <c r="B56" i="33"/>
  <c r="A57" i="33"/>
  <c r="B57" i="33"/>
  <c r="A58" i="33"/>
  <c r="B58" i="33"/>
  <c r="A59" i="33"/>
  <c r="B59" i="33"/>
  <c r="A60" i="33"/>
  <c r="B60" i="33"/>
  <c r="A61" i="33"/>
  <c r="B61" i="33"/>
  <c r="A62" i="33"/>
  <c r="B62" i="33"/>
  <c r="A63" i="33"/>
  <c r="B63" i="33"/>
  <c r="A64" i="33"/>
  <c r="B64" i="33"/>
  <c r="A65" i="33"/>
  <c r="B65" i="33"/>
  <c r="A66" i="33"/>
  <c r="B66" i="33"/>
  <c r="A67" i="33"/>
  <c r="B67" i="33"/>
  <c r="A68" i="33"/>
  <c r="B68" i="33"/>
  <c r="A69" i="33"/>
  <c r="B69" i="33"/>
  <c r="A70" i="33"/>
  <c r="B70" i="33"/>
  <c r="A71" i="33"/>
  <c r="B71" i="33"/>
  <c r="A72" i="33"/>
  <c r="B72" i="33"/>
  <c r="A73" i="33"/>
  <c r="B73" i="33"/>
  <c r="A74" i="33"/>
  <c r="B74" i="33"/>
  <c r="A75" i="33"/>
  <c r="B75" i="33"/>
  <c r="A76" i="33"/>
  <c r="B76" i="33"/>
  <c r="A77" i="33"/>
  <c r="B77" i="33"/>
  <c r="A78" i="33"/>
  <c r="B78" i="33"/>
  <c r="A79" i="33"/>
  <c r="B79" i="33"/>
  <c r="A80" i="33"/>
  <c r="B80" i="33"/>
  <c r="A81" i="33"/>
  <c r="B81" i="33"/>
  <c r="A82" i="33"/>
  <c r="B82" i="33"/>
  <c r="A83" i="33"/>
  <c r="B83" i="33"/>
  <c r="A84" i="33"/>
  <c r="B84" i="33"/>
  <c r="A85" i="33"/>
  <c r="B85" i="33"/>
  <c r="A86" i="33"/>
  <c r="B86" i="33"/>
  <c r="A87" i="33"/>
  <c r="B87" i="33"/>
  <c r="A88" i="33"/>
  <c r="B88" i="33"/>
  <c r="A89" i="33"/>
  <c r="B89" i="33"/>
  <c r="A90" i="33"/>
  <c r="B90" i="33"/>
  <c r="A91" i="33"/>
  <c r="B91" i="33"/>
  <c r="A92" i="33"/>
  <c r="B92" i="33"/>
  <c r="A93" i="33"/>
  <c r="B93" i="33"/>
  <c r="A94" i="33"/>
  <c r="B94" i="33"/>
  <c r="A95" i="33"/>
  <c r="B95" i="33"/>
  <c r="A96" i="33"/>
  <c r="B96" i="33"/>
  <c r="A97" i="33"/>
  <c r="B97" i="33"/>
  <c r="A98" i="33"/>
  <c r="B98" i="33"/>
  <c r="A99" i="33"/>
  <c r="B99" i="33"/>
  <c r="A100" i="33"/>
  <c r="B100" i="33"/>
  <c r="A101" i="33"/>
  <c r="B101" i="33"/>
  <c r="A102" i="33"/>
  <c r="B102" i="33"/>
  <c r="A103" i="33"/>
  <c r="B103" i="33"/>
  <c r="A104" i="33"/>
  <c r="B104" i="33"/>
  <c r="A105" i="33"/>
  <c r="B105" i="33"/>
  <c r="A106" i="33"/>
  <c r="B106" i="33"/>
  <c r="A107" i="33"/>
  <c r="B107" i="33"/>
  <c r="A108" i="33"/>
  <c r="B108" i="33"/>
  <c r="A109" i="33"/>
  <c r="B109" i="33"/>
  <c r="A110" i="33"/>
  <c r="B110" i="33"/>
  <c r="A111" i="33"/>
  <c r="B111" i="33"/>
  <c r="A112" i="33"/>
  <c r="B112" i="33"/>
  <c r="A113" i="33"/>
  <c r="B113" i="33"/>
  <c r="A114" i="33"/>
  <c r="B114" i="33"/>
  <c r="A115" i="33"/>
  <c r="B115" i="33"/>
  <c r="A116" i="33"/>
  <c r="B116" i="33"/>
  <c r="A117" i="33"/>
  <c r="B117" i="33"/>
  <c r="A118" i="33"/>
  <c r="B118" i="33"/>
  <c r="A119" i="33"/>
  <c r="B119" i="33"/>
  <c r="A120" i="33"/>
  <c r="B120" i="33"/>
  <c r="A121" i="33"/>
  <c r="B121" i="33"/>
  <c r="A122" i="33"/>
  <c r="B122" i="33"/>
  <c r="A123" i="33"/>
  <c r="B123" i="33"/>
  <c r="A124" i="33"/>
  <c r="B124" i="33"/>
  <c r="A125" i="33"/>
  <c r="B125" i="33"/>
  <c r="A126" i="33"/>
  <c r="B126" i="33"/>
  <c r="A127" i="33"/>
  <c r="B127" i="33"/>
  <c r="A128" i="33"/>
  <c r="B128" i="33"/>
  <c r="A129" i="33"/>
  <c r="B129" i="33"/>
  <c r="A130" i="33"/>
  <c r="B130" i="33"/>
  <c r="A131" i="33"/>
  <c r="B131" i="33"/>
  <c r="A132" i="33"/>
  <c r="B132" i="33"/>
  <c r="A133" i="33"/>
  <c r="B133" i="33"/>
  <c r="A134" i="33"/>
  <c r="B134" i="33"/>
  <c r="A135" i="33"/>
  <c r="B135" i="33"/>
  <c r="A136" i="33"/>
  <c r="B136" i="33"/>
  <c r="A137" i="33"/>
  <c r="B137" i="33"/>
  <c r="A138" i="33"/>
  <c r="B138" i="33"/>
  <c r="A139" i="33"/>
  <c r="B139" i="33"/>
  <c r="A140" i="33"/>
  <c r="B140" i="33"/>
  <c r="A141" i="33"/>
  <c r="B141" i="33"/>
  <c r="A142" i="33"/>
  <c r="B142" i="33"/>
  <c r="A143" i="33"/>
  <c r="B143" i="33"/>
  <c r="A144" i="33"/>
  <c r="B144" i="33"/>
  <c r="A145" i="33"/>
  <c r="B145" i="33"/>
  <c r="A146" i="33"/>
  <c r="B146" i="33"/>
  <c r="A147" i="33"/>
  <c r="B147" i="33"/>
  <c r="A148" i="33"/>
  <c r="B148" i="33"/>
  <c r="A149" i="33"/>
  <c r="B149" i="33"/>
  <c r="A150" i="33"/>
  <c r="B150" i="33"/>
  <c r="A151" i="33"/>
  <c r="B151" i="33"/>
  <c r="A152" i="33"/>
  <c r="B152" i="33"/>
  <c r="A153" i="33"/>
  <c r="B153" i="33"/>
  <c r="A154" i="33"/>
  <c r="B154" i="33"/>
  <c r="A155" i="33"/>
  <c r="B155" i="33"/>
  <c r="A156" i="33"/>
  <c r="B156" i="33"/>
  <c r="A157" i="33"/>
  <c r="B157" i="33"/>
  <c r="A158" i="33"/>
  <c r="B158" i="33"/>
  <c r="A159" i="33"/>
  <c r="B159" i="33"/>
  <c r="A160" i="33"/>
  <c r="B160" i="33"/>
  <c r="A161" i="33"/>
  <c r="B161" i="33"/>
  <c r="A162" i="33"/>
  <c r="B162" i="33"/>
  <c r="A163" i="33"/>
  <c r="B163" i="33"/>
  <c r="A164" i="33"/>
  <c r="B164" i="33"/>
  <c r="A165" i="33"/>
  <c r="B165" i="33"/>
  <c r="A166" i="33"/>
  <c r="B166" i="33"/>
  <c r="A167" i="33"/>
  <c r="B167" i="33"/>
  <c r="A168" i="33"/>
  <c r="B168" i="33"/>
  <c r="A169" i="33"/>
  <c r="B169" i="33"/>
  <c r="A170" i="33"/>
  <c r="B170" i="33"/>
  <c r="A171" i="33"/>
  <c r="B171" i="33"/>
  <c r="A172" i="33"/>
  <c r="B172" i="33"/>
  <c r="A173" i="33"/>
  <c r="B173" i="33"/>
  <c r="A174" i="33"/>
  <c r="B174" i="33"/>
  <c r="A175" i="33"/>
  <c r="B175" i="33"/>
  <c r="A176" i="33"/>
  <c r="B176" i="33"/>
  <c r="A177" i="33"/>
  <c r="B177" i="33"/>
  <c r="A178" i="33"/>
  <c r="B178" i="33"/>
  <c r="A179" i="33"/>
  <c r="B179" i="33"/>
  <c r="A180" i="33"/>
  <c r="B180" i="33"/>
  <c r="A181" i="33"/>
  <c r="B181" i="33"/>
  <c r="A182" i="33"/>
  <c r="B182" i="33"/>
  <c r="A183" i="33"/>
  <c r="B183" i="33"/>
  <c r="A184" i="33"/>
  <c r="B184" i="33"/>
  <c r="A185" i="33"/>
  <c r="B185" i="33"/>
  <c r="A186" i="33"/>
  <c r="B186" i="33"/>
  <c r="A187" i="33"/>
  <c r="B187" i="33"/>
  <c r="A188" i="33"/>
  <c r="B188" i="33"/>
  <c r="A189" i="33"/>
  <c r="B189" i="33"/>
  <c r="A190" i="33"/>
  <c r="B190" i="33"/>
  <c r="A191" i="33"/>
  <c r="B191" i="33"/>
  <c r="A192" i="33"/>
  <c r="B192" i="33"/>
  <c r="A193" i="33"/>
  <c r="B193" i="33"/>
  <c r="A194" i="33"/>
  <c r="B194" i="33"/>
  <c r="A195" i="33"/>
  <c r="B195" i="33"/>
  <c r="A196" i="33"/>
  <c r="B196" i="33"/>
  <c r="A197" i="33"/>
  <c r="B197" i="33"/>
  <c r="A198" i="33"/>
  <c r="B198" i="33"/>
  <c r="A199" i="33"/>
  <c r="B199" i="33"/>
  <c r="A200" i="33"/>
  <c r="B200" i="33"/>
  <c r="A201" i="33"/>
  <c r="B201" i="33"/>
  <c r="A202" i="33"/>
  <c r="B202" i="33"/>
  <c r="A203" i="33"/>
  <c r="B203" i="33"/>
  <c r="A204" i="33"/>
  <c r="B204" i="33"/>
  <c r="A205" i="33"/>
  <c r="B205" i="33"/>
  <c r="A206" i="33"/>
  <c r="B206" i="33"/>
  <c r="A207" i="33"/>
  <c r="B207" i="33"/>
  <c r="A208" i="33"/>
  <c r="B208" i="33"/>
  <c r="A209" i="33"/>
  <c r="B209" i="33"/>
  <c r="A210" i="33"/>
  <c r="B210" i="33"/>
  <c r="A211" i="33"/>
  <c r="B211" i="33"/>
  <c r="A212" i="33"/>
  <c r="B212" i="33"/>
  <c r="A213" i="33"/>
  <c r="B213" i="33"/>
  <c r="A214" i="33"/>
  <c r="B214" i="33"/>
  <c r="A215" i="33"/>
  <c r="B215" i="33"/>
  <c r="A216" i="33"/>
  <c r="B216" i="33"/>
  <c r="A217" i="33"/>
  <c r="B217" i="33"/>
  <c r="A218" i="33"/>
  <c r="B218" i="33"/>
  <c r="A219" i="33"/>
  <c r="B219" i="33"/>
  <c r="A220" i="33"/>
  <c r="B220" i="33"/>
  <c r="A221" i="33"/>
  <c r="B221" i="33"/>
  <c r="A222" i="33"/>
  <c r="B222" i="33"/>
  <c r="A223" i="33"/>
  <c r="B223" i="33"/>
  <c r="A224" i="33"/>
  <c r="B224" i="33"/>
  <c r="A225" i="33"/>
  <c r="B225" i="33"/>
  <c r="A226" i="33"/>
  <c r="B226" i="33"/>
  <c r="A227" i="33"/>
  <c r="B227" i="33"/>
  <c r="A228" i="33"/>
  <c r="B228" i="33"/>
  <c r="A229" i="33"/>
  <c r="B229" i="33"/>
  <c r="A230" i="33"/>
  <c r="B230" i="33"/>
  <c r="A231" i="33"/>
  <c r="B231" i="33"/>
  <c r="A232" i="33"/>
  <c r="B232" i="33"/>
  <c r="A233" i="33"/>
  <c r="B233" i="33"/>
  <c r="A234" i="33"/>
  <c r="B234" i="33"/>
  <c r="A235" i="33"/>
  <c r="B235" i="33"/>
  <c r="A236" i="33"/>
  <c r="B236" i="33"/>
  <c r="A237" i="33"/>
  <c r="B237" i="33"/>
  <c r="A238" i="33"/>
  <c r="B238" i="33"/>
  <c r="A239" i="33"/>
  <c r="B239" i="33"/>
  <c r="A240" i="33"/>
  <c r="B240" i="33"/>
  <c r="A241" i="33"/>
  <c r="B241" i="33"/>
  <c r="A242" i="33"/>
  <c r="B242" i="33"/>
  <c r="A243" i="33"/>
  <c r="B243" i="33"/>
  <c r="A244" i="33"/>
  <c r="B244" i="33"/>
  <c r="A245" i="33"/>
  <c r="B245" i="33"/>
  <c r="A246" i="33"/>
  <c r="B246" i="33"/>
  <c r="A247" i="33"/>
  <c r="B247" i="33"/>
  <c r="A248" i="33"/>
  <c r="B248" i="33"/>
  <c r="A249" i="33"/>
  <c r="B249" i="33"/>
  <c r="B250" i="33"/>
  <c r="A250" i="33"/>
  <c r="A3" i="2"/>
  <c r="N2" i="2"/>
  <c r="B103" i="6" a="1"/>
  <c r="B103" i="6"/>
  <c r="B104" i="6"/>
  <c r="B103" i="7" a="1"/>
  <c r="B103" i="7"/>
  <c r="B104" i="7"/>
  <c r="B103" i="8" a="1"/>
  <c r="B103" i="8"/>
  <c r="B104" i="8"/>
  <c r="B103" i="9" a="1"/>
  <c r="B103" i="9"/>
  <c r="B104" i="9"/>
  <c r="B103" i="10" a="1"/>
  <c r="B103" i="10"/>
  <c r="B104" i="10"/>
  <c r="B103" i="11" a="1"/>
  <c r="B103" i="11"/>
  <c r="B104" i="11"/>
  <c r="B103" i="12" a="1"/>
  <c r="B103" i="12"/>
  <c r="B104" i="12"/>
  <c r="B103" i="13" a="1"/>
  <c r="B103" i="13"/>
  <c r="B104" i="13"/>
  <c r="B103" i="14" a="1"/>
  <c r="B103" i="14"/>
  <c r="B104" i="14"/>
  <c r="B103" i="15" a="1"/>
  <c r="B103" i="15"/>
  <c r="B104" i="15"/>
  <c r="B103" i="16" a="1"/>
  <c r="B103" i="16"/>
  <c r="B104" i="16"/>
  <c r="B103" i="17" a="1"/>
  <c r="B103" i="17"/>
  <c r="B104" i="17"/>
  <c r="B103" i="18" a="1"/>
  <c r="B103" i="18"/>
  <c r="B104" i="18"/>
  <c r="B103" i="19" a="1"/>
  <c r="B103" i="19"/>
  <c r="B104" i="19"/>
  <c r="B103" i="20" a="1"/>
  <c r="B103" i="20"/>
  <c r="B104" i="20"/>
  <c r="B103" i="21" a="1"/>
  <c r="B103" i="21"/>
  <c r="B104" i="21"/>
  <c r="B103" i="22" a="1"/>
  <c r="B103" i="22"/>
  <c r="B104" i="22"/>
  <c r="B103" i="23" a="1"/>
  <c r="B103" i="23"/>
  <c r="B104" i="23"/>
  <c r="B103" i="24" a="1"/>
  <c r="B103" i="24"/>
  <c r="B104" i="24"/>
  <c r="B103" i="25" a="1"/>
  <c r="B103" i="25"/>
  <c r="B104" i="25"/>
  <c r="B103" i="26" a="1"/>
  <c r="B103" i="26"/>
  <c r="B104" i="26"/>
  <c r="B103" i="27" a="1"/>
  <c r="B103" i="27"/>
  <c r="B104" i="27"/>
  <c r="B103" i="28" a="1"/>
  <c r="B103" i="28"/>
  <c r="B104" i="28"/>
  <c r="B103" i="29" a="1"/>
  <c r="B103" i="29"/>
  <c r="B104" i="29"/>
  <c r="B103" i="30" a="1"/>
  <c r="B103" i="30"/>
  <c r="B104" i="30"/>
  <c r="B103" i="5" a="1"/>
  <c r="B103" i="5"/>
  <c r="B104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3" i="24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83" i="28"/>
  <c r="H84" i="28"/>
  <c r="H85" i="28"/>
  <c r="H86" i="28"/>
  <c r="H87" i="28"/>
  <c r="H88" i="28"/>
  <c r="H89" i="28"/>
  <c r="H90" i="28"/>
  <c r="H91" i="28"/>
  <c r="H92" i="28"/>
  <c r="H93" i="28"/>
  <c r="H94" i="28"/>
  <c r="H95" i="28"/>
  <c r="H96" i="28"/>
  <c r="H97" i="28"/>
  <c r="H98" i="28"/>
  <c r="H99" i="28"/>
  <c r="H100" i="28"/>
  <c r="H101" i="28"/>
  <c r="H3" i="29"/>
  <c r="H4" i="29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H66" i="29"/>
  <c r="H67" i="29"/>
  <c r="H68" i="29"/>
  <c r="H69" i="29"/>
  <c r="H70" i="29"/>
  <c r="H71" i="29"/>
  <c r="H72" i="29"/>
  <c r="H73" i="29"/>
  <c r="H74" i="29"/>
  <c r="H75" i="29"/>
  <c r="H76" i="29"/>
  <c r="H77" i="29"/>
  <c r="H78" i="29"/>
  <c r="H79" i="29"/>
  <c r="H80" i="29"/>
  <c r="H81" i="29"/>
  <c r="H82" i="29"/>
  <c r="H83" i="29"/>
  <c r="H84" i="29"/>
  <c r="H85" i="29"/>
  <c r="H86" i="29"/>
  <c r="H87" i="29"/>
  <c r="H88" i="29"/>
  <c r="H89" i="29"/>
  <c r="H90" i="29"/>
  <c r="H91" i="29"/>
  <c r="H92" i="29"/>
  <c r="H93" i="29"/>
  <c r="H94" i="29"/>
  <c r="H95" i="29"/>
  <c r="H96" i="29"/>
  <c r="H97" i="29"/>
  <c r="H98" i="29"/>
  <c r="H99" i="29"/>
  <c r="H100" i="29"/>
  <c r="H101" i="29"/>
  <c r="H3" i="30"/>
  <c r="H4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H71" i="30"/>
  <c r="H72" i="30"/>
  <c r="H73" i="30"/>
  <c r="H74" i="30"/>
  <c r="H75" i="30"/>
  <c r="H76" i="30"/>
  <c r="H77" i="30"/>
  <c r="H78" i="30"/>
  <c r="H79" i="30"/>
  <c r="H80" i="30"/>
  <c r="H81" i="30"/>
  <c r="H82" i="30"/>
  <c r="H83" i="30"/>
  <c r="H84" i="30"/>
  <c r="H85" i="30"/>
  <c r="H86" i="30"/>
  <c r="H87" i="30"/>
  <c r="H88" i="30"/>
  <c r="H89" i="30"/>
  <c r="H90" i="30"/>
  <c r="H91" i="30"/>
  <c r="H92" i="30"/>
  <c r="H93" i="30"/>
  <c r="H94" i="30"/>
  <c r="H95" i="30"/>
  <c r="H96" i="30"/>
  <c r="H97" i="30"/>
  <c r="H98" i="30"/>
  <c r="H99" i="30"/>
  <c r="H100" i="30"/>
  <c r="H101" i="30"/>
  <c r="H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2" i="5"/>
  <c r="H2" i="6"/>
  <c r="H2" i="7"/>
  <c r="H2" i="8"/>
  <c r="H2" i="9"/>
  <c r="H2" i="10"/>
  <c r="H2" i="11"/>
  <c r="H2" i="12"/>
  <c r="H2" i="13"/>
  <c r="H2" i="14"/>
  <c r="H2" i="15"/>
  <c r="H2" i="16"/>
  <c r="H2" i="17"/>
  <c r="H2" i="18"/>
  <c r="H2" i="19"/>
  <c r="H2" i="20"/>
  <c r="H2" i="21"/>
  <c r="H2" i="22"/>
  <c r="H2" i="23"/>
  <c r="H2" i="24"/>
  <c r="H2" i="25"/>
  <c r="H2" i="26"/>
  <c r="H2" i="28"/>
  <c r="H2" i="29"/>
  <c r="H2" i="30"/>
  <c r="H2" i="27"/>
  <c r="N3" i="2"/>
  <c r="A4" i="2"/>
  <c r="G82" i="15"/>
  <c r="I82" i="15"/>
  <c r="G83" i="15"/>
  <c r="I83" i="15"/>
  <c r="G84" i="15"/>
  <c r="I84" i="15"/>
  <c r="G85" i="15"/>
  <c r="I85" i="15"/>
  <c r="G86" i="15"/>
  <c r="I86" i="15"/>
  <c r="G87" i="15"/>
  <c r="I87" i="15"/>
  <c r="G88" i="15"/>
  <c r="I88" i="15"/>
  <c r="G89" i="15"/>
  <c r="I89" i="15"/>
  <c r="G90" i="15"/>
  <c r="I90" i="15"/>
  <c r="G91" i="15"/>
  <c r="I91" i="15"/>
  <c r="G92" i="15"/>
  <c r="I92" i="15"/>
  <c r="G93" i="15"/>
  <c r="I93" i="15"/>
  <c r="G94" i="15"/>
  <c r="I94" i="15"/>
  <c r="I95" i="15"/>
  <c r="G95" i="15"/>
  <c r="I96" i="15"/>
  <c r="G96" i="15"/>
  <c r="I97" i="15"/>
  <c r="G97" i="15"/>
  <c r="I98" i="15"/>
  <c r="G98" i="15"/>
  <c r="G99" i="15"/>
  <c r="I99" i="15"/>
  <c r="G100" i="15"/>
  <c r="I100" i="15"/>
  <c r="G101" i="15"/>
  <c r="I101" i="15"/>
  <c r="G49" i="22"/>
  <c r="I49" i="22"/>
  <c r="I52" i="22"/>
  <c r="G56" i="22"/>
  <c r="I56" i="22"/>
  <c r="G58" i="22"/>
  <c r="I58" i="22"/>
  <c r="G59" i="22"/>
  <c r="I59" i="22"/>
  <c r="G60" i="22"/>
  <c r="G61" i="22"/>
  <c r="I61" i="22"/>
  <c r="G62" i="22"/>
  <c r="I62" i="22"/>
  <c r="G63" i="22"/>
  <c r="I63" i="22"/>
  <c r="G64" i="22"/>
  <c r="I64" i="22"/>
  <c r="G66" i="22"/>
  <c r="I66" i="22"/>
  <c r="G67" i="22"/>
  <c r="I67" i="22"/>
  <c r="I68" i="22"/>
  <c r="I71" i="22"/>
  <c r="I73" i="22"/>
  <c r="G75" i="22"/>
  <c r="I75" i="22"/>
  <c r="I76" i="22"/>
  <c r="I78" i="22"/>
  <c r="G78" i="22"/>
  <c r="G79" i="22"/>
  <c r="I79" i="22"/>
  <c r="I80" i="22"/>
  <c r="I81" i="22"/>
  <c r="G81" i="22"/>
  <c r="I82" i="22"/>
  <c r="G82" i="22"/>
  <c r="I83" i="22"/>
  <c r="G83" i="22"/>
  <c r="I84" i="22"/>
  <c r="G84" i="22"/>
  <c r="I86" i="22"/>
  <c r="G86" i="22"/>
  <c r="I87" i="22"/>
  <c r="G87" i="22"/>
  <c r="G95" i="22"/>
  <c r="G96" i="22"/>
  <c r="I96" i="22"/>
  <c r="I97" i="22"/>
  <c r="G98" i="22"/>
  <c r="I98" i="22"/>
  <c r="G99" i="22"/>
  <c r="I99" i="22"/>
  <c r="G100" i="22"/>
  <c r="G101" i="22"/>
  <c r="I101" i="22"/>
  <c r="I23" i="29"/>
  <c r="G23" i="29"/>
  <c r="G24" i="29"/>
  <c r="G26" i="29"/>
  <c r="I26" i="29"/>
  <c r="G27" i="29"/>
  <c r="I27" i="29"/>
  <c r="G29" i="29"/>
  <c r="I29" i="29"/>
  <c r="G31" i="29"/>
  <c r="I31" i="29"/>
  <c r="G32" i="29"/>
  <c r="I32" i="29"/>
  <c r="G34" i="29"/>
  <c r="G35" i="29"/>
  <c r="I35" i="29"/>
  <c r="G46" i="29"/>
  <c r="I46" i="29"/>
  <c r="G47" i="29"/>
  <c r="I47" i="29"/>
  <c r="G48" i="29"/>
  <c r="I48" i="29"/>
  <c r="G49" i="29"/>
  <c r="I49" i="29"/>
  <c r="G50" i="29"/>
  <c r="G51" i="29"/>
  <c r="G52" i="29"/>
  <c r="I52" i="29"/>
  <c r="G54" i="29"/>
  <c r="G55" i="29"/>
  <c r="I55" i="29"/>
  <c r="G63" i="29"/>
  <c r="I64" i="29"/>
  <c r="G66" i="29"/>
  <c r="I66" i="29"/>
  <c r="G67" i="29"/>
  <c r="I67" i="29"/>
  <c r="G68" i="29"/>
  <c r="I68" i="29"/>
  <c r="G69" i="29"/>
  <c r="I69" i="29"/>
  <c r="I70" i="29"/>
  <c r="G72" i="29"/>
  <c r="I72" i="29"/>
  <c r="G75" i="29"/>
  <c r="I75" i="29"/>
  <c r="I83" i="29"/>
  <c r="G86" i="29"/>
  <c r="I86" i="29"/>
  <c r="I87" i="29"/>
  <c r="G87" i="29"/>
  <c r="I88" i="29"/>
  <c r="G88" i="29"/>
  <c r="I89" i="29"/>
  <c r="G89" i="29"/>
  <c r="I90" i="29"/>
  <c r="G90" i="29"/>
  <c r="I92" i="29"/>
  <c r="G92" i="29"/>
  <c r="I94" i="29"/>
  <c r="G95" i="29"/>
  <c r="I95" i="29"/>
  <c r="G100" i="29"/>
  <c r="I6" i="30"/>
  <c r="I9" i="30"/>
  <c r="G10" i="30"/>
  <c r="I10" i="30"/>
  <c r="G11" i="30"/>
  <c r="I11" i="30"/>
  <c r="G12" i="30"/>
  <c r="I12" i="30"/>
  <c r="G13" i="30"/>
  <c r="I13" i="30"/>
  <c r="I14" i="30"/>
  <c r="G14" i="30"/>
  <c r="G15" i="30"/>
  <c r="I15" i="30"/>
  <c r="G17" i="30"/>
  <c r="I18" i="30"/>
  <c r="G18" i="30"/>
  <c r="I23" i="30"/>
  <c r="G26" i="30"/>
  <c r="G27" i="30"/>
  <c r="G28" i="30"/>
  <c r="G29" i="30"/>
  <c r="I29" i="30"/>
  <c r="G30" i="30"/>
  <c r="I30" i="30"/>
  <c r="G31" i="30"/>
  <c r="G32" i="30"/>
  <c r="I32" i="30"/>
  <c r="I33" i="30"/>
  <c r="G34" i="30"/>
  <c r="I35" i="30"/>
  <c r="G35" i="30"/>
  <c r="G38" i="30"/>
  <c r="I38" i="30"/>
  <c r="I42" i="30"/>
  <c r="G43" i="30"/>
  <c r="G49" i="30"/>
  <c r="G50" i="30"/>
  <c r="I50" i="30"/>
  <c r="I51" i="30"/>
  <c r="G52" i="30"/>
  <c r="I52" i="30"/>
  <c r="G53" i="30"/>
  <c r="I53" i="30"/>
  <c r="G54" i="30"/>
  <c r="I54" i="30"/>
  <c r="G55" i="30"/>
  <c r="I55" i="30"/>
  <c r="G58" i="30"/>
  <c r="I58" i="30"/>
  <c r="I62" i="30"/>
  <c r="I64" i="30"/>
  <c r="G66" i="30"/>
  <c r="I66" i="30"/>
  <c r="G67" i="30"/>
  <c r="I69" i="30"/>
  <c r="I70" i="30"/>
  <c r="G70" i="30"/>
  <c r="I71" i="30"/>
  <c r="G71" i="30"/>
  <c r="I72" i="30"/>
  <c r="G72" i="30"/>
  <c r="G73" i="30"/>
  <c r="I74" i="30"/>
  <c r="I75" i="30"/>
  <c r="G75" i="30"/>
  <c r="G76" i="30"/>
  <c r="G77" i="30"/>
  <c r="G78" i="30"/>
  <c r="I78" i="30"/>
  <c r="I87" i="30"/>
  <c r="I88" i="30"/>
  <c r="G88" i="30"/>
  <c r="I89" i="30"/>
  <c r="I90" i="30"/>
  <c r="G90" i="30"/>
  <c r="I91" i="30"/>
  <c r="I92" i="30"/>
  <c r="G92" i="30"/>
  <c r="G93" i="30"/>
  <c r="I95" i="30"/>
  <c r="G95" i="30"/>
  <c r="G97" i="30"/>
  <c r="G98" i="30"/>
  <c r="I98" i="30"/>
  <c r="G101" i="30"/>
  <c r="I101" i="30"/>
  <c r="I5" i="5"/>
  <c r="G5" i="5"/>
  <c r="I6" i="5"/>
  <c r="G6" i="5"/>
  <c r="I7" i="5"/>
  <c r="G7" i="5"/>
  <c r="I8" i="5"/>
  <c r="G8" i="5"/>
  <c r="I9" i="5"/>
  <c r="G9" i="5"/>
  <c r="I10" i="5"/>
  <c r="G10" i="5"/>
  <c r="I11" i="5"/>
  <c r="G11" i="5"/>
  <c r="I12" i="5"/>
  <c r="G12" i="5"/>
  <c r="I13" i="5"/>
  <c r="G13" i="5"/>
  <c r="I14" i="5"/>
  <c r="G14" i="5"/>
  <c r="I16" i="5"/>
  <c r="G16" i="5"/>
  <c r="I17" i="5"/>
  <c r="G17" i="5"/>
  <c r="I18" i="5"/>
  <c r="G18" i="5"/>
  <c r="I19" i="5"/>
  <c r="G19" i="5"/>
  <c r="I20" i="5"/>
  <c r="G20" i="5"/>
  <c r="I21" i="5"/>
  <c r="G21" i="5"/>
  <c r="I22" i="5"/>
  <c r="G22" i="5"/>
  <c r="I23" i="5"/>
  <c r="G23" i="5"/>
  <c r="I24" i="5"/>
  <c r="G24" i="5"/>
  <c r="I25" i="5"/>
  <c r="G25" i="5"/>
  <c r="G26" i="5"/>
  <c r="I26" i="5"/>
  <c r="G27" i="5"/>
  <c r="I27" i="5"/>
  <c r="G28" i="5"/>
  <c r="I28" i="5"/>
  <c r="I29" i="5"/>
  <c r="G29" i="5"/>
  <c r="G30" i="5"/>
  <c r="I30" i="5"/>
  <c r="G31" i="5"/>
  <c r="I31" i="5"/>
  <c r="I32" i="5"/>
  <c r="G32" i="5"/>
  <c r="G33" i="5"/>
  <c r="I33" i="5"/>
  <c r="I34" i="5"/>
  <c r="G34" i="5"/>
  <c r="I35" i="5"/>
  <c r="G35" i="5"/>
  <c r="I36" i="5"/>
  <c r="G36" i="5"/>
  <c r="I37" i="5"/>
  <c r="G37" i="5"/>
  <c r="G38" i="5"/>
  <c r="I38" i="5"/>
  <c r="I39" i="5"/>
  <c r="G39" i="5"/>
  <c r="I40" i="5"/>
  <c r="G40" i="5"/>
  <c r="G41" i="5"/>
  <c r="I41" i="5"/>
  <c r="I42" i="5"/>
  <c r="G42" i="5"/>
  <c r="I43" i="5"/>
  <c r="G43" i="5"/>
  <c r="I44" i="5"/>
  <c r="G44" i="5"/>
  <c r="G45" i="5"/>
  <c r="I45" i="5"/>
  <c r="I46" i="5"/>
  <c r="G46" i="5"/>
  <c r="I47" i="5"/>
  <c r="G47" i="5"/>
  <c r="I48" i="5"/>
  <c r="G48" i="5"/>
  <c r="I49" i="5"/>
  <c r="G49" i="5"/>
  <c r="I50" i="5"/>
  <c r="G50" i="5"/>
  <c r="I51" i="5"/>
  <c r="G51" i="5"/>
  <c r="G52" i="5"/>
  <c r="I52" i="5"/>
  <c r="G53" i="5"/>
  <c r="I53" i="5"/>
  <c r="G54" i="5"/>
  <c r="I54" i="5"/>
  <c r="G55" i="5"/>
  <c r="I55" i="5"/>
  <c r="G56" i="5"/>
  <c r="I56" i="5"/>
  <c r="G57" i="5"/>
  <c r="I57" i="5"/>
  <c r="G58" i="5"/>
  <c r="I58" i="5"/>
  <c r="G59" i="5"/>
  <c r="I59" i="5"/>
  <c r="G60" i="5"/>
  <c r="I60" i="5"/>
  <c r="G61" i="5"/>
  <c r="I61" i="5"/>
  <c r="G62" i="5"/>
  <c r="I62" i="5"/>
  <c r="I63" i="5"/>
  <c r="G63" i="5"/>
  <c r="G64" i="5"/>
  <c r="I64" i="5"/>
  <c r="I65" i="5"/>
  <c r="G65" i="5"/>
  <c r="I66" i="5"/>
  <c r="G66" i="5"/>
  <c r="I67" i="5"/>
  <c r="G67" i="5"/>
  <c r="G68" i="5"/>
  <c r="I68" i="5"/>
  <c r="I69" i="5"/>
  <c r="G69" i="5"/>
  <c r="G70" i="5"/>
  <c r="I70" i="5"/>
  <c r="G71" i="5"/>
  <c r="I71" i="5"/>
  <c r="G72" i="5"/>
  <c r="I72" i="5"/>
  <c r="G73" i="5"/>
  <c r="I73" i="5"/>
  <c r="G74" i="5"/>
  <c r="I74" i="5"/>
  <c r="I75" i="5"/>
  <c r="G75" i="5"/>
  <c r="G76" i="5"/>
  <c r="I76" i="5"/>
  <c r="G77" i="5"/>
  <c r="I77" i="5"/>
  <c r="I78" i="5"/>
  <c r="G78" i="5"/>
  <c r="I79" i="5"/>
  <c r="G79" i="5"/>
  <c r="G80" i="5"/>
  <c r="I80" i="5"/>
  <c r="I81" i="5"/>
  <c r="G81" i="5"/>
  <c r="I82" i="5"/>
  <c r="G82" i="5"/>
  <c r="I83" i="5"/>
  <c r="G83" i="5"/>
  <c r="G84" i="5"/>
  <c r="I84" i="5"/>
  <c r="G85" i="5"/>
  <c r="I85" i="5"/>
  <c r="G86" i="5"/>
  <c r="I86" i="5"/>
  <c r="G87" i="5"/>
  <c r="I87" i="5"/>
  <c r="I88" i="5"/>
  <c r="G88" i="5"/>
  <c r="G89" i="5"/>
  <c r="I89" i="5"/>
  <c r="I90" i="5"/>
  <c r="G90" i="5"/>
  <c r="G91" i="5"/>
  <c r="I91" i="5"/>
  <c r="I92" i="5"/>
  <c r="G92" i="5"/>
  <c r="I93" i="5"/>
  <c r="G93" i="5"/>
  <c r="G94" i="5"/>
  <c r="I94" i="5"/>
  <c r="I95" i="5"/>
  <c r="G95" i="5"/>
  <c r="I96" i="5"/>
  <c r="G96" i="5"/>
  <c r="I97" i="5"/>
  <c r="G97" i="5"/>
  <c r="G98" i="5"/>
  <c r="I98" i="5"/>
  <c r="G99" i="5"/>
  <c r="I99" i="5"/>
  <c r="I100" i="5"/>
  <c r="G100" i="5"/>
  <c r="G101" i="5"/>
  <c r="I101" i="5"/>
  <c r="I5" i="6"/>
  <c r="G5" i="6"/>
  <c r="I6" i="6"/>
  <c r="G6" i="6"/>
  <c r="I7" i="6"/>
  <c r="G7" i="6"/>
  <c r="I8" i="6"/>
  <c r="G8" i="6"/>
  <c r="I9" i="6"/>
  <c r="G9" i="6"/>
  <c r="I10" i="6"/>
  <c r="G10" i="6"/>
  <c r="I11" i="6"/>
  <c r="G11" i="6"/>
  <c r="I12" i="6"/>
  <c r="G12" i="6"/>
  <c r="I13" i="6"/>
  <c r="G13" i="6"/>
  <c r="I14" i="6"/>
  <c r="G14" i="6"/>
  <c r="I17" i="6"/>
  <c r="G17" i="6"/>
  <c r="I18" i="6"/>
  <c r="G18" i="6"/>
  <c r="I19" i="6"/>
  <c r="G19" i="6"/>
  <c r="I20" i="6"/>
  <c r="G20" i="6"/>
  <c r="I21" i="6"/>
  <c r="G21" i="6"/>
  <c r="I22" i="6"/>
  <c r="G22" i="6"/>
  <c r="I23" i="6"/>
  <c r="G23" i="6"/>
  <c r="I25" i="6"/>
  <c r="G25" i="6"/>
  <c r="I26" i="6"/>
  <c r="G26" i="6"/>
  <c r="I27" i="6"/>
  <c r="G27" i="6"/>
  <c r="I28" i="6"/>
  <c r="G28" i="6"/>
  <c r="I29" i="6"/>
  <c r="G29" i="6"/>
  <c r="I30" i="6"/>
  <c r="G30" i="6"/>
  <c r="I31" i="6"/>
  <c r="G31" i="6"/>
  <c r="I32" i="6"/>
  <c r="G32" i="6"/>
  <c r="I33" i="6"/>
  <c r="G33" i="6"/>
  <c r="I34" i="6"/>
  <c r="G34" i="6"/>
  <c r="I35" i="6"/>
  <c r="G35" i="6"/>
  <c r="I36" i="6"/>
  <c r="G36" i="6"/>
  <c r="I37" i="6"/>
  <c r="G37" i="6"/>
  <c r="I38" i="6"/>
  <c r="G38" i="6"/>
  <c r="I39" i="6"/>
  <c r="G39" i="6"/>
  <c r="I41" i="6"/>
  <c r="G41" i="6"/>
  <c r="I42" i="6"/>
  <c r="G42" i="6"/>
  <c r="I43" i="6"/>
  <c r="G43" i="6"/>
  <c r="I44" i="6"/>
  <c r="G44" i="6"/>
  <c r="I45" i="6"/>
  <c r="G45" i="6"/>
  <c r="I47" i="6"/>
  <c r="G47" i="6"/>
  <c r="I48" i="6"/>
  <c r="G48" i="6"/>
  <c r="G49" i="6"/>
  <c r="I49" i="6"/>
  <c r="G50" i="6"/>
  <c r="I50" i="6"/>
  <c r="G51" i="6"/>
  <c r="I51" i="6"/>
  <c r="I52" i="6"/>
  <c r="G52" i="6"/>
  <c r="G53" i="6"/>
  <c r="I53" i="6"/>
  <c r="I54" i="6"/>
  <c r="G54" i="6"/>
  <c r="I55" i="6"/>
  <c r="G55" i="6"/>
  <c r="G56" i="6"/>
  <c r="I56" i="6"/>
  <c r="G57" i="6"/>
  <c r="I57" i="6"/>
  <c r="G58" i="6"/>
  <c r="I58" i="6"/>
  <c r="I59" i="6"/>
  <c r="G59" i="6"/>
  <c r="G60" i="6"/>
  <c r="I60" i="6"/>
  <c r="I61" i="6"/>
  <c r="G61" i="6"/>
  <c r="I62" i="6"/>
  <c r="G62" i="6"/>
  <c r="I63" i="6"/>
  <c r="G63" i="6"/>
  <c r="G64" i="6"/>
  <c r="I64" i="6"/>
  <c r="G65" i="6"/>
  <c r="I65" i="6"/>
  <c r="I66" i="6"/>
  <c r="G66" i="6"/>
  <c r="G67" i="6"/>
  <c r="I67" i="6"/>
  <c r="G68" i="6"/>
  <c r="I68" i="6"/>
  <c r="G69" i="6"/>
  <c r="I69" i="6"/>
  <c r="G70" i="6"/>
  <c r="I70" i="6"/>
  <c r="G71" i="6"/>
  <c r="I71" i="6"/>
  <c r="G72" i="6"/>
  <c r="I72" i="6"/>
  <c r="G73" i="6"/>
  <c r="I73" i="6"/>
  <c r="I74" i="6"/>
  <c r="G74" i="6"/>
  <c r="G75" i="6"/>
  <c r="I75" i="6"/>
  <c r="G76" i="6"/>
  <c r="I76" i="6"/>
  <c r="G77" i="6"/>
  <c r="I77" i="6"/>
  <c r="G78" i="6"/>
  <c r="I78" i="6"/>
  <c r="G79" i="6"/>
  <c r="I79" i="6"/>
  <c r="I80" i="6"/>
  <c r="G80" i="6"/>
  <c r="G81" i="6"/>
  <c r="I81" i="6"/>
  <c r="I82" i="6"/>
  <c r="G82" i="6"/>
  <c r="I83" i="6"/>
  <c r="G83" i="6"/>
  <c r="G84" i="6"/>
  <c r="I84" i="6"/>
  <c r="G85" i="6"/>
  <c r="I85" i="6"/>
  <c r="G86" i="6"/>
  <c r="I86" i="6"/>
  <c r="I87" i="6"/>
  <c r="G87" i="6"/>
  <c r="I88" i="6"/>
  <c r="G88" i="6"/>
  <c r="I89" i="6"/>
  <c r="G89" i="6"/>
  <c r="G90" i="6"/>
  <c r="I90" i="6"/>
  <c r="G91" i="6"/>
  <c r="I91" i="6"/>
  <c r="G92" i="6"/>
  <c r="I92" i="6"/>
  <c r="G93" i="6"/>
  <c r="I93" i="6"/>
  <c r="G94" i="6"/>
  <c r="I94" i="6"/>
  <c r="G95" i="6"/>
  <c r="I95" i="6"/>
  <c r="I96" i="6"/>
  <c r="G96" i="6"/>
  <c r="I97" i="6"/>
  <c r="G97" i="6"/>
  <c r="G98" i="6"/>
  <c r="I98" i="6"/>
  <c r="I99" i="6"/>
  <c r="G99" i="6"/>
  <c r="G100" i="6"/>
  <c r="I100" i="6"/>
  <c r="G101" i="6"/>
  <c r="I101" i="6"/>
  <c r="I5" i="8"/>
  <c r="G5" i="8"/>
  <c r="I6" i="8"/>
  <c r="G6" i="8"/>
  <c r="I7" i="8"/>
  <c r="G7" i="8"/>
  <c r="I8" i="8"/>
  <c r="G8" i="8"/>
  <c r="I9" i="8"/>
  <c r="G9" i="8"/>
  <c r="I10" i="8"/>
  <c r="G10" i="8"/>
  <c r="I11" i="8"/>
  <c r="G11" i="8"/>
  <c r="I12" i="8"/>
  <c r="G12" i="8"/>
  <c r="I13" i="8"/>
  <c r="G13" i="8"/>
  <c r="I14" i="8"/>
  <c r="G14" i="8"/>
  <c r="I15" i="8"/>
  <c r="G15" i="8"/>
  <c r="I16" i="8"/>
  <c r="G16" i="8"/>
  <c r="I17" i="8"/>
  <c r="G17" i="8"/>
  <c r="I18" i="8"/>
  <c r="G18" i="8"/>
  <c r="I19" i="8"/>
  <c r="G19" i="8"/>
  <c r="I20" i="8"/>
  <c r="G20" i="8"/>
  <c r="I22" i="8"/>
  <c r="G22" i="8"/>
  <c r="I23" i="8"/>
  <c r="G23" i="8"/>
  <c r="G24" i="8"/>
  <c r="I24" i="8"/>
  <c r="I25" i="8"/>
  <c r="G25" i="8"/>
  <c r="I26" i="8"/>
  <c r="G26" i="8"/>
  <c r="G27" i="8"/>
  <c r="I27" i="8"/>
  <c r="G28" i="8"/>
  <c r="I28" i="8"/>
  <c r="G29" i="8"/>
  <c r="I29" i="8"/>
  <c r="I30" i="8"/>
  <c r="G30" i="8"/>
  <c r="G31" i="8"/>
  <c r="I31" i="8"/>
  <c r="G32" i="8"/>
  <c r="I32" i="8"/>
  <c r="G33" i="8"/>
  <c r="I33" i="8"/>
  <c r="G34" i="8"/>
  <c r="I34" i="8"/>
  <c r="I35" i="8"/>
  <c r="G35" i="8"/>
  <c r="I36" i="8"/>
  <c r="G36" i="8"/>
  <c r="G37" i="8"/>
  <c r="I37" i="8"/>
  <c r="G38" i="8"/>
  <c r="I38" i="8"/>
  <c r="G39" i="8"/>
  <c r="I39" i="8"/>
  <c r="G40" i="8"/>
  <c r="I40" i="8"/>
  <c r="G41" i="8"/>
  <c r="I41" i="8"/>
  <c r="I42" i="8"/>
  <c r="G42" i="8"/>
  <c r="I43" i="8"/>
  <c r="G43" i="8"/>
  <c r="I44" i="8"/>
  <c r="G44" i="8"/>
  <c r="I45" i="8"/>
  <c r="G45" i="8"/>
  <c r="G46" i="8"/>
  <c r="I46" i="8"/>
  <c r="I47" i="8"/>
  <c r="G47" i="8"/>
  <c r="G48" i="8"/>
  <c r="I48" i="8"/>
  <c r="I49" i="8"/>
  <c r="G49" i="8"/>
  <c r="G50" i="8"/>
  <c r="I50" i="8"/>
  <c r="I51" i="8"/>
  <c r="G51" i="8"/>
  <c r="I52" i="8"/>
  <c r="G52" i="8"/>
  <c r="G53" i="8"/>
  <c r="I53" i="8"/>
  <c r="I54" i="8"/>
  <c r="G54" i="8"/>
  <c r="I55" i="8"/>
  <c r="G55" i="8"/>
  <c r="I56" i="8"/>
  <c r="G56" i="8"/>
  <c r="I57" i="8"/>
  <c r="G57" i="8"/>
  <c r="I58" i="8"/>
  <c r="G58" i="8"/>
  <c r="G59" i="8"/>
  <c r="I59" i="8"/>
  <c r="G60" i="8"/>
  <c r="I60" i="8"/>
  <c r="G61" i="8"/>
  <c r="I61" i="8"/>
  <c r="G62" i="8"/>
  <c r="I62" i="8"/>
  <c r="G63" i="8"/>
  <c r="I63" i="8"/>
  <c r="G64" i="8"/>
  <c r="I64" i="8"/>
  <c r="G65" i="8"/>
  <c r="I65" i="8"/>
  <c r="G66" i="8"/>
  <c r="I66" i="8"/>
  <c r="I67" i="8"/>
  <c r="G67" i="8"/>
  <c r="G68" i="8"/>
  <c r="I68" i="8"/>
  <c r="I69" i="8"/>
  <c r="G69" i="8"/>
  <c r="G70" i="8"/>
  <c r="I70" i="8"/>
  <c r="G71" i="8"/>
  <c r="I71" i="8"/>
  <c r="I72" i="8"/>
  <c r="G72" i="8"/>
  <c r="G73" i="8"/>
  <c r="I73" i="8"/>
  <c r="I74" i="8"/>
  <c r="G74" i="8"/>
  <c r="I75" i="8"/>
  <c r="G75" i="8"/>
  <c r="I76" i="8"/>
  <c r="G76" i="8"/>
  <c r="I77" i="8"/>
  <c r="G77" i="8"/>
  <c r="I78" i="8"/>
  <c r="G78" i="8"/>
  <c r="G79" i="8"/>
  <c r="I79" i="8"/>
  <c r="I80" i="8"/>
  <c r="G80" i="8"/>
  <c r="I81" i="8"/>
  <c r="G81" i="8"/>
  <c r="I82" i="8"/>
  <c r="G82" i="8"/>
  <c r="I83" i="8"/>
  <c r="G83" i="8"/>
  <c r="I84" i="8"/>
  <c r="G84" i="8"/>
  <c r="I85" i="8"/>
  <c r="G85" i="8"/>
  <c r="I86" i="8"/>
  <c r="G86" i="8"/>
  <c r="I87" i="8"/>
  <c r="G87" i="8"/>
  <c r="G88" i="8"/>
  <c r="I88" i="8"/>
  <c r="G89" i="8"/>
  <c r="I89" i="8"/>
  <c r="I90" i="8"/>
  <c r="G90" i="8"/>
  <c r="G91" i="8"/>
  <c r="I91" i="8"/>
  <c r="G92" i="8"/>
  <c r="I92" i="8"/>
  <c r="G93" i="8"/>
  <c r="I93" i="8"/>
  <c r="G94" i="8"/>
  <c r="I94" i="8"/>
  <c r="G95" i="8"/>
  <c r="I95" i="8"/>
  <c r="G96" i="8"/>
  <c r="I96" i="8"/>
  <c r="G97" i="8"/>
  <c r="I97" i="8"/>
  <c r="G98" i="8"/>
  <c r="I98" i="8"/>
  <c r="G99" i="8"/>
  <c r="I99" i="8"/>
  <c r="G100" i="8"/>
  <c r="I100" i="8"/>
  <c r="G101" i="8"/>
  <c r="I101" i="8"/>
  <c r="I5" i="9"/>
  <c r="G5" i="9"/>
  <c r="I6" i="9"/>
  <c r="G6" i="9"/>
  <c r="I7" i="9"/>
  <c r="G7" i="9"/>
  <c r="I8" i="9"/>
  <c r="G8" i="9"/>
  <c r="I9" i="9"/>
  <c r="G9" i="9"/>
  <c r="I10" i="9"/>
  <c r="G10" i="9"/>
  <c r="I11" i="9"/>
  <c r="G11" i="9"/>
  <c r="I12" i="9"/>
  <c r="G12" i="9"/>
  <c r="I13" i="9"/>
  <c r="G13" i="9"/>
  <c r="I14" i="9"/>
  <c r="G14" i="9"/>
  <c r="I15" i="9"/>
  <c r="G15" i="9"/>
  <c r="I16" i="9"/>
  <c r="G16" i="9"/>
  <c r="I17" i="9"/>
  <c r="G17" i="9"/>
  <c r="I18" i="9"/>
  <c r="G18" i="9"/>
  <c r="I20" i="9"/>
  <c r="G20" i="9"/>
  <c r="I22" i="9"/>
  <c r="G22" i="9"/>
  <c r="I23" i="9"/>
  <c r="G23" i="9"/>
  <c r="I25" i="9"/>
  <c r="G25" i="9"/>
  <c r="I26" i="9"/>
  <c r="G26" i="9"/>
  <c r="I27" i="9"/>
  <c r="G27" i="9"/>
  <c r="I28" i="9"/>
  <c r="G28" i="9"/>
  <c r="I30" i="9"/>
  <c r="G30" i="9"/>
  <c r="I31" i="9"/>
  <c r="G31" i="9"/>
  <c r="G32" i="9"/>
  <c r="I32" i="9"/>
  <c r="I33" i="9"/>
  <c r="G33" i="9"/>
  <c r="I34" i="9"/>
  <c r="G34" i="9"/>
  <c r="I35" i="9"/>
  <c r="G35" i="9"/>
  <c r="G36" i="9"/>
  <c r="I36" i="9"/>
  <c r="I37" i="9"/>
  <c r="G37" i="9"/>
  <c r="I38" i="9"/>
  <c r="G38" i="9"/>
  <c r="G39" i="9"/>
  <c r="I39" i="9"/>
  <c r="I40" i="9"/>
  <c r="G40" i="9"/>
  <c r="G41" i="9"/>
  <c r="I41" i="9"/>
  <c r="I42" i="9"/>
  <c r="G42" i="9"/>
  <c r="G43" i="9"/>
  <c r="I43" i="9"/>
  <c r="I44" i="9"/>
  <c r="G44" i="9"/>
  <c r="I45" i="9"/>
  <c r="G45" i="9"/>
  <c r="I46" i="9"/>
  <c r="G46" i="9"/>
  <c r="I47" i="9"/>
  <c r="G47" i="9"/>
  <c r="I48" i="9"/>
  <c r="G48" i="9"/>
  <c r="G49" i="9"/>
  <c r="I49" i="9"/>
  <c r="G50" i="9"/>
  <c r="I50" i="9"/>
  <c r="G51" i="9"/>
  <c r="I51" i="9"/>
  <c r="G52" i="9"/>
  <c r="I52" i="9"/>
  <c r="G53" i="9"/>
  <c r="I53" i="9"/>
  <c r="G54" i="9"/>
  <c r="I54" i="9"/>
  <c r="G55" i="9"/>
  <c r="I55" i="9"/>
  <c r="G56" i="9"/>
  <c r="I56" i="9"/>
  <c r="G57" i="9"/>
  <c r="I57" i="9"/>
  <c r="G58" i="9"/>
  <c r="I58" i="9"/>
  <c r="G59" i="9"/>
  <c r="I59" i="9"/>
  <c r="I60" i="9"/>
  <c r="G60" i="9"/>
  <c r="I61" i="9"/>
  <c r="G61" i="9"/>
  <c r="I62" i="9"/>
  <c r="G62" i="9"/>
  <c r="I63" i="9"/>
  <c r="G63" i="9"/>
  <c r="I64" i="9"/>
  <c r="G64" i="9"/>
  <c r="I65" i="9"/>
  <c r="G65" i="9"/>
  <c r="I66" i="9"/>
  <c r="G66" i="9"/>
  <c r="G67" i="9"/>
  <c r="I67" i="9"/>
  <c r="G68" i="9"/>
  <c r="I68" i="9"/>
  <c r="I69" i="9"/>
  <c r="G69" i="9"/>
  <c r="G70" i="9"/>
  <c r="I70" i="9"/>
  <c r="G71" i="9"/>
  <c r="I71" i="9"/>
  <c r="G72" i="9"/>
  <c r="I72" i="9"/>
  <c r="G73" i="9"/>
  <c r="I73" i="9"/>
  <c r="G74" i="9"/>
  <c r="I74" i="9"/>
  <c r="G75" i="9"/>
  <c r="I75" i="9"/>
  <c r="G76" i="9"/>
  <c r="I76" i="9"/>
  <c r="G77" i="9"/>
  <c r="I77" i="9"/>
  <c r="G78" i="9"/>
  <c r="I78" i="9"/>
  <c r="G79" i="9"/>
  <c r="I79" i="9"/>
  <c r="G80" i="9"/>
  <c r="I80" i="9"/>
  <c r="I81" i="9"/>
  <c r="G81" i="9"/>
  <c r="I82" i="9"/>
  <c r="G82" i="9"/>
  <c r="I83" i="9"/>
  <c r="G83" i="9"/>
  <c r="I84" i="9"/>
  <c r="G84" i="9"/>
  <c r="G85" i="9"/>
  <c r="I85" i="9"/>
  <c r="G86" i="9"/>
  <c r="I86" i="9"/>
  <c r="G87" i="9"/>
  <c r="I87" i="9"/>
  <c r="G88" i="9"/>
  <c r="I88" i="9"/>
  <c r="G89" i="9"/>
  <c r="I89" i="9"/>
  <c r="G90" i="9"/>
  <c r="I90" i="9"/>
  <c r="I91" i="9"/>
  <c r="G91" i="9"/>
  <c r="I92" i="9"/>
  <c r="G92" i="9"/>
  <c r="I93" i="9"/>
  <c r="G93" i="9"/>
  <c r="I94" i="9"/>
  <c r="G94" i="9"/>
  <c r="I95" i="9"/>
  <c r="G95" i="9"/>
  <c r="I96" i="9"/>
  <c r="G96" i="9"/>
  <c r="I97" i="9"/>
  <c r="G97" i="9"/>
  <c r="I98" i="9"/>
  <c r="G98" i="9"/>
  <c r="G99" i="9"/>
  <c r="I99" i="9"/>
  <c r="G100" i="9"/>
  <c r="I100" i="9"/>
  <c r="G101" i="9"/>
  <c r="I101" i="9"/>
  <c r="I5" i="10"/>
  <c r="G5" i="10"/>
  <c r="I6" i="10"/>
  <c r="G6" i="10"/>
  <c r="I7" i="10"/>
  <c r="G7" i="10"/>
  <c r="I8" i="10"/>
  <c r="G8" i="10"/>
  <c r="I9" i="10"/>
  <c r="G9" i="10"/>
  <c r="I10" i="10"/>
  <c r="G10" i="10"/>
  <c r="I11" i="10"/>
  <c r="G11" i="10"/>
  <c r="I12" i="10"/>
  <c r="G12" i="10"/>
  <c r="I13" i="10"/>
  <c r="G13" i="10"/>
  <c r="I14" i="10"/>
  <c r="G14" i="10"/>
  <c r="I15" i="10"/>
  <c r="G15" i="10"/>
  <c r="I16" i="10"/>
  <c r="G16" i="10"/>
  <c r="I17" i="10"/>
  <c r="G17" i="10"/>
  <c r="I18" i="10"/>
  <c r="G18" i="10"/>
  <c r="I19" i="10"/>
  <c r="G19" i="10"/>
  <c r="I20" i="10"/>
  <c r="G20" i="10"/>
  <c r="I21" i="10"/>
  <c r="G21" i="10"/>
  <c r="I22" i="10"/>
  <c r="G22" i="10"/>
  <c r="I23" i="10"/>
  <c r="G23" i="10"/>
  <c r="I24" i="10"/>
  <c r="G24" i="10"/>
  <c r="I25" i="10"/>
  <c r="G25" i="10"/>
  <c r="I26" i="10"/>
  <c r="G26" i="10"/>
  <c r="G27" i="10"/>
  <c r="I27" i="10"/>
  <c r="G28" i="10"/>
  <c r="I28" i="10"/>
  <c r="I29" i="10"/>
  <c r="G29" i="10"/>
  <c r="G30" i="10"/>
  <c r="I30" i="10"/>
  <c r="G31" i="10"/>
  <c r="I31" i="10"/>
  <c r="G32" i="10"/>
  <c r="I32" i="10"/>
  <c r="I33" i="10"/>
  <c r="G33" i="10"/>
  <c r="I34" i="10"/>
  <c r="G34" i="10"/>
  <c r="I35" i="10"/>
  <c r="G35" i="10"/>
  <c r="G36" i="10"/>
  <c r="I36" i="10"/>
  <c r="I37" i="10"/>
  <c r="G37" i="10"/>
  <c r="G38" i="10"/>
  <c r="I38" i="10"/>
  <c r="I39" i="10"/>
  <c r="G39" i="10"/>
  <c r="I40" i="10"/>
  <c r="G40" i="10"/>
  <c r="I41" i="10"/>
  <c r="G41" i="10"/>
  <c r="I42" i="10"/>
  <c r="G42" i="10"/>
  <c r="I43" i="10"/>
  <c r="G43" i="10"/>
  <c r="G44" i="10"/>
  <c r="I44" i="10"/>
  <c r="G45" i="10"/>
  <c r="I45" i="10"/>
  <c r="I46" i="10"/>
  <c r="G46" i="10"/>
  <c r="G47" i="10"/>
  <c r="I47" i="10"/>
  <c r="I48" i="10"/>
  <c r="G48" i="10"/>
  <c r="I49" i="10"/>
  <c r="G49" i="10"/>
  <c r="I50" i="10"/>
  <c r="G50" i="10"/>
  <c r="G51" i="10"/>
  <c r="I51" i="10"/>
  <c r="I52" i="10"/>
  <c r="G52" i="10"/>
  <c r="G53" i="10"/>
  <c r="I53" i="10"/>
  <c r="G54" i="10"/>
  <c r="I54" i="10"/>
  <c r="I55" i="10"/>
  <c r="G55" i="10"/>
  <c r="G56" i="10"/>
  <c r="I56" i="10"/>
  <c r="I57" i="10"/>
  <c r="G57" i="10"/>
  <c r="I58" i="10"/>
  <c r="G58" i="10"/>
  <c r="G59" i="10"/>
  <c r="I59" i="10"/>
  <c r="G60" i="10"/>
  <c r="I60" i="10"/>
  <c r="G61" i="10"/>
  <c r="I61" i="10"/>
  <c r="I62" i="10"/>
  <c r="G62" i="10"/>
  <c r="I63" i="10"/>
  <c r="G63" i="10"/>
  <c r="G64" i="10"/>
  <c r="I64" i="10"/>
  <c r="G65" i="10"/>
  <c r="I65" i="10"/>
  <c r="I66" i="10"/>
  <c r="G66" i="10"/>
  <c r="I67" i="10"/>
  <c r="G67" i="10"/>
  <c r="I68" i="10"/>
  <c r="G68" i="10"/>
  <c r="G69" i="10"/>
  <c r="I69" i="10"/>
  <c r="G70" i="10"/>
  <c r="I70" i="10"/>
  <c r="G71" i="10"/>
  <c r="I71" i="10"/>
  <c r="I72" i="10"/>
  <c r="G72" i="10"/>
  <c r="I73" i="10"/>
  <c r="G73" i="10"/>
  <c r="G74" i="10"/>
  <c r="I74" i="10"/>
  <c r="G75" i="10"/>
  <c r="I75" i="10"/>
  <c r="G76" i="10"/>
  <c r="I76" i="10"/>
  <c r="G77" i="10"/>
  <c r="I77" i="10"/>
  <c r="I78" i="10"/>
  <c r="G78" i="10"/>
  <c r="I79" i="10"/>
  <c r="G79" i="10"/>
  <c r="I80" i="10"/>
  <c r="G80" i="10"/>
  <c r="G81" i="10"/>
  <c r="I81" i="10"/>
  <c r="I82" i="10"/>
  <c r="G82" i="10"/>
  <c r="I83" i="10"/>
  <c r="G83" i="10"/>
  <c r="G84" i="10"/>
  <c r="I84" i="10"/>
  <c r="G85" i="10"/>
  <c r="I85" i="10"/>
  <c r="I86" i="10"/>
  <c r="G86" i="10"/>
  <c r="I87" i="10"/>
  <c r="G87" i="10"/>
  <c r="I88" i="10"/>
  <c r="G88" i="10"/>
  <c r="I89" i="10"/>
  <c r="G89" i="10"/>
  <c r="I90" i="10"/>
  <c r="G90" i="10"/>
  <c r="I91" i="10"/>
  <c r="G91" i="10"/>
  <c r="I92" i="10"/>
  <c r="G92" i="10"/>
  <c r="I93" i="10"/>
  <c r="G93" i="10"/>
  <c r="I94" i="10"/>
  <c r="G94" i="10"/>
  <c r="I95" i="10"/>
  <c r="G95" i="10"/>
  <c r="G96" i="10"/>
  <c r="I96" i="10"/>
  <c r="G97" i="10"/>
  <c r="I97" i="10"/>
  <c r="G98" i="10"/>
  <c r="I98" i="10"/>
  <c r="I99" i="10"/>
  <c r="G99" i="10"/>
  <c r="G100" i="10"/>
  <c r="I100" i="10"/>
  <c r="G101" i="10"/>
  <c r="I101" i="10"/>
  <c r="I5" i="11"/>
  <c r="G5" i="11"/>
  <c r="G6" i="11"/>
  <c r="I6" i="11"/>
  <c r="G7" i="11"/>
  <c r="I7" i="11"/>
  <c r="G8" i="11"/>
  <c r="I8" i="11"/>
  <c r="I9" i="11"/>
  <c r="G9" i="11"/>
  <c r="I10" i="11"/>
  <c r="G10" i="11"/>
  <c r="I11" i="11"/>
  <c r="G11" i="11"/>
  <c r="I12" i="11"/>
  <c r="G12" i="11"/>
  <c r="G13" i="11"/>
  <c r="I13" i="11"/>
  <c r="I14" i="11"/>
  <c r="G14" i="11"/>
  <c r="I15" i="11"/>
  <c r="G15" i="11"/>
  <c r="I16" i="11"/>
  <c r="G16" i="11"/>
  <c r="I17" i="11"/>
  <c r="G17" i="11"/>
  <c r="G18" i="11"/>
  <c r="I18" i="11"/>
  <c r="I19" i="11"/>
  <c r="G19" i="11"/>
  <c r="I20" i="11"/>
  <c r="G20" i="11"/>
  <c r="G21" i="11"/>
  <c r="I21" i="11"/>
  <c r="G22" i="11"/>
  <c r="I22" i="11"/>
  <c r="G23" i="11"/>
  <c r="I23" i="11"/>
  <c r="G24" i="11"/>
  <c r="I24" i="11"/>
  <c r="G25" i="11"/>
  <c r="I25" i="11"/>
  <c r="G26" i="11"/>
  <c r="I26" i="11"/>
  <c r="G27" i="11"/>
  <c r="I27" i="11"/>
  <c r="G28" i="11"/>
  <c r="I28" i="11"/>
  <c r="G29" i="11"/>
  <c r="I29" i="11"/>
  <c r="G30" i="11"/>
  <c r="I30" i="11"/>
  <c r="G31" i="11"/>
  <c r="I31" i="11"/>
  <c r="I32" i="11"/>
  <c r="G32" i="11"/>
  <c r="G33" i="11"/>
  <c r="I33" i="11"/>
  <c r="G34" i="11"/>
  <c r="I34" i="11"/>
  <c r="G35" i="11"/>
  <c r="I35" i="11"/>
  <c r="I36" i="11"/>
  <c r="G36" i="11"/>
  <c r="I37" i="11"/>
  <c r="G37" i="11"/>
  <c r="I38" i="11"/>
  <c r="G38" i="11"/>
  <c r="I39" i="11"/>
  <c r="G39" i="11"/>
  <c r="I40" i="11"/>
  <c r="G40" i="11"/>
  <c r="I41" i="11"/>
  <c r="G41" i="11"/>
  <c r="I42" i="11"/>
  <c r="G42" i="11"/>
  <c r="G43" i="11"/>
  <c r="I43" i="11"/>
  <c r="I44" i="11"/>
  <c r="G44" i="11"/>
  <c r="I45" i="11"/>
  <c r="G45" i="11"/>
  <c r="G46" i="11"/>
  <c r="I46" i="11"/>
  <c r="I47" i="11"/>
  <c r="G47" i="11"/>
  <c r="G48" i="11"/>
  <c r="I48" i="11"/>
  <c r="G49" i="11"/>
  <c r="I49" i="11"/>
  <c r="G50" i="11"/>
  <c r="I50" i="11"/>
  <c r="G51" i="11"/>
  <c r="I51" i="11"/>
  <c r="G52" i="11"/>
  <c r="I52" i="11"/>
  <c r="I53" i="11"/>
  <c r="G53" i="11"/>
  <c r="G54" i="11"/>
  <c r="I54" i="11"/>
  <c r="G55" i="11"/>
  <c r="I55" i="11"/>
  <c r="G56" i="11"/>
  <c r="I56" i="11"/>
  <c r="G57" i="11"/>
  <c r="I57" i="11"/>
  <c r="G58" i="11"/>
  <c r="I58" i="11"/>
  <c r="G59" i="11"/>
  <c r="I59" i="11"/>
  <c r="G60" i="11"/>
  <c r="I60" i="11"/>
  <c r="G61" i="11"/>
  <c r="I61" i="11"/>
  <c r="I62" i="11"/>
  <c r="G62" i="11"/>
  <c r="I63" i="11"/>
  <c r="G63" i="11"/>
  <c r="G64" i="11"/>
  <c r="I64" i="11"/>
  <c r="G65" i="11"/>
  <c r="I65" i="11"/>
  <c r="I66" i="11"/>
  <c r="G66" i="11"/>
  <c r="I67" i="11"/>
  <c r="G67" i="11"/>
  <c r="G68" i="11"/>
  <c r="I68" i="11"/>
  <c r="G69" i="11"/>
  <c r="I69" i="11"/>
  <c r="G70" i="11"/>
  <c r="I70" i="11"/>
  <c r="G71" i="11"/>
  <c r="I71" i="11"/>
  <c r="I72" i="11"/>
  <c r="G72" i="11"/>
  <c r="G73" i="11"/>
  <c r="I73" i="11"/>
  <c r="G74" i="11"/>
  <c r="I74" i="11"/>
  <c r="G75" i="11"/>
  <c r="I75" i="11"/>
  <c r="G76" i="11"/>
  <c r="I76" i="11"/>
  <c r="I77" i="11"/>
  <c r="G77" i="11"/>
  <c r="G78" i="11"/>
  <c r="I78" i="11"/>
  <c r="I79" i="11"/>
  <c r="G79" i="11"/>
  <c r="I80" i="11"/>
  <c r="G80" i="11"/>
  <c r="I81" i="11"/>
  <c r="G81" i="11"/>
  <c r="G82" i="11"/>
  <c r="I82" i="11"/>
  <c r="G83" i="11"/>
  <c r="I83" i="11"/>
  <c r="G84" i="11"/>
  <c r="I84" i="11"/>
  <c r="I85" i="11"/>
  <c r="G85" i="11"/>
  <c r="I86" i="11"/>
  <c r="G86" i="11"/>
  <c r="G87" i="11"/>
  <c r="I87" i="11"/>
  <c r="I88" i="11"/>
  <c r="G88" i="11"/>
  <c r="G89" i="11"/>
  <c r="I89" i="11"/>
  <c r="I90" i="11"/>
  <c r="G90" i="11"/>
  <c r="G91" i="11"/>
  <c r="I91" i="11"/>
  <c r="I92" i="11"/>
  <c r="G92" i="11"/>
  <c r="I93" i="11"/>
  <c r="G93" i="11"/>
  <c r="I94" i="11"/>
  <c r="G94" i="11"/>
  <c r="G95" i="11"/>
  <c r="I95" i="11"/>
  <c r="I96" i="11"/>
  <c r="G96" i="11"/>
  <c r="G97" i="11"/>
  <c r="I97" i="11"/>
  <c r="I98" i="11"/>
  <c r="G98" i="11"/>
  <c r="I99" i="11"/>
  <c r="G99" i="11"/>
  <c r="I100" i="11"/>
  <c r="G100" i="11"/>
  <c r="I101" i="11"/>
  <c r="G101" i="11"/>
  <c r="I5" i="12"/>
  <c r="G5" i="12"/>
  <c r="I6" i="12"/>
  <c r="G6" i="12"/>
  <c r="I7" i="12"/>
  <c r="G7" i="12"/>
  <c r="I8" i="12"/>
  <c r="G8" i="12"/>
  <c r="I9" i="12"/>
  <c r="G9" i="12"/>
  <c r="I10" i="12"/>
  <c r="G10" i="12"/>
  <c r="I12" i="12"/>
  <c r="G12" i="12"/>
  <c r="I13" i="12"/>
  <c r="G13" i="12"/>
  <c r="I14" i="12"/>
  <c r="G14" i="12"/>
  <c r="I16" i="12"/>
  <c r="G16" i="12"/>
  <c r="I17" i="12"/>
  <c r="G17" i="12"/>
  <c r="I18" i="12"/>
  <c r="G18" i="12"/>
  <c r="I19" i="12"/>
  <c r="G19" i="12"/>
  <c r="I20" i="12"/>
  <c r="G20" i="12"/>
  <c r="I21" i="12"/>
  <c r="G21" i="12"/>
  <c r="G22" i="12"/>
  <c r="I22" i="12"/>
  <c r="I23" i="12"/>
  <c r="G23" i="12"/>
  <c r="G24" i="12"/>
  <c r="I24" i="12"/>
  <c r="G25" i="12"/>
  <c r="I25" i="12"/>
  <c r="G26" i="12"/>
  <c r="I26" i="12"/>
  <c r="G27" i="12"/>
  <c r="I27" i="12"/>
  <c r="I28" i="12"/>
  <c r="G28" i="12"/>
  <c r="G29" i="12"/>
  <c r="I29" i="12"/>
  <c r="G30" i="12"/>
  <c r="I30" i="12"/>
  <c r="G31" i="12"/>
  <c r="I31" i="12"/>
  <c r="G32" i="12"/>
  <c r="I32" i="12"/>
  <c r="I33" i="12"/>
  <c r="G33" i="12"/>
  <c r="I34" i="12"/>
  <c r="G34" i="12"/>
  <c r="I35" i="12"/>
  <c r="G35" i="12"/>
  <c r="I36" i="12"/>
  <c r="G36" i="12"/>
  <c r="G37" i="12"/>
  <c r="I37" i="12"/>
  <c r="G38" i="12"/>
  <c r="I38" i="12"/>
  <c r="G39" i="12"/>
  <c r="I39" i="12"/>
  <c r="G40" i="12"/>
  <c r="I40" i="12"/>
  <c r="I41" i="12"/>
  <c r="G41" i="12"/>
  <c r="I42" i="12"/>
  <c r="G42" i="12"/>
  <c r="I43" i="12"/>
  <c r="G43" i="12"/>
  <c r="I44" i="12"/>
  <c r="G44" i="12"/>
  <c r="G45" i="12"/>
  <c r="I45" i="12"/>
  <c r="I46" i="12"/>
  <c r="G46" i="12"/>
  <c r="G47" i="12"/>
  <c r="I47" i="12"/>
  <c r="G48" i="12"/>
  <c r="I48" i="12"/>
  <c r="G49" i="12"/>
  <c r="I49" i="12"/>
  <c r="G50" i="12"/>
  <c r="I50" i="12"/>
  <c r="I51" i="12"/>
  <c r="G51" i="12"/>
  <c r="I52" i="12"/>
  <c r="G52" i="12"/>
  <c r="I53" i="12"/>
  <c r="G53" i="12"/>
  <c r="I54" i="12"/>
  <c r="G54" i="12"/>
  <c r="I55" i="12"/>
  <c r="G55" i="12"/>
  <c r="I56" i="12"/>
  <c r="G56" i="12"/>
  <c r="I57" i="12"/>
  <c r="G57" i="12"/>
  <c r="I58" i="12"/>
  <c r="G58" i="12"/>
  <c r="I59" i="12"/>
  <c r="G59" i="12"/>
  <c r="G60" i="12"/>
  <c r="I60" i="12"/>
  <c r="G61" i="12"/>
  <c r="I61" i="12"/>
  <c r="G62" i="12"/>
  <c r="I62" i="12"/>
  <c r="I63" i="12"/>
  <c r="G63" i="12"/>
  <c r="G64" i="12"/>
  <c r="I64" i="12"/>
  <c r="G65" i="12"/>
  <c r="I65" i="12"/>
  <c r="G66" i="12"/>
  <c r="I66" i="12"/>
  <c r="G67" i="12"/>
  <c r="I67" i="12"/>
  <c r="G68" i="12"/>
  <c r="I68" i="12"/>
  <c r="G69" i="12"/>
  <c r="I69" i="12"/>
  <c r="G70" i="12"/>
  <c r="I70" i="12"/>
  <c r="G71" i="12"/>
  <c r="I71" i="12"/>
  <c r="G72" i="12"/>
  <c r="I72" i="12"/>
  <c r="G73" i="12"/>
  <c r="I73" i="12"/>
  <c r="G74" i="12"/>
  <c r="I74" i="12"/>
  <c r="G75" i="12"/>
  <c r="I75" i="12"/>
  <c r="G76" i="12"/>
  <c r="I76" i="12"/>
  <c r="G77" i="12"/>
  <c r="I77" i="12"/>
  <c r="G78" i="12"/>
  <c r="I78" i="12"/>
  <c r="G79" i="12"/>
  <c r="I79" i="12"/>
  <c r="I80" i="12"/>
  <c r="G80" i="12"/>
  <c r="I81" i="12"/>
  <c r="G81" i="12"/>
  <c r="G82" i="12"/>
  <c r="I82" i="12"/>
  <c r="G83" i="12"/>
  <c r="I83" i="12"/>
  <c r="I84" i="12"/>
  <c r="G84" i="12"/>
  <c r="I85" i="12"/>
  <c r="G85" i="12"/>
  <c r="I86" i="12"/>
  <c r="G86" i="12"/>
  <c r="I87" i="12"/>
  <c r="G87" i="12"/>
  <c r="I88" i="12"/>
  <c r="G88" i="12"/>
  <c r="I89" i="12"/>
  <c r="G89" i="12"/>
  <c r="I90" i="12"/>
  <c r="G90" i="12"/>
  <c r="I91" i="12"/>
  <c r="G91" i="12"/>
  <c r="I92" i="12"/>
  <c r="G92" i="12"/>
  <c r="I93" i="12"/>
  <c r="G93" i="12"/>
  <c r="G94" i="12"/>
  <c r="I94" i="12"/>
  <c r="G95" i="12"/>
  <c r="I95" i="12"/>
  <c r="G96" i="12"/>
  <c r="I96" i="12"/>
  <c r="G97" i="12"/>
  <c r="I97" i="12"/>
  <c r="G98" i="12"/>
  <c r="I98" i="12"/>
  <c r="G99" i="12"/>
  <c r="I99" i="12"/>
  <c r="G100" i="12"/>
  <c r="I100" i="12"/>
  <c r="I101" i="12"/>
  <c r="G101" i="12"/>
  <c r="I5" i="13"/>
  <c r="G5" i="13"/>
  <c r="I6" i="13"/>
  <c r="G6" i="13"/>
  <c r="I7" i="13"/>
  <c r="G7" i="13"/>
  <c r="I8" i="13"/>
  <c r="G8" i="13"/>
  <c r="I9" i="13"/>
  <c r="G9" i="13"/>
  <c r="I10" i="13"/>
  <c r="G10" i="13"/>
  <c r="I11" i="13"/>
  <c r="G11" i="13"/>
  <c r="I12" i="13"/>
  <c r="G12" i="13"/>
  <c r="I14" i="13"/>
  <c r="G14" i="13"/>
  <c r="I16" i="13"/>
  <c r="G16" i="13"/>
  <c r="I17" i="13"/>
  <c r="G17" i="13"/>
  <c r="I18" i="13"/>
  <c r="G18" i="13"/>
  <c r="I19" i="13"/>
  <c r="G19" i="13"/>
  <c r="G20" i="13"/>
  <c r="I20" i="13"/>
  <c r="I21" i="13"/>
  <c r="G21" i="13"/>
  <c r="I22" i="13"/>
  <c r="G22" i="13"/>
  <c r="G23" i="13"/>
  <c r="I23" i="13"/>
  <c r="G24" i="13"/>
  <c r="I24" i="13"/>
  <c r="I25" i="13"/>
  <c r="G25" i="13"/>
  <c r="G26" i="13"/>
  <c r="I26" i="13"/>
  <c r="G27" i="13"/>
  <c r="I27" i="13"/>
  <c r="G28" i="13"/>
  <c r="I28" i="13"/>
  <c r="G29" i="13"/>
  <c r="I29" i="13"/>
  <c r="G30" i="13"/>
  <c r="I30" i="13"/>
  <c r="G31" i="13"/>
  <c r="I31" i="13"/>
  <c r="G32" i="13"/>
  <c r="I32" i="13"/>
  <c r="I33" i="13"/>
  <c r="G33" i="13"/>
  <c r="G34" i="13"/>
  <c r="I34" i="13"/>
  <c r="G35" i="13"/>
  <c r="I35" i="13"/>
  <c r="G36" i="13"/>
  <c r="I36" i="13"/>
  <c r="G37" i="13"/>
  <c r="I37" i="13"/>
  <c r="G38" i="13"/>
  <c r="I38" i="13"/>
  <c r="I39" i="13"/>
  <c r="G39" i="13"/>
  <c r="G40" i="13"/>
  <c r="I40" i="13"/>
  <c r="G41" i="13"/>
  <c r="I41" i="13"/>
  <c r="I42" i="13"/>
  <c r="G42" i="13"/>
  <c r="I43" i="13"/>
  <c r="G43" i="13"/>
  <c r="I44" i="13"/>
  <c r="G44" i="13"/>
  <c r="I45" i="13"/>
  <c r="G45" i="13"/>
  <c r="I46" i="13"/>
  <c r="G46" i="13"/>
  <c r="I47" i="13"/>
  <c r="G47" i="13"/>
  <c r="G48" i="13"/>
  <c r="I48" i="13"/>
  <c r="G49" i="13"/>
  <c r="I49" i="13"/>
  <c r="I50" i="13"/>
  <c r="G50" i="13"/>
  <c r="G51" i="13"/>
  <c r="I51" i="13"/>
  <c r="I52" i="13"/>
  <c r="G52" i="13"/>
  <c r="G53" i="13"/>
  <c r="I53" i="13"/>
  <c r="I54" i="13"/>
  <c r="G54" i="13"/>
  <c r="G55" i="13"/>
  <c r="I55" i="13"/>
  <c r="G56" i="13"/>
  <c r="I56" i="13"/>
  <c r="I57" i="13"/>
  <c r="G57" i="13"/>
  <c r="G58" i="13"/>
  <c r="I58" i="13"/>
  <c r="I59" i="13"/>
  <c r="G59" i="13"/>
  <c r="I60" i="13"/>
  <c r="G60" i="13"/>
  <c r="I61" i="13"/>
  <c r="G61" i="13"/>
  <c r="I62" i="13"/>
  <c r="G62" i="13"/>
  <c r="I63" i="13"/>
  <c r="G63" i="13"/>
  <c r="G64" i="13"/>
  <c r="I64" i="13"/>
  <c r="G65" i="13"/>
  <c r="I65" i="13"/>
  <c r="I66" i="13"/>
  <c r="G66" i="13"/>
  <c r="I67" i="13"/>
  <c r="G67" i="13"/>
  <c r="G68" i="13"/>
  <c r="I68" i="13"/>
  <c r="I69" i="13"/>
  <c r="G69" i="13"/>
  <c r="I70" i="13"/>
  <c r="G70" i="13"/>
  <c r="I71" i="13"/>
  <c r="G71" i="13"/>
  <c r="I72" i="13"/>
  <c r="G72" i="13"/>
  <c r="G73" i="13"/>
  <c r="I73" i="13"/>
  <c r="I74" i="13"/>
  <c r="G74" i="13"/>
  <c r="G75" i="13"/>
  <c r="I75" i="13"/>
  <c r="G76" i="13"/>
  <c r="I76" i="13"/>
  <c r="I77" i="13"/>
  <c r="G77" i="13"/>
  <c r="G78" i="13"/>
  <c r="I78" i="13"/>
  <c r="I79" i="13"/>
  <c r="G79" i="13"/>
  <c r="I80" i="13"/>
  <c r="G80" i="13"/>
  <c r="I81" i="13"/>
  <c r="G81" i="13"/>
  <c r="I82" i="13"/>
  <c r="G82" i="13"/>
  <c r="G83" i="13"/>
  <c r="I83" i="13"/>
  <c r="G84" i="13"/>
  <c r="I84" i="13"/>
  <c r="G85" i="13"/>
  <c r="I85" i="13"/>
  <c r="I86" i="13"/>
  <c r="G86" i="13"/>
  <c r="G87" i="13"/>
  <c r="I87" i="13"/>
  <c r="G88" i="13"/>
  <c r="I88" i="13"/>
  <c r="G89" i="13"/>
  <c r="I89" i="13"/>
  <c r="I90" i="13"/>
  <c r="G90" i="13"/>
  <c r="I91" i="13"/>
  <c r="G91" i="13"/>
  <c r="I92" i="13"/>
  <c r="G92" i="13"/>
  <c r="G93" i="13"/>
  <c r="I93" i="13"/>
  <c r="G94" i="13"/>
  <c r="I94" i="13"/>
  <c r="G95" i="13"/>
  <c r="I95" i="13"/>
  <c r="I96" i="13"/>
  <c r="G96" i="13"/>
  <c r="G97" i="13"/>
  <c r="I97" i="13"/>
  <c r="I98" i="13"/>
  <c r="G98" i="13"/>
  <c r="I99" i="13"/>
  <c r="G99" i="13"/>
  <c r="G100" i="13"/>
  <c r="I100" i="13"/>
  <c r="I101" i="13"/>
  <c r="G101" i="13"/>
  <c r="I5" i="14"/>
  <c r="G5" i="14"/>
  <c r="I7" i="14"/>
  <c r="G7" i="14"/>
  <c r="I8" i="14"/>
  <c r="G8" i="14"/>
  <c r="I10" i="14"/>
  <c r="G10" i="14"/>
  <c r="I11" i="14"/>
  <c r="G11" i="14"/>
  <c r="I13" i="14"/>
  <c r="G13" i="14"/>
  <c r="I14" i="14"/>
  <c r="G14" i="14"/>
  <c r="I15" i="14"/>
  <c r="G15" i="14"/>
  <c r="I16" i="14"/>
  <c r="G16" i="14"/>
  <c r="I17" i="14"/>
  <c r="G17" i="14"/>
  <c r="I18" i="14"/>
  <c r="G18" i="14"/>
  <c r="I19" i="14"/>
  <c r="G19" i="14"/>
  <c r="I21" i="14"/>
  <c r="G21" i="14"/>
  <c r="I22" i="14"/>
  <c r="G22" i="14"/>
  <c r="I23" i="14"/>
  <c r="G23" i="14"/>
  <c r="I24" i="14"/>
  <c r="G24" i="14"/>
  <c r="I25" i="14"/>
  <c r="G25" i="14"/>
  <c r="I27" i="14"/>
  <c r="G27" i="14"/>
  <c r="I28" i="14"/>
  <c r="G28" i="14"/>
  <c r="I30" i="14"/>
  <c r="G30" i="14"/>
  <c r="I32" i="14"/>
  <c r="G32" i="14"/>
  <c r="I33" i="14"/>
  <c r="G33" i="14"/>
  <c r="I34" i="14"/>
  <c r="G34" i="14"/>
  <c r="G35" i="14"/>
  <c r="I35" i="14"/>
  <c r="G36" i="14"/>
  <c r="I36" i="14"/>
  <c r="G37" i="14"/>
  <c r="I37" i="14"/>
  <c r="I38" i="14"/>
  <c r="G38" i="14"/>
  <c r="I39" i="14"/>
  <c r="G39" i="14"/>
  <c r="G40" i="14"/>
  <c r="I40" i="14"/>
  <c r="G41" i="14"/>
  <c r="I41" i="14"/>
  <c r="I42" i="14"/>
  <c r="G42" i="14"/>
  <c r="I43" i="14"/>
  <c r="G43" i="14"/>
  <c r="G44" i="14"/>
  <c r="I44" i="14"/>
  <c r="G45" i="14"/>
  <c r="I45" i="14"/>
  <c r="G46" i="14"/>
  <c r="I46" i="14"/>
  <c r="G47" i="14"/>
  <c r="I47" i="14"/>
  <c r="G48" i="14"/>
  <c r="I48" i="14"/>
  <c r="G49" i="14"/>
  <c r="I49" i="14"/>
  <c r="G50" i="14"/>
  <c r="I50" i="14"/>
  <c r="G51" i="14"/>
  <c r="I51" i="14"/>
  <c r="I52" i="14"/>
  <c r="G52" i="14"/>
  <c r="G53" i="14"/>
  <c r="I53" i="14"/>
  <c r="G54" i="14"/>
  <c r="I54" i="14"/>
  <c r="G55" i="14"/>
  <c r="I55" i="14"/>
  <c r="I56" i="14"/>
  <c r="G56" i="14"/>
  <c r="I57" i="14"/>
  <c r="G57" i="14"/>
  <c r="I58" i="14"/>
  <c r="G58" i="14"/>
  <c r="G59" i="14"/>
  <c r="I59" i="14"/>
  <c r="G60" i="14"/>
  <c r="I60" i="14"/>
  <c r="G61" i="14"/>
  <c r="I61" i="14"/>
  <c r="I62" i="14"/>
  <c r="G62" i="14"/>
  <c r="G63" i="14"/>
  <c r="I63" i="14"/>
  <c r="G64" i="14"/>
  <c r="I64" i="14"/>
  <c r="G65" i="14"/>
  <c r="I65" i="14"/>
  <c r="G66" i="14"/>
  <c r="I66" i="14"/>
  <c r="G67" i="14"/>
  <c r="I67" i="14"/>
  <c r="G68" i="14"/>
  <c r="I68" i="14"/>
  <c r="G69" i="14"/>
  <c r="I69" i="14"/>
  <c r="I70" i="14"/>
  <c r="G70" i="14"/>
  <c r="G71" i="14"/>
  <c r="I71" i="14"/>
  <c r="I72" i="14"/>
  <c r="G72" i="14"/>
  <c r="I73" i="14"/>
  <c r="G73" i="14"/>
  <c r="I74" i="14"/>
  <c r="G74" i="14"/>
  <c r="I75" i="14"/>
  <c r="G75" i="14"/>
  <c r="I76" i="14"/>
  <c r="G76" i="14"/>
  <c r="I77" i="14"/>
  <c r="G77" i="14"/>
  <c r="I78" i="14"/>
  <c r="G78" i="14"/>
  <c r="I79" i="14"/>
  <c r="G79" i="14"/>
  <c r="I80" i="14"/>
  <c r="G80" i="14"/>
  <c r="G81" i="14"/>
  <c r="I81" i="14"/>
  <c r="I82" i="14"/>
  <c r="G82" i="14"/>
  <c r="I83" i="14"/>
  <c r="G83" i="14"/>
  <c r="I84" i="14"/>
  <c r="G84" i="14"/>
  <c r="G85" i="14"/>
  <c r="I85" i="14"/>
  <c r="G86" i="14"/>
  <c r="I86" i="14"/>
  <c r="G87" i="14"/>
  <c r="I87" i="14"/>
  <c r="I88" i="14"/>
  <c r="G88" i="14"/>
  <c r="G89" i="14"/>
  <c r="I89" i="14"/>
  <c r="G90" i="14"/>
  <c r="I90" i="14"/>
  <c r="G91" i="14"/>
  <c r="I91" i="14"/>
  <c r="G92" i="14"/>
  <c r="I92" i="14"/>
  <c r="I93" i="14"/>
  <c r="G93" i="14"/>
  <c r="I94" i="14"/>
  <c r="G94" i="14"/>
  <c r="I95" i="14"/>
  <c r="G95" i="14"/>
  <c r="G96" i="14"/>
  <c r="I96" i="14"/>
  <c r="G97" i="14"/>
  <c r="I97" i="14"/>
  <c r="G98" i="14"/>
  <c r="I98" i="14"/>
  <c r="I99" i="14"/>
  <c r="G99" i="14"/>
  <c r="G100" i="14"/>
  <c r="I100" i="14"/>
  <c r="G101" i="14"/>
  <c r="I101" i="14"/>
  <c r="I5" i="15"/>
  <c r="G5" i="15"/>
  <c r="I6" i="15"/>
  <c r="G6" i="15"/>
  <c r="I8" i="15"/>
  <c r="G8" i="15"/>
  <c r="I10" i="15"/>
  <c r="G10" i="15"/>
  <c r="I11" i="15"/>
  <c r="G11" i="15"/>
  <c r="I13" i="15"/>
  <c r="G13" i="15"/>
  <c r="I14" i="15"/>
  <c r="G14" i="15"/>
  <c r="I15" i="15"/>
  <c r="G15" i="15"/>
  <c r="I16" i="15"/>
  <c r="G16" i="15"/>
  <c r="I17" i="15"/>
  <c r="G17" i="15"/>
  <c r="I18" i="15"/>
  <c r="G18" i="15"/>
  <c r="I19" i="15"/>
  <c r="G19" i="15"/>
  <c r="I20" i="15"/>
  <c r="G20" i="15"/>
  <c r="I21" i="15"/>
  <c r="G21" i="15"/>
  <c r="I22" i="15"/>
  <c r="G22" i="15"/>
  <c r="I23" i="15"/>
  <c r="G23" i="15"/>
  <c r="I24" i="15"/>
  <c r="G24" i="15"/>
  <c r="I25" i="15"/>
  <c r="G25" i="15"/>
  <c r="I27" i="15"/>
  <c r="G27" i="15"/>
  <c r="I28" i="15"/>
  <c r="G28" i="15"/>
  <c r="I29" i="15"/>
  <c r="G29" i="15"/>
  <c r="G30" i="15"/>
  <c r="I30" i="15"/>
  <c r="G31" i="15"/>
  <c r="I31" i="15"/>
  <c r="G32" i="15"/>
  <c r="I32" i="15"/>
  <c r="G33" i="15"/>
  <c r="I33" i="15"/>
  <c r="I34" i="15"/>
  <c r="G34" i="15"/>
  <c r="I35" i="15"/>
  <c r="G35" i="15"/>
  <c r="I36" i="15"/>
  <c r="G36" i="15"/>
  <c r="G37" i="15"/>
  <c r="I37" i="15"/>
  <c r="I38" i="15"/>
  <c r="G38" i="15"/>
  <c r="I39" i="15"/>
  <c r="G39" i="15"/>
  <c r="G40" i="15"/>
  <c r="I40" i="15"/>
  <c r="G41" i="15"/>
  <c r="I41" i="15"/>
  <c r="I42" i="15"/>
  <c r="G42" i="15"/>
  <c r="I43" i="15"/>
  <c r="G43" i="15"/>
  <c r="G44" i="15"/>
  <c r="I44" i="15"/>
  <c r="G45" i="15"/>
  <c r="I45" i="15"/>
  <c r="G46" i="15"/>
  <c r="I46" i="15"/>
  <c r="I47" i="15"/>
  <c r="G47" i="15"/>
  <c r="G48" i="15"/>
  <c r="I48" i="15"/>
  <c r="I49" i="15"/>
  <c r="G49" i="15"/>
  <c r="G50" i="15"/>
  <c r="I50" i="15"/>
  <c r="G51" i="15"/>
  <c r="I51" i="15"/>
  <c r="G52" i="15"/>
  <c r="I52" i="15"/>
  <c r="G53" i="15"/>
  <c r="I53" i="15"/>
  <c r="G54" i="15"/>
  <c r="I54" i="15"/>
  <c r="I55" i="15"/>
  <c r="G55" i="15"/>
  <c r="G56" i="15"/>
  <c r="I56" i="15"/>
  <c r="G57" i="15"/>
  <c r="I57" i="15"/>
  <c r="G58" i="15"/>
  <c r="I58" i="15"/>
  <c r="G59" i="15"/>
  <c r="I59" i="15"/>
  <c r="G60" i="15"/>
  <c r="I60" i="15"/>
  <c r="I61" i="15"/>
  <c r="G61" i="15"/>
  <c r="G62" i="15"/>
  <c r="I62" i="15"/>
  <c r="G63" i="15"/>
  <c r="I63" i="15"/>
  <c r="G64" i="15"/>
  <c r="I64" i="15"/>
  <c r="G65" i="15"/>
  <c r="I65" i="15"/>
  <c r="I66" i="15"/>
  <c r="G66" i="15"/>
  <c r="I67" i="15"/>
  <c r="G67" i="15"/>
  <c r="G68" i="15"/>
  <c r="I68" i="15"/>
  <c r="G69" i="15"/>
  <c r="I69" i="15"/>
  <c r="I70" i="15"/>
  <c r="G70" i="15"/>
  <c r="G71" i="15"/>
  <c r="I71" i="15"/>
  <c r="I72" i="15"/>
  <c r="G72" i="15"/>
  <c r="I73" i="15"/>
  <c r="G73" i="15"/>
  <c r="I74" i="15"/>
  <c r="G74" i="15"/>
  <c r="I75" i="15"/>
  <c r="G75" i="15"/>
  <c r="I76" i="15"/>
  <c r="G76" i="15"/>
  <c r="G77" i="15"/>
  <c r="I77" i="15"/>
  <c r="I78" i="15"/>
  <c r="G78" i="15"/>
  <c r="G79" i="15"/>
  <c r="I79" i="15"/>
  <c r="I80" i="15"/>
  <c r="G80" i="15"/>
  <c r="I81" i="15"/>
  <c r="G81" i="15"/>
  <c r="I6" i="16"/>
  <c r="G6" i="16"/>
  <c r="I7" i="16"/>
  <c r="G7" i="16"/>
  <c r="I8" i="16"/>
  <c r="G8" i="16"/>
  <c r="I9" i="16"/>
  <c r="G9" i="16"/>
  <c r="I10" i="16"/>
  <c r="G10" i="16"/>
  <c r="I11" i="16"/>
  <c r="G11" i="16"/>
  <c r="I12" i="16"/>
  <c r="G12" i="16"/>
  <c r="I13" i="16"/>
  <c r="G13" i="16"/>
  <c r="I14" i="16"/>
  <c r="G14" i="16"/>
  <c r="I15" i="16"/>
  <c r="G15" i="16"/>
  <c r="I16" i="16"/>
  <c r="G16" i="16"/>
  <c r="I17" i="16"/>
  <c r="G17" i="16"/>
  <c r="I18" i="16"/>
  <c r="G18" i="16"/>
  <c r="I19" i="16"/>
  <c r="G19" i="16"/>
  <c r="I20" i="16"/>
  <c r="G20" i="16"/>
  <c r="I21" i="16"/>
  <c r="G21" i="16"/>
  <c r="I22" i="16"/>
  <c r="G22" i="16"/>
  <c r="I23" i="16"/>
  <c r="G23" i="16"/>
  <c r="G24" i="16"/>
  <c r="I24" i="16"/>
  <c r="I25" i="16"/>
  <c r="G25" i="16"/>
  <c r="I26" i="16"/>
  <c r="G26" i="16"/>
  <c r="G27" i="16"/>
  <c r="I27" i="16"/>
  <c r="G28" i="16"/>
  <c r="I28" i="16"/>
  <c r="G29" i="16"/>
  <c r="I29" i="16"/>
  <c r="G30" i="16"/>
  <c r="I30" i="16"/>
  <c r="G31" i="16"/>
  <c r="I31" i="16"/>
  <c r="G32" i="16"/>
  <c r="I32" i="16"/>
  <c r="G33" i="16"/>
  <c r="I33" i="16"/>
  <c r="G34" i="16"/>
  <c r="I34" i="16"/>
  <c r="G35" i="16"/>
  <c r="I35" i="16"/>
  <c r="G36" i="16"/>
  <c r="I36" i="16"/>
  <c r="G37" i="16"/>
  <c r="I37" i="16"/>
  <c r="G38" i="16"/>
  <c r="I38" i="16"/>
  <c r="G39" i="16"/>
  <c r="I39" i="16"/>
  <c r="G40" i="16"/>
  <c r="I40" i="16"/>
  <c r="G41" i="16"/>
  <c r="I41" i="16"/>
  <c r="I42" i="16"/>
  <c r="G42" i="16"/>
  <c r="G43" i="16"/>
  <c r="I43" i="16"/>
  <c r="I44" i="16"/>
  <c r="G44" i="16"/>
  <c r="G45" i="16"/>
  <c r="I45" i="16"/>
  <c r="I46" i="16"/>
  <c r="G46" i="16"/>
  <c r="I47" i="16"/>
  <c r="G47" i="16"/>
  <c r="I48" i="16"/>
  <c r="G48" i="16"/>
  <c r="I49" i="16"/>
  <c r="G49" i="16"/>
  <c r="I50" i="16"/>
  <c r="G50" i="16"/>
  <c r="I51" i="16"/>
  <c r="G51" i="16"/>
  <c r="I52" i="16"/>
  <c r="G52" i="16"/>
  <c r="G53" i="16"/>
  <c r="I53" i="16"/>
  <c r="I54" i="16"/>
  <c r="G54" i="16"/>
  <c r="I55" i="16"/>
  <c r="G55" i="16"/>
  <c r="G56" i="16"/>
  <c r="I56" i="16"/>
  <c r="G57" i="16"/>
  <c r="I57" i="16"/>
  <c r="G58" i="16"/>
  <c r="I58" i="16"/>
  <c r="I59" i="16"/>
  <c r="G59" i="16"/>
  <c r="I60" i="16"/>
  <c r="G60" i="16"/>
  <c r="I61" i="16"/>
  <c r="G61" i="16"/>
  <c r="G62" i="16"/>
  <c r="I62" i="16"/>
  <c r="I63" i="16"/>
  <c r="G63" i="16"/>
  <c r="G64" i="16"/>
  <c r="I64" i="16"/>
  <c r="I65" i="16"/>
  <c r="G65" i="16"/>
  <c r="I66" i="16"/>
  <c r="G66" i="16"/>
  <c r="I67" i="16"/>
  <c r="G67" i="16"/>
  <c r="I68" i="16"/>
  <c r="G68" i="16"/>
  <c r="I69" i="16"/>
  <c r="G69" i="16"/>
  <c r="G70" i="16"/>
  <c r="I70" i="16"/>
  <c r="I71" i="16"/>
  <c r="G71" i="16"/>
  <c r="G72" i="16"/>
  <c r="I72" i="16"/>
  <c r="G73" i="16"/>
  <c r="I73" i="16"/>
  <c r="I74" i="16"/>
  <c r="G74" i="16"/>
  <c r="G75" i="16"/>
  <c r="I75" i="16"/>
  <c r="G76" i="16"/>
  <c r="I76" i="16"/>
  <c r="G77" i="16"/>
  <c r="I77" i="16"/>
  <c r="G78" i="16"/>
  <c r="I78" i="16"/>
  <c r="G79" i="16"/>
  <c r="I79" i="16"/>
  <c r="G80" i="16"/>
  <c r="I80" i="16"/>
  <c r="I81" i="16"/>
  <c r="G81" i="16"/>
  <c r="I82" i="16"/>
  <c r="G82" i="16"/>
  <c r="G83" i="16"/>
  <c r="I83" i="16"/>
  <c r="G84" i="16"/>
  <c r="I84" i="16"/>
  <c r="I85" i="16"/>
  <c r="G85" i="16"/>
  <c r="I86" i="16"/>
  <c r="G86" i="16"/>
  <c r="I87" i="16"/>
  <c r="G87" i="16"/>
  <c r="G88" i="16"/>
  <c r="I88" i="16"/>
  <c r="G89" i="16"/>
  <c r="I89" i="16"/>
  <c r="I90" i="16"/>
  <c r="G90" i="16"/>
  <c r="G91" i="16"/>
  <c r="I91" i="16"/>
  <c r="G92" i="16"/>
  <c r="I92" i="16"/>
  <c r="G93" i="16"/>
  <c r="I93" i="16"/>
  <c r="I94" i="16"/>
  <c r="G94" i="16"/>
  <c r="G95" i="16"/>
  <c r="I95" i="16"/>
  <c r="G96" i="16"/>
  <c r="I96" i="16"/>
  <c r="G97" i="16"/>
  <c r="I97" i="16"/>
  <c r="G98" i="16"/>
  <c r="I98" i="16"/>
  <c r="G99" i="16"/>
  <c r="I99" i="16"/>
  <c r="G100" i="16"/>
  <c r="I100" i="16"/>
  <c r="I101" i="16"/>
  <c r="G101" i="16"/>
  <c r="I5" i="17"/>
  <c r="G5" i="17"/>
  <c r="I6" i="17"/>
  <c r="G6" i="17"/>
  <c r="I7" i="17"/>
  <c r="G7" i="17"/>
  <c r="I8" i="17"/>
  <c r="G8" i="17"/>
  <c r="I10" i="17"/>
  <c r="G10" i="17"/>
  <c r="I11" i="17"/>
  <c r="G11" i="17"/>
  <c r="I12" i="17"/>
  <c r="G12" i="17"/>
  <c r="I13" i="17"/>
  <c r="G13" i="17"/>
  <c r="I14" i="17"/>
  <c r="G14" i="17"/>
  <c r="I15" i="17"/>
  <c r="G15" i="17"/>
  <c r="I16" i="17"/>
  <c r="G16" i="17"/>
  <c r="I18" i="17"/>
  <c r="G18" i="17"/>
  <c r="I20" i="17"/>
  <c r="G20" i="17"/>
  <c r="I21" i="17"/>
  <c r="G21" i="17"/>
  <c r="I23" i="17"/>
  <c r="G23" i="17"/>
  <c r="I24" i="17"/>
  <c r="G24" i="17"/>
  <c r="I25" i="17"/>
  <c r="G25" i="17"/>
  <c r="I27" i="17"/>
  <c r="G27" i="17"/>
  <c r="I28" i="17"/>
  <c r="G28" i="17"/>
  <c r="I29" i="17"/>
  <c r="G29" i="17"/>
  <c r="I30" i="17"/>
  <c r="G30" i="17"/>
  <c r="I31" i="17"/>
  <c r="G31" i="17"/>
  <c r="G32" i="17"/>
  <c r="I32" i="17"/>
  <c r="I33" i="17"/>
  <c r="G33" i="17"/>
  <c r="G34" i="17"/>
  <c r="I34" i="17"/>
  <c r="I35" i="17"/>
  <c r="G35" i="17"/>
  <c r="G36" i="17"/>
  <c r="I36" i="17"/>
  <c r="I37" i="17"/>
  <c r="G37" i="17"/>
  <c r="G38" i="17"/>
  <c r="I38" i="17"/>
  <c r="I39" i="17"/>
  <c r="G39" i="17"/>
  <c r="G40" i="17"/>
  <c r="I40" i="17"/>
  <c r="I41" i="17"/>
  <c r="G41" i="17"/>
  <c r="G42" i="17"/>
  <c r="I42" i="17"/>
  <c r="I43" i="17"/>
  <c r="G43" i="17"/>
  <c r="G44" i="17"/>
  <c r="I44" i="17"/>
  <c r="I45" i="17"/>
  <c r="G45" i="17"/>
  <c r="I46" i="17"/>
  <c r="G46" i="17"/>
  <c r="I47" i="17"/>
  <c r="G47" i="17"/>
  <c r="G48" i="17"/>
  <c r="I48" i="17"/>
  <c r="I49" i="17"/>
  <c r="G49" i="17"/>
  <c r="G50" i="17"/>
  <c r="I50" i="17"/>
  <c r="I51" i="17"/>
  <c r="G51" i="17"/>
  <c r="G52" i="17"/>
  <c r="I52" i="17"/>
  <c r="G53" i="17"/>
  <c r="I53" i="17"/>
  <c r="I54" i="17"/>
  <c r="G54" i="17"/>
  <c r="G55" i="17"/>
  <c r="I55" i="17"/>
  <c r="I56" i="17"/>
  <c r="G56" i="17"/>
  <c r="I57" i="17"/>
  <c r="G57" i="17"/>
  <c r="I58" i="17"/>
  <c r="G58" i="17"/>
  <c r="I59" i="17"/>
  <c r="G59" i="17"/>
  <c r="I60" i="17"/>
  <c r="G60" i="17"/>
  <c r="G61" i="17"/>
  <c r="I61" i="17"/>
  <c r="G62" i="17"/>
  <c r="I62" i="17"/>
  <c r="G63" i="17"/>
  <c r="I63" i="17"/>
  <c r="I64" i="17"/>
  <c r="G64" i="17"/>
  <c r="I65" i="17"/>
  <c r="G65" i="17"/>
  <c r="G66" i="17"/>
  <c r="I66" i="17"/>
  <c r="I67" i="17"/>
  <c r="G67" i="17"/>
  <c r="I68" i="17"/>
  <c r="G68" i="17"/>
  <c r="I69" i="17"/>
  <c r="G69" i="17"/>
  <c r="I70" i="17"/>
  <c r="G70" i="17"/>
  <c r="G71" i="17"/>
  <c r="I71" i="17"/>
  <c r="G72" i="17"/>
  <c r="I72" i="17"/>
  <c r="G73" i="17"/>
  <c r="I73" i="17"/>
  <c r="G74" i="17"/>
  <c r="I74" i="17"/>
  <c r="G75" i="17"/>
  <c r="I75" i="17"/>
  <c r="G76" i="17"/>
  <c r="I76" i="17"/>
  <c r="G77" i="17"/>
  <c r="I77" i="17"/>
  <c r="G78" i="17"/>
  <c r="I78" i="17"/>
  <c r="I79" i="17"/>
  <c r="G79" i="17"/>
  <c r="I80" i="17"/>
  <c r="G80" i="17"/>
  <c r="I81" i="17"/>
  <c r="G81" i="17"/>
  <c r="I82" i="17"/>
  <c r="G82" i="17"/>
  <c r="G83" i="17"/>
  <c r="I83" i="17"/>
  <c r="I84" i="17"/>
  <c r="G84" i="17"/>
  <c r="I85" i="17"/>
  <c r="G85" i="17"/>
  <c r="I86" i="17"/>
  <c r="G86" i="17"/>
  <c r="G87" i="17"/>
  <c r="I87" i="17"/>
  <c r="G88" i="17"/>
  <c r="I88" i="17"/>
  <c r="G89" i="17"/>
  <c r="I89" i="17"/>
  <c r="G90" i="17"/>
  <c r="I90" i="17"/>
  <c r="I91" i="17"/>
  <c r="G91" i="17"/>
  <c r="I92" i="17"/>
  <c r="G92" i="17"/>
  <c r="G93" i="17"/>
  <c r="I93" i="17"/>
  <c r="I94" i="17"/>
  <c r="G94" i="17"/>
  <c r="G95" i="17"/>
  <c r="I95" i="17"/>
  <c r="I96" i="17"/>
  <c r="G96" i="17"/>
  <c r="I97" i="17"/>
  <c r="G97" i="17"/>
  <c r="G98" i="17"/>
  <c r="I98" i="17"/>
  <c r="I99" i="17"/>
  <c r="G99" i="17"/>
  <c r="I100" i="17"/>
  <c r="G100" i="17"/>
  <c r="I101" i="17"/>
  <c r="G101" i="17"/>
  <c r="I6" i="18"/>
  <c r="G6" i="18"/>
  <c r="I7" i="18"/>
  <c r="G7" i="18"/>
  <c r="I8" i="18"/>
  <c r="G8" i="18"/>
  <c r="I9" i="18"/>
  <c r="G9" i="18"/>
  <c r="I10" i="18"/>
  <c r="G10" i="18"/>
  <c r="I11" i="18"/>
  <c r="G11" i="18"/>
  <c r="I12" i="18"/>
  <c r="G12" i="18"/>
  <c r="I13" i="18"/>
  <c r="G13" i="18"/>
  <c r="I14" i="18"/>
  <c r="G14" i="18"/>
  <c r="I15" i="18"/>
  <c r="G15" i="18"/>
  <c r="I17" i="18"/>
  <c r="G17" i="18"/>
  <c r="I18" i="18"/>
  <c r="G18" i="18"/>
  <c r="I19" i="18"/>
  <c r="G19" i="18"/>
  <c r="I20" i="18"/>
  <c r="G20" i="18"/>
  <c r="I21" i="18"/>
  <c r="G21" i="18"/>
  <c r="I22" i="18"/>
  <c r="G22" i="18"/>
  <c r="I24" i="18"/>
  <c r="G24" i="18"/>
  <c r="I25" i="18"/>
  <c r="G25" i="18"/>
  <c r="I26" i="18"/>
  <c r="G26" i="18"/>
  <c r="I27" i="18"/>
  <c r="G27" i="18"/>
  <c r="I28" i="18"/>
  <c r="G28" i="18"/>
  <c r="I30" i="18"/>
  <c r="G30" i="18"/>
  <c r="I31" i="18"/>
  <c r="G31" i="18"/>
  <c r="I33" i="18"/>
  <c r="I35" i="18"/>
  <c r="G35" i="18"/>
  <c r="I36" i="18"/>
  <c r="G36" i="18"/>
  <c r="I38" i="18"/>
  <c r="G38" i="18"/>
  <c r="I39" i="18"/>
  <c r="I40" i="18"/>
  <c r="G40" i="18"/>
  <c r="I41" i="18"/>
  <c r="G41" i="18"/>
  <c r="G42" i="18"/>
  <c r="I42" i="18"/>
  <c r="I43" i="18"/>
  <c r="G43" i="18"/>
  <c r="G44" i="18"/>
  <c r="I44" i="18"/>
  <c r="G45" i="18"/>
  <c r="I45" i="18"/>
  <c r="I46" i="18"/>
  <c r="G46" i="18"/>
  <c r="I47" i="18"/>
  <c r="G47" i="18"/>
  <c r="I48" i="18"/>
  <c r="G48" i="18"/>
  <c r="I49" i="18"/>
  <c r="G49" i="18"/>
  <c r="I50" i="18"/>
  <c r="G50" i="18"/>
  <c r="G51" i="18"/>
  <c r="I51" i="18"/>
  <c r="I52" i="18"/>
  <c r="G52" i="18"/>
  <c r="I53" i="18"/>
  <c r="G53" i="18"/>
  <c r="I54" i="18"/>
  <c r="G54" i="18"/>
  <c r="I55" i="18"/>
  <c r="I56" i="18"/>
  <c r="G56" i="18"/>
  <c r="I57" i="18"/>
  <c r="G57" i="18"/>
  <c r="I58" i="18"/>
  <c r="G58" i="18"/>
  <c r="I59" i="18"/>
  <c r="G60" i="18"/>
  <c r="I60" i="18"/>
  <c r="I61" i="18"/>
  <c r="G61" i="18"/>
  <c r="I62" i="18"/>
  <c r="G62" i="18"/>
  <c r="I63" i="18"/>
  <c r="G63" i="18"/>
  <c r="G64" i="18"/>
  <c r="I64" i="18"/>
  <c r="I65" i="18"/>
  <c r="G65" i="18"/>
  <c r="G66" i="18"/>
  <c r="I66" i="18"/>
  <c r="I67" i="18"/>
  <c r="G67" i="18"/>
  <c r="I68" i="18"/>
  <c r="G68" i="18"/>
  <c r="G69" i="18"/>
  <c r="I69" i="18"/>
  <c r="I70" i="18"/>
  <c r="G70" i="18"/>
  <c r="G71" i="18"/>
  <c r="I71" i="18"/>
  <c r="G72" i="18"/>
  <c r="I72" i="18"/>
  <c r="I73" i="18"/>
  <c r="G73" i="18"/>
  <c r="I74" i="18"/>
  <c r="G74" i="18"/>
  <c r="G75" i="18"/>
  <c r="I76" i="18"/>
  <c r="G76" i="18"/>
  <c r="I77" i="18"/>
  <c r="G77" i="18"/>
  <c r="I78" i="18"/>
  <c r="G78" i="18"/>
  <c r="I79" i="18"/>
  <c r="G80" i="18"/>
  <c r="I80" i="18"/>
  <c r="I81" i="18"/>
  <c r="G81" i="18"/>
  <c r="I82" i="18"/>
  <c r="G82" i="18"/>
  <c r="I83" i="18"/>
  <c r="G83" i="18"/>
  <c r="G84" i="18"/>
  <c r="I84" i="18"/>
  <c r="I85" i="18"/>
  <c r="G85" i="18"/>
  <c r="I86" i="18"/>
  <c r="G86" i="18"/>
  <c r="I87" i="18"/>
  <c r="G87" i="18"/>
  <c r="G88" i="18"/>
  <c r="I88" i="18"/>
  <c r="G89" i="18"/>
  <c r="I89" i="18"/>
  <c r="I90" i="18"/>
  <c r="G90" i="18"/>
  <c r="I91" i="18"/>
  <c r="G91" i="18"/>
  <c r="G92" i="18"/>
  <c r="I92" i="18"/>
  <c r="G93" i="18"/>
  <c r="I93" i="18"/>
  <c r="G94" i="18"/>
  <c r="I94" i="18"/>
  <c r="G95" i="18"/>
  <c r="G96" i="18"/>
  <c r="I96" i="18"/>
  <c r="G97" i="18"/>
  <c r="I97" i="18"/>
  <c r="G98" i="18"/>
  <c r="I98" i="18"/>
  <c r="I99" i="18"/>
  <c r="G99" i="18"/>
  <c r="I100" i="18"/>
  <c r="G100" i="18"/>
  <c r="I101" i="18"/>
  <c r="G101" i="18"/>
  <c r="I5" i="19"/>
  <c r="G5" i="19"/>
  <c r="I8" i="19"/>
  <c r="G8" i="19"/>
  <c r="I11" i="19"/>
  <c r="G11" i="19"/>
  <c r="I12" i="19"/>
  <c r="G12" i="19"/>
  <c r="I14" i="19"/>
  <c r="G14" i="19"/>
  <c r="I15" i="19"/>
  <c r="G15" i="19"/>
  <c r="I16" i="19"/>
  <c r="G16" i="19"/>
  <c r="I17" i="19"/>
  <c r="G17" i="19"/>
  <c r="I20" i="19"/>
  <c r="G20" i="19"/>
  <c r="I21" i="19"/>
  <c r="G21" i="19"/>
  <c r="I22" i="19"/>
  <c r="G22" i="19"/>
  <c r="I23" i="19"/>
  <c r="G23" i="19"/>
  <c r="I24" i="19"/>
  <c r="G24" i="19"/>
  <c r="I25" i="19"/>
  <c r="I26" i="19"/>
  <c r="G26" i="19"/>
  <c r="I27" i="19"/>
  <c r="G27" i="19"/>
  <c r="I29" i="19"/>
  <c r="G29" i="19"/>
  <c r="I30" i="19"/>
  <c r="G30" i="19"/>
  <c r="I31" i="19"/>
  <c r="G31" i="19"/>
  <c r="I32" i="19"/>
  <c r="G32" i="19"/>
  <c r="I33" i="19"/>
  <c r="G33" i="19"/>
  <c r="I34" i="19"/>
  <c r="G34" i="19"/>
  <c r="I36" i="19"/>
  <c r="G36" i="19"/>
  <c r="I37" i="19"/>
  <c r="G37" i="19"/>
  <c r="I39" i="19"/>
  <c r="G39" i="19"/>
  <c r="I40" i="19"/>
  <c r="G40" i="19"/>
  <c r="G41" i="19"/>
  <c r="I41" i="19"/>
  <c r="I42" i="19"/>
  <c r="G42" i="19"/>
  <c r="I43" i="19"/>
  <c r="G43" i="19"/>
  <c r="I44" i="19"/>
  <c r="G44" i="19"/>
  <c r="I45" i="19"/>
  <c r="G45" i="19"/>
  <c r="I46" i="19"/>
  <c r="G46" i="19"/>
  <c r="G47" i="19"/>
  <c r="I47" i="19"/>
  <c r="G48" i="19"/>
  <c r="G49" i="19"/>
  <c r="I50" i="19"/>
  <c r="G50" i="19"/>
  <c r="G51" i="19"/>
  <c r="I51" i="19"/>
  <c r="I52" i="19"/>
  <c r="I53" i="19"/>
  <c r="G53" i="19"/>
  <c r="I54" i="19"/>
  <c r="G54" i="19"/>
  <c r="G55" i="19"/>
  <c r="I55" i="19"/>
  <c r="I56" i="19"/>
  <c r="G56" i="19"/>
  <c r="I57" i="19"/>
  <c r="G57" i="19"/>
  <c r="I58" i="19"/>
  <c r="G58" i="19"/>
  <c r="I59" i="19"/>
  <c r="G59" i="19"/>
  <c r="I60" i="19"/>
  <c r="G60" i="19"/>
  <c r="G61" i="19"/>
  <c r="I61" i="19"/>
  <c r="I62" i="19"/>
  <c r="G62" i="19"/>
  <c r="I63" i="19"/>
  <c r="G63" i="19"/>
  <c r="G64" i="19"/>
  <c r="I64" i="19"/>
  <c r="I65" i="19"/>
  <c r="G65" i="19"/>
  <c r="I66" i="19"/>
  <c r="G66" i="19"/>
  <c r="I67" i="19"/>
  <c r="G67" i="19"/>
  <c r="I68" i="19"/>
  <c r="G69" i="19"/>
  <c r="I70" i="19"/>
  <c r="G70" i="19"/>
  <c r="G71" i="19"/>
  <c r="I71" i="19"/>
  <c r="G72" i="19"/>
  <c r="G73" i="19"/>
  <c r="I73" i="19"/>
  <c r="G74" i="19"/>
  <c r="I74" i="19"/>
  <c r="G75" i="19"/>
  <c r="I75" i="19"/>
  <c r="G76" i="19"/>
  <c r="I76" i="19"/>
  <c r="G77" i="19"/>
  <c r="I77" i="19"/>
  <c r="G78" i="19"/>
  <c r="I78" i="19"/>
  <c r="G79" i="19"/>
  <c r="I79" i="19"/>
  <c r="G80" i="19"/>
  <c r="I80" i="19"/>
  <c r="I81" i="19"/>
  <c r="G81" i="19"/>
  <c r="G82" i="19"/>
  <c r="I82" i="19"/>
  <c r="G83" i="19"/>
  <c r="I83" i="19"/>
  <c r="G84" i="19"/>
  <c r="I84" i="19"/>
  <c r="G85" i="19"/>
  <c r="I85" i="19"/>
  <c r="G86" i="19"/>
  <c r="I86" i="19"/>
  <c r="G87" i="19"/>
  <c r="I87" i="19"/>
  <c r="G89" i="19"/>
  <c r="I89" i="19"/>
  <c r="I90" i="19"/>
  <c r="G91" i="19"/>
  <c r="I91" i="19"/>
  <c r="G92" i="19"/>
  <c r="I93" i="19"/>
  <c r="G93" i="19"/>
  <c r="G94" i="19"/>
  <c r="I94" i="19"/>
  <c r="G95" i="19"/>
  <c r="I95" i="19"/>
  <c r="I96" i="19"/>
  <c r="G96" i="19"/>
  <c r="I97" i="19"/>
  <c r="G97" i="19"/>
  <c r="G98" i="19"/>
  <c r="I98" i="19"/>
  <c r="G99" i="19"/>
  <c r="I99" i="19"/>
  <c r="G100" i="19"/>
  <c r="I100" i="19"/>
  <c r="G101" i="19"/>
  <c r="I101" i="19"/>
  <c r="I6" i="20"/>
  <c r="G6" i="20"/>
  <c r="I8" i="20"/>
  <c r="G8" i="20"/>
  <c r="I9" i="20"/>
  <c r="G9" i="20"/>
  <c r="I11" i="20"/>
  <c r="G11" i="20"/>
  <c r="I12" i="20"/>
  <c r="G12" i="20"/>
  <c r="G13" i="20"/>
  <c r="I14" i="20"/>
  <c r="G17" i="20"/>
  <c r="I21" i="20"/>
  <c r="G21" i="20"/>
  <c r="I22" i="20"/>
  <c r="G22" i="20"/>
  <c r="I23" i="20"/>
  <c r="G23" i="20"/>
  <c r="I25" i="20"/>
  <c r="G25" i="20"/>
  <c r="I26" i="20"/>
  <c r="G26" i="20"/>
  <c r="I27" i="20"/>
  <c r="G27" i="20"/>
  <c r="I32" i="20"/>
  <c r="G32" i="20"/>
  <c r="I33" i="20"/>
  <c r="G33" i="20"/>
  <c r="I35" i="20"/>
  <c r="G35" i="20"/>
  <c r="I36" i="20"/>
  <c r="G36" i="20"/>
  <c r="I37" i="20"/>
  <c r="G37" i="20"/>
  <c r="I38" i="20"/>
  <c r="G38" i="20"/>
  <c r="G39" i="20"/>
  <c r="I39" i="20"/>
  <c r="I40" i="20"/>
  <c r="G40" i="20"/>
  <c r="G41" i="20"/>
  <c r="I41" i="20"/>
  <c r="I43" i="20"/>
  <c r="G43" i="20"/>
  <c r="G44" i="20"/>
  <c r="I45" i="20"/>
  <c r="I46" i="20"/>
  <c r="G46" i="20"/>
  <c r="G48" i="20"/>
  <c r="I48" i="20"/>
  <c r="G49" i="20"/>
  <c r="I49" i="20"/>
  <c r="G50" i="20"/>
  <c r="I50" i="20"/>
  <c r="G51" i="20"/>
  <c r="I51" i="20"/>
  <c r="G52" i="20"/>
  <c r="I52" i="20"/>
  <c r="G53" i="20"/>
  <c r="I53" i="20"/>
  <c r="G54" i="20"/>
  <c r="I54" i="20"/>
  <c r="G55" i="20"/>
  <c r="I55" i="20"/>
  <c r="G56" i="20"/>
  <c r="I56" i="20"/>
  <c r="G57" i="20"/>
  <c r="I57" i="20"/>
  <c r="G58" i="20"/>
  <c r="I58" i="20"/>
  <c r="G59" i="20"/>
  <c r="I59" i="20"/>
  <c r="G60" i="20"/>
  <c r="I60" i="20"/>
  <c r="G61" i="20"/>
  <c r="I61" i="20"/>
  <c r="G62" i="20"/>
  <c r="G65" i="20"/>
  <c r="I65" i="20"/>
  <c r="I66" i="20"/>
  <c r="G68" i="20"/>
  <c r="I68" i="20"/>
  <c r="G69" i="20"/>
  <c r="I69" i="20"/>
  <c r="G70" i="20"/>
  <c r="I70" i="20"/>
  <c r="G71" i="20"/>
  <c r="I71" i="20"/>
  <c r="G72" i="20"/>
  <c r="I72" i="20"/>
  <c r="G73" i="20"/>
  <c r="I73" i="20"/>
  <c r="G74" i="20"/>
  <c r="I74" i="20"/>
  <c r="G75" i="20"/>
  <c r="I75" i="20"/>
  <c r="G76" i="20"/>
  <c r="I76" i="20"/>
  <c r="G77" i="20"/>
  <c r="I77" i="20"/>
  <c r="G78" i="20"/>
  <c r="I78" i="20"/>
  <c r="G79" i="20"/>
  <c r="I79" i="20"/>
  <c r="I80" i="20"/>
  <c r="G80" i="20"/>
  <c r="G81" i="20"/>
  <c r="I81" i="20"/>
  <c r="G86" i="20"/>
  <c r="G88" i="20"/>
  <c r="I88" i="20"/>
  <c r="I89" i="20"/>
  <c r="G89" i="20"/>
  <c r="I90" i="20"/>
  <c r="G90" i="20"/>
  <c r="I91" i="20"/>
  <c r="G91" i="20"/>
  <c r="G92" i="20"/>
  <c r="I92" i="20"/>
  <c r="I93" i="20"/>
  <c r="G93" i="20"/>
  <c r="I94" i="20"/>
  <c r="G94" i="20"/>
  <c r="I95" i="20"/>
  <c r="G95" i="20"/>
  <c r="G96" i="20"/>
  <c r="I96" i="20"/>
  <c r="G97" i="20"/>
  <c r="I97" i="20"/>
  <c r="G98" i="20"/>
  <c r="I98" i="20"/>
  <c r="G99" i="20"/>
  <c r="I99" i="20"/>
  <c r="G100" i="20"/>
  <c r="I100" i="20"/>
  <c r="I101" i="20"/>
  <c r="G101" i="20"/>
  <c r="I5" i="21"/>
  <c r="I15" i="21"/>
  <c r="G15" i="21"/>
  <c r="I19" i="21"/>
  <c r="G19" i="21"/>
  <c r="I20" i="21"/>
  <c r="G20" i="21"/>
  <c r="I21" i="21"/>
  <c r="G21" i="21"/>
  <c r="I23" i="21"/>
  <c r="G23" i="21"/>
  <c r="I24" i="21"/>
  <c r="G24" i="21"/>
  <c r="I25" i="21"/>
  <c r="G25" i="21"/>
  <c r="I26" i="21"/>
  <c r="G26" i="21"/>
  <c r="I27" i="21"/>
  <c r="G27" i="21"/>
  <c r="I28" i="21"/>
  <c r="G28" i="21"/>
  <c r="I30" i="21"/>
  <c r="G30" i="21"/>
  <c r="I31" i="21"/>
  <c r="G31" i="21"/>
  <c r="I33" i="21"/>
  <c r="G33" i="21"/>
  <c r="I34" i="21"/>
  <c r="G34" i="21"/>
  <c r="G38" i="21"/>
  <c r="G39" i="21"/>
  <c r="G40" i="21"/>
  <c r="G42" i="21"/>
  <c r="I42" i="21"/>
  <c r="G43" i="21"/>
  <c r="I43" i="21"/>
  <c r="I44" i="21"/>
  <c r="G44" i="21"/>
  <c r="I45" i="21"/>
  <c r="G45" i="21"/>
  <c r="I46" i="21"/>
  <c r="G46" i="21"/>
  <c r="I47" i="21"/>
  <c r="G47" i="21"/>
  <c r="I48" i="21"/>
  <c r="G48" i="21"/>
  <c r="I49" i="21"/>
  <c r="G49" i="21"/>
  <c r="G50" i="21"/>
  <c r="I50" i="21"/>
  <c r="I51" i="21"/>
  <c r="G51" i="21"/>
  <c r="I52" i="21"/>
  <c r="G52" i="21"/>
  <c r="G53" i="21"/>
  <c r="I53" i="21"/>
  <c r="G54" i="21"/>
  <c r="I54" i="21"/>
  <c r="G55" i="21"/>
  <c r="I55" i="21"/>
  <c r="I57" i="21"/>
  <c r="I58" i="21"/>
  <c r="I59" i="21"/>
  <c r="I60" i="21"/>
  <c r="G60" i="21"/>
  <c r="G62" i="21"/>
  <c r="I62" i="21"/>
  <c r="G63" i="21"/>
  <c r="I63" i="21"/>
  <c r="I64" i="21"/>
  <c r="G64" i="21"/>
  <c r="I65" i="21"/>
  <c r="G65" i="21"/>
  <c r="I66" i="21"/>
  <c r="G66" i="21"/>
  <c r="I67" i="21"/>
  <c r="G67" i="21"/>
  <c r="I68" i="21"/>
  <c r="G68" i="21"/>
  <c r="I69" i="21"/>
  <c r="G69" i="21"/>
  <c r="G70" i="21"/>
  <c r="I70" i="21"/>
  <c r="G71" i="21"/>
  <c r="I71" i="21"/>
  <c r="G72" i="21"/>
  <c r="I72" i="21"/>
  <c r="G73" i="21"/>
  <c r="I73" i="21"/>
  <c r="G74" i="21"/>
  <c r="I74" i="21"/>
  <c r="I75" i="21"/>
  <c r="G75" i="21"/>
  <c r="I78" i="21"/>
  <c r="G80" i="21"/>
  <c r="I82" i="21"/>
  <c r="G82" i="21"/>
  <c r="I83" i="21"/>
  <c r="G83" i="21"/>
  <c r="G84" i="21"/>
  <c r="I84" i="21"/>
  <c r="G85" i="21"/>
  <c r="I85" i="21"/>
  <c r="G86" i="21"/>
  <c r="I86" i="21"/>
  <c r="G87" i="21"/>
  <c r="I87" i="21"/>
  <c r="I88" i="21"/>
  <c r="G88" i="21"/>
  <c r="G89" i="21"/>
  <c r="I89" i="21"/>
  <c r="G90" i="21"/>
  <c r="I90" i="21"/>
  <c r="G91" i="21"/>
  <c r="I91" i="21"/>
  <c r="G92" i="21"/>
  <c r="I92" i="21"/>
  <c r="G93" i="21"/>
  <c r="I93" i="21"/>
  <c r="G94" i="21"/>
  <c r="I94" i="21"/>
  <c r="G95" i="21"/>
  <c r="I95" i="21"/>
  <c r="G6" i="22"/>
  <c r="I9" i="22"/>
  <c r="G9" i="22"/>
  <c r="I10" i="22"/>
  <c r="G10" i="22"/>
  <c r="I11" i="22"/>
  <c r="G11" i="22"/>
  <c r="I12" i="22"/>
  <c r="I13" i="22"/>
  <c r="G13" i="22"/>
  <c r="I14" i="22"/>
  <c r="G14" i="22"/>
  <c r="I15" i="22"/>
  <c r="G15" i="22"/>
  <c r="I16" i="22"/>
  <c r="G16" i="22"/>
  <c r="I17" i="22"/>
  <c r="G17" i="22"/>
  <c r="I19" i="22"/>
  <c r="G19" i="22"/>
  <c r="I23" i="22"/>
  <c r="G23" i="22"/>
  <c r="I24" i="22"/>
  <c r="G24" i="22"/>
  <c r="I25" i="22"/>
  <c r="I30" i="22"/>
  <c r="G35" i="22"/>
  <c r="I36" i="22"/>
  <c r="G36" i="22"/>
  <c r="I38" i="22"/>
  <c r="I39" i="22"/>
  <c r="G39" i="22"/>
  <c r="G40" i="22"/>
  <c r="I40" i="22"/>
  <c r="I41" i="22"/>
  <c r="G41" i="22"/>
  <c r="G42" i="22"/>
  <c r="I42" i="22"/>
  <c r="G43" i="22"/>
  <c r="I43" i="22"/>
  <c r="I44" i="22"/>
  <c r="G44" i="22"/>
  <c r="G46" i="22"/>
  <c r="I46" i="22"/>
  <c r="G47" i="22"/>
  <c r="I47" i="22"/>
  <c r="I8" i="23"/>
  <c r="G8" i="23"/>
  <c r="I9" i="23"/>
  <c r="G9" i="23"/>
  <c r="I12" i="23"/>
  <c r="G12" i="23"/>
  <c r="I13" i="23"/>
  <c r="G13" i="23"/>
  <c r="I14" i="23"/>
  <c r="I15" i="23"/>
  <c r="G15" i="23"/>
  <c r="I26" i="23"/>
  <c r="I29" i="23"/>
  <c r="G29" i="23"/>
  <c r="I31" i="23"/>
  <c r="G31" i="23"/>
  <c r="G34" i="23"/>
  <c r="I36" i="23"/>
  <c r="G36" i="23"/>
  <c r="I38" i="23"/>
  <c r="G38" i="23"/>
  <c r="I39" i="23"/>
  <c r="I41" i="23"/>
  <c r="G41" i="23"/>
  <c r="I45" i="23"/>
  <c r="G45" i="23"/>
  <c r="I47" i="23"/>
  <c r="G47" i="23"/>
  <c r="I51" i="23"/>
  <c r="I52" i="23"/>
  <c r="G52" i="23"/>
  <c r="G54" i="23"/>
  <c r="I54" i="23"/>
  <c r="G56" i="23"/>
  <c r="G57" i="23"/>
  <c r="I59" i="23"/>
  <c r="I62" i="23"/>
  <c r="G62" i="23"/>
  <c r="I63" i="23"/>
  <c r="G63" i="23"/>
  <c r="I65" i="23"/>
  <c r="G66" i="23"/>
  <c r="I66" i="23"/>
  <c r="G67" i="23"/>
  <c r="I68" i="23"/>
  <c r="G69" i="23"/>
  <c r="I69" i="23"/>
  <c r="I70" i="23"/>
  <c r="G70" i="23"/>
  <c r="I71" i="23"/>
  <c r="G71" i="23"/>
  <c r="I73" i="23"/>
  <c r="G73" i="23"/>
  <c r="G74" i="23"/>
  <c r="I74" i="23"/>
  <c r="G77" i="23"/>
  <c r="I79" i="23"/>
  <c r="G79" i="23"/>
  <c r="I80" i="23"/>
  <c r="G80" i="23"/>
  <c r="I82" i="23"/>
  <c r="G82" i="23"/>
  <c r="G83" i="23"/>
  <c r="I83" i="23"/>
  <c r="G85" i="23"/>
  <c r="I85" i="23"/>
  <c r="I86" i="23"/>
  <c r="G86" i="23"/>
  <c r="I87" i="23"/>
  <c r="I88" i="23"/>
  <c r="I89" i="23"/>
  <c r="G90" i="23"/>
  <c r="I90" i="23"/>
  <c r="I91" i="23"/>
  <c r="G91" i="23"/>
  <c r="G92" i="23"/>
  <c r="I92" i="23"/>
  <c r="I93" i="23"/>
  <c r="G93" i="23"/>
  <c r="I94" i="23"/>
  <c r="G94" i="23"/>
  <c r="I100" i="23"/>
  <c r="I5" i="24"/>
  <c r="G5" i="24"/>
  <c r="I6" i="24"/>
  <c r="G6" i="24"/>
  <c r="I9" i="24"/>
  <c r="G9" i="24"/>
  <c r="I10" i="24"/>
  <c r="G10" i="24"/>
  <c r="G12" i="24"/>
  <c r="I13" i="24"/>
  <c r="I14" i="24"/>
  <c r="G14" i="24"/>
  <c r="G17" i="24"/>
  <c r="I20" i="24"/>
  <c r="G20" i="24"/>
  <c r="I22" i="24"/>
  <c r="I23" i="24"/>
  <c r="G23" i="24"/>
  <c r="I24" i="24"/>
  <c r="G24" i="24"/>
  <c r="G30" i="24"/>
  <c r="G31" i="24"/>
  <c r="I33" i="24"/>
  <c r="G37" i="24"/>
  <c r="I37" i="24"/>
  <c r="I38" i="24"/>
  <c r="G38" i="24"/>
  <c r="I39" i="24"/>
  <c r="G40" i="24"/>
  <c r="I40" i="24"/>
  <c r="I41" i="24"/>
  <c r="G41" i="24"/>
  <c r="G42" i="24"/>
  <c r="I42" i="24"/>
  <c r="I43" i="24"/>
  <c r="I44" i="24"/>
  <c r="I45" i="24"/>
  <c r="G45" i="24"/>
  <c r="I46" i="24"/>
  <c r="G46" i="24"/>
  <c r="I48" i="24"/>
  <c r="G48" i="24"/>
  <c r="G49" i="24"/>
  <c r="I49" i="24"/>
  <c r="I52" i="24"/>
  <c r="I53" i="24"/>
  <c r="I54" i="24"/>
  <c r="I55" i="24"/>
  <c r="I56" i="24"/>
  <c r="I57" i="24"/>
  <c r="G57" i="24"/>
  <c r="G58" i="24"/>
  <c r="I60" i="24"/>
  <c r="G60" i="24"/>
  <c r="G61" i="24"/>
  <c r="I61" i="24"/>
  <c r="I62" i="24"/>
  <c r="G62" i="24"/>
  <c r="I63" i="24"/>
  <c r="G64" i="24"/>
  <c r="I65" i="24"/>
  <c r="I66" i="24"/>
  <c r="G66" i="24"/>
  <c r="I68" i="24"/>
  <c r="G68" i="24"/>
  <c r="I69" i="24"/>
  <c r="G69" i="24"/>
  <c r="G70" i="24"/>
  <c r="I74" i="24"/>
  <c r="G77" i="24"/>
  <c r="G78" i="24"/>
  <c r="I78" i="24"/>
  <c r="I79" i="24"/>
  <c r="G79" i="24"/>
  <c r="I80" i="24"/>
  <c r="G80" i="24"/>
  <c r="I81" i="24"/>
  <c r="G81" i="24"/>
  <c r="I82" i="24"/>
  <c r="G82" i="24"/>
  <c r="G83" i="24"/>
  <c r="I84" i="24"/>
  <c r="G84" i="24"/>
  <c r="G85" i="24"/>
  <c r="G86" i="24"/>
  <c r="I86" i="24"/>
  <c r="G87" i="24"/>
  <c r="G88" i="24"/>
  <c r="I89" i="24"/>
  <c r="G89" i="24"/>
  <c r="I90" i="24"/>
  <c r="G90" i="24"/>
  <c r="I91" i="24"/>
  <c r="G92" i="24"/>
  <c r="G94" i="24"/>
  <c r="I97" i="24"/>
  <c r="G98" i="24"/>
  <c r="I100" i="24"/>
  <c r="G100" i="24"/>
  <c r="G101" i="24"/>
  <c r="I101" i="24"/>
  <c r="I7" i="25"/>
  <c r="G7" i="25"/>
  <c r="I9" i="25"/>
  <c r="G9" i="25"/>
  <c r="I10" i="25"/>
  <c r="G10" i="25"/>
  <c r="I11" i="25"/>
  <c r="G11" i="25"/>
  <c r="I12" i="25"/>
  <c r="G12" i="25"/>
  <c r="I14" i="25"/>
  <c r="I16" i="25"/>
  <c r="G16" i="25"/>
  <c r="I17" i="25"/>
  <c r="G17" i="25"/>
  <c r="I26" i="25"/>
  <c r="G26" i="25"/>
  <c r="I28" i="25"/>
  <c r="G28" i="25"/>
  <c r="G29" i="25"/>
  <c r="I33" i="25"/>
  <c r="G33" i="25"/>
  <c r="I35" i="25"/>
  <c r="G35" i="25"/>
  <c r="I36" i="25"/>
  <c r="G36" i="25"/>
  <c r="I37" i="25"/>
  <c r="G37" i="25"/>
  <c r="I38" i="25"/>
  <c r="G38" i="25"/>
  <c r="I39" i="25"/>
  <c r="G39" i="25"/>
  <c r="G41" i="25"/>
  <c r="I42" i="25"/>
  <c r="G42" i="25"/>
  <c r="I43" i="25"/>
  <c r="G43" i="25"/>
  <c r="I46" i="25"/>
  <c r="G46" i="25"/>
  <c r="I47" i="25"/>
  <c r="G47" i="25"/>
  <c r="G49" i="25"/>
  <c r="I52" i="25"/>
  <c r="G52" i="25"/>
  <c r="I54" i="25"/>
  <c r="G54" i="25"/>
  <c r="G55" i="25"/>
  <c r="G59" i="25"/>
  <c r="I61" i="25"/>
  <c r="G61" i="25"/>
  <c r="G62" i="25"/>
  <c r="I62" i="25"/>
  <c r="G63" i="25"/>
  <c r="I63" i="25"/>
  <c r="I64" i="25"/>
  <c r="G64" i="25"/>
  <c r="I65" i="25"/>
  <c r="I66" i="25"/>
  <c r="I67" i="25"/>
  <c r="G67" i="25"/>
  <c r="G68" i="25"/>
  <c r="I68" i="25"/>
  <c r="G69" i="25"/>
  <c r="I69" i="25"/>
  <c r="G70" i="25"/>
  <c r="I70" i="25"/>
  <c r="G74" i="25"/>
  <c r="G78" i="25"/>
  <c r="I78" i="25"/>
  <c r="G79" i="25"/>
  <c r="I79" i="25"/>
  <c r="G80" i="25"/>
  <c r="I80" i="25"/>
  <c r="I81" i="25"/>
  <c r="G81" i="25"/>
  <c r="G82" i="25"/>
  <c r="I82" i="25"/>
  <c r="G83" i="25"/>
  <c r="I83" i="25"/>
  <c r="G84" i="25"/>
  <c r="I84" i="25"/>
  <c r="I85" i="25"/>
  <c r="I86" i="25"/>
  <c r="G87" i="25"/>
  <c r="I87" i="25"/>
  <c r="G89" i="25"/>
  <c r="I89" i="25"/>
  <c r="G90" i="25"/>
  <c r="I90" i="25"/>
  <c r="G91" i="25"/>
  <c r="I91" i="25"/>
  <c r="G92" i="25"/>
  <c r="I92" i="25"/>
  <c r="G98" i="25"/>
  <c r="I98" i="25"/>
  <c r="I99" i="25"/>
  <c r="G99" i="25"/>
  <c r="G100" i="25"/>
  <c r="I100" i="25"/>
  <c r="I101" i="25"/>
  <c r="G101" i="25"/>
  <c r="I5" i="26"/>
  <c r="G5" i="26"/>
  <c r="I6" i="26"/>
  <c r="G6" i="26"/>
  <c r="I7" i="26"/>
  <c r="G7" i="26"/>
  <c r="G8" i="26"/>
  <c r="G10" i="26"/>
  <c r="I12" i="26"/>
  <c r="G12" i="26"/>
  <c r="I16" i="26"/>
  <c r="G16" i="26"/>
  <c r="I17" i="26"/>
  <c r="G17" i="26"/>
  <c r="I20" i="26"/>
  <c r="G20" i="26"/>
  <c r="I22" i="26"/>
  <c r="G22" i="26"/>
  <c r="G24" i="26"/>
  <c r="I26" i="26"/>
  <c r="G26" i="26"/>
  <c r="I29" i="26"/>
  <c r="G29" i="26"/>
  <c r="G31" i="26"/>
  <c r="I31" i="26"/>
  <c r="G32" i="26"/>
  <c r="I32" i="26"/>
  <c r="I33" i="26"/>
  <c r="G33" i="26"/>
  <c r="G34" i="26"/>
  <c r="I34" i="26"/>
  <c r="I35" i="26"/>
  <c r="G36" i="26"/>
  <c r="I37" i="26"/>
  <c r="G37" i="26"/>
  <c r="I39" i="26"/>
  <c r="G39" i="26"/>
  <c r="I40" i="26"/>
  <c r="G40" i="26"/>
  <c r="I45" i="26"/>
  <c r="G46" i="26"/>
  <c r="G48" i="26"/>
  <c r="I48" i="26"/>
  <c r="I49" i="26"/>
  <c r="G49" i="26"/>
  <c r="I51" i="26"/>
  <c r="G51" i="26"/>
  <c r="G52" i="26"/>
  <c r="I52" i="26"/>
  <c r="I53" i="26"/>
  <c r="G53" i="26"/>
  <c r="G54" i="26"/>
  <c r="I54" i="26"/>
  <c r="G55" i="26"/>
  <c r="G56" i="26"/>
  <c r="G57" i="26"/>
  <c r="I57" i="26"/>
  <c r="I58" i="26"/>
  <c r="G59" i="26"/>
  <c r="I59" i="26"/>
  <c r="G60" i="26"/>
  <c r="I60" i="26"/>
  <c r="G64" i="26"/>
  <c r="G68" i="26"/>
  <c r="I68" i="26"/>
  <c r="G69" i="26"/>
  <c r="I69" i="26"/>
  <c r="I70" i="26"/>
  <c r="G71" i="26"/>
  <c r="I71" i="26"/>
  <c r="G72" i="26"/>
  <c r="I72" i="26"/>
  <c r="G73" i="26"/>
  <c r="I73" i="26"/>
  <c r="G74" i="26"/>
  <c r="I74" i="26"/>
  <c r="G75" i="26"/>
  <c r="G76" i="26"/>
  <c r="G77" i="26"/>
  <c r="I77" i="26"/>
  <c r="I78" i="26"/>
  <c r="I79" i="26"/>
  <c r="G79" i="26"/>
  <c r="I80" i="26"/>
  <c r="G80" i="26"/>
  <c r="I82" i="26"/>
  <c r="I83" i="26"/>
  <c r="I88" i="26"/>
  <c r="G88" i="26"/>
  <c r="G89" i="26"/>
  <c r="I91" i="26"/>
  <c r="G91" i="26"/>
  <c r="I92" i="26"/>
  <c r="G92" i="26"/>
  <c r="I93" i="26"/>
  <c r="G93" i="26"/>
  <c r="I94" i="26"/>
  <c r="G94" i="26"/>
  <c r="G95" i="26"/>
  <c r="I96" i="26"/>
  <c r="G97" i="26"/>
  <c r="I97" i="26"/>
  <c r="I99" i="26"/>
  <c r="G99" i="26"/>
  <c r="I100" i="26"/>
  <c r="G100" i="26"/>
  <c r="I6" i="27"/>
  <c r="G6" i="27"/>
  <c r="I7" i="27"/>
  <c r="G7" i="27"/>
  <c r="G8" i="27"/>
  <c r="G9" i="27"/>
  <c r="I13" i="27"/>
  <c r="G13" i="27"/>
  <c r="I14" i="27"/>
  <c r="G14" i="27"/>
  <c r="I16" i="27"/>
  <c r="G16" i="27"/>
  <c r="I17" i="27"/>
  <c r="G17" i="27"/>
  <c r="I18" i="27"/>
  <c r="G18" i="27"/>
  <c r="I19" i="27"/>
  <c r="G19" i="27"/>
  <c r="I20" i="27"/>
  <c r="G20" i="27"/>
  <c r="G21" i="27"/>
  <c r="I22" i="27"/>
  <c r="I23" i="27"/>
  <c r="G23" i="27"/>
  <c r="I25" i="27"/>
  <c r="G25" i="27"/>
  <c r="I26" i="27"/>
  <c r="G26" i="27"/>
  <c r="I27" i="27"/>
  <c r="I29" i="27"/>
  <c r="G29" i="27"/>
  <c r="G30" i="27"/>
  <c r="I34" i="27"/>
  <c r="G34" i="27"/>
  <c r="I37" i="27"/>
  <c r="G37" i="27"/>
  <c r="I38" i="27"/>
  <c r="G38" i="27"/>
  <c r="I39" i="27"/>
  <c r="G39" i="27"/>
  <c r="I40" i="27"/>
  <c r="G40" i="27"/>
  <c r="G41" i="27"/>
  <c r="I42" i="27"/>
  <c r="I43" i="27"/>
  <c r="G43" i="27"/>
  <c r="I44" i="27"/>
  <c r="G44" i="27"/>
  <c r="G45" i="27"/>
  <c r="I45" i="27"/>
  <c r="G46" i="27"/>
  <c r="I46" i="27"/>
  <c r="I52" i="27"/>
  <c r="G54" i="27"/>
  <c r="I54" i="27"/>
  <c r="I55" i="27"/>
  <c r="G55" i="27"/>
  <c r="I56" i="27"/>
  <c r="G56" i="27"/>
  <c r="I57" i="27"/>
  <c r="G57" i="27"/>
  <c r="I58" i="27"/>
  <c r="G58" i="27"/>
  <c r="I59" i="27"/>
  <c r="G59" i="27"/>
  <c r="I60" i="27"/>
  <c r="G60" i="27"/>
  <c r="G61" i="27"/>
  <c r="I62" i="27"/>
  <c r="G63" i="27"/>
  <c r="I63" i="27"/>
  <c r="I65" i="27"/>
  <c r="G65" i="27"/>
  <c r="I66" i="27"/>
  <c r="G66" i="27"/>
  <c r="I67" i="27"/>
  <c r="G67" i="27"/>
  <c r="I68" i="27"/>
  <c r="I69" i="27"/>
  <c r="G72" i="27"/>
  <c r="I74" i="27"/>
  <c r="G75" i="27"/>
  <c r="I75" i="27"/>
  <c r="I76" i="27"/>
  <c r="I77" i="27"/>
  <c r="G77" i="27"/>
  <c r="I78" i="27"/>
  <c r="G78" i="27"/>
  <c r="G79" i="27"/>
  <c r="I79" i="27"/>
  <c r="G80" i="27"/>
  <c r="I80" i="27"/>
  <c r="I81" i="27"/>
  <c r="I82" i="27"/>
  <c r="I83" i="27"/>
  <c r="G83" i="27"/>
  <c r="I85" i="27"/>
  <c r="G85" i="27"/>
  <c r="I86" i="27"/>
  <c r="G86" i="27"/>
  <c r="G87" i="27"/>
  <c r="I89" i="27"/>
  <c r="I94" i="27"/>
  <c r="G94" i="27"/>
  <c r="I95" i="27"/>
  <c r="G95" i="27"/>
  <c r="I96" i="27"/>
  <c r="I97" i="27"/>
  <c r="G97" i="27"/>
  <c r="I98" i="27"/>
  <c r="G98" i="27"/>
  <c r="I99" i="27"/>
  <c r="G99" i="27"/>
  <c r="I100" i="27"/>
  <c r="G100" i="27"/>
  <c r="I101" i="27"/>
  <c r="I5" i="28"/>
  <c r="I6" i="28"/>
  <c r="G6" i="28"/>
  <c r="I8" i="28"/>
  <c r="G8" i="28"/>
  <c r="I9" i="28"/>
  <c r="G9" i="28"/>
  <c r="I10" i="28"/>
  <c r="I12" i="28"/>
  <c r="G12" i="28"/>
  <c r="G13" i="28"/>
  <c r="G14" i="28"/>
  <c r="I15" i="28"/>
  <c r="I18" i="28"/>
  <c r="G18" i="28"/>
  <c r="I22" i="28"/>
  <c r="G22" i="28"/>
  <c r="I23" i="28"/>
  <c r="G23" i="28"/>
  <c r="I24" i="28"/>
  <c r="G24" i="28"/>
  <c r="I25" i="28"/>
  <c r="G25" i="28"/>
  <c r="G27" i="28"/>
  <c r="I28" i="28"/>
  <c r="G29" i="28"/>
  <c r="I29" i="28"/>
  <c r="I30" i="28"/>
  <c r="G30" i="28"/>
  <c r="I31" i="28"/>
  <c r="G31" i="28"/>
  <c r="G32" i="28"/>
  <c r="I32" i="28"/>
  <c r="I35" i="28"/>
  <c r="G38" i="28"/>
  <c r="I40" i="28"/>
  <c r="G40" i="28"/>
  <c r="I41" i="28"/>
  <c r="G41" i="28"/>
  <c r="G42" i="28"/>
  <c r="I42" i="28"/>
  <c r="I43" i="28"/>
  <c r="G43" i="28"/>
  <c r="I44" i="28"/>
  <c r="G44" i="28"/>
  <c r="G45" i="28"/>
  <c r="I45" i="28"/>
  <c r="G46" i="28"/>
  <c r="I46" i="28"/>
  <c r="G47" i="28"/>
  <c r="I48" i="28"/>
  <c r="G48" i="28"/>
  <c r="I49" i="28"/>
  <c r="G49" i="28"/>
  <c r="I51" i="28"/>
  <c r="G51" i="28"/>
  <c r="I52" i="28"/>
  <c r="G52" i="28"/>
  <c r="I54" i="28"/>
  <c r="G56" i="28"/>
  <c r="G58" i="28"/>
  <c r="G60" i="28"/>
  <c r="I60" i="28"/>
  <c r="G61" i="28"/>
  <c r="I61" i="28"/>
  <c r="I62" i="28"/>
  <c r="I63" i="28"/>
  <c r="G63" i="28"/>
  <c r="I64" i="28"/>
  <c r="G64" i="28"/>
  <c r="I65" i="28"/>
  <c r="G65" i="28"/>
  <c r="G66" i="28"/>
  <c r="I66" i="28"/>
  <c r="G67" i="28"/>
  <c r="I67" i="28"/>
  <c r="G68" i="28"/>
  <c r="I68" i="28"/>
  <c r="I69" i="28"/>
  <c r="G69" i="28"/>
  <c r="I70" i="28"/>
  <c r="G70" i="28"/>
  <c r="I71" i="28"/>
  <c r="G71" i="28"/>
  <c r="G72" i="28"/>
  <c r="I72" i="28"/>
  <c r="G75" i="28"/>
  <c r="G80" i="28"/>
  <c r="I80" i="28"/>
  <c r="G81" i="28"/>
  <c r="I81" i="28"/>
  <c r="G82" i="28"/>
  <c r="I82" i="28"/>
  <c r="I83" i="28"/>
  <c r="G83" i="28"/>
  <c r="G84" i="28"/>
  <c r="I84" i="28"/>
  <c r="I85" i="28"/>
  <c r="G85" i="28"/>
  <c r="I86" i="28"/>
  <c r="G86" i="28"/>
  <c r="G87" i="28"/>
  <c r="I87" i="28"/>
  <c r="G88" i="28"/>
  <c r="I88" i="28"/>
  <c r="G89" i="28"/>
  <c r="I89" i="28"/>
  <c r="I90" i="28"/>
  <c r="G91" i="28"/>
  <c r="I91" i="28"/>
  <c r="G92" i="28"/>
  <c r="I92" i="28"/>
  <c r="G93" i="28"/>
  <c r="I94" i="28"/>
  <c r="G96" i="28"/>
  <c r="G100" i="28"/>
  <c r="I100" i="28"/>
  <c r="I101" i="28"/>
  <c r="G101" i="28"/>
  <c r="G5" i="29"/>
  <c r="I6" i="29"/>
  <c r="G6" i="29"/>
  <c r="G7" i="29"/>
  <c r="I7" i="29"/>
  <c r="G8" i="29"/>
  <c r="I8" i="29"/>
  <c r="G9" i="29"/>
  <c r="I9" i="29"/>
  <c r="I10" i="29"/>
  <c r="G10" i="29"/>
  <c r="G11" i="29"/>
  <c r="I11" i="29"/>
  <c r="G12" i="29"/>
  <c r="I12" i="29"/>
  <c r="G13" i="29"/>
  <c r="G14" i="29"/>
  <c r="I14" i="29"/>
  <c r="I15" i="29"/>
  <c r="G15" i="29"/>
  <c r="I7" i="7"/>
  <c r="I9" i="7"/>
  <c r="G9" i="7"/>
  <c r="I10" i="7"/>
  <c r="G10" i="7"/>
  <c r="G11" i="7"/>
  <c r="I12" i="7"/>
  <c r="G12" i="7"/>
  <c r="I13" i="7"/>
  <c r="G13" i="7"/>
  <c r="I14" i="7"/>
  <c r="G14" i="7"/>
  <c r="I15" i="7"/>
  <c r="G15" i="7"/>
  <c r="I16" i="7"/>
  <c r="G16" i="7"/>
  <c r="I17" i="7"/>
  <c r="G17" i="7"/>
  <c r="I18" i="7"/>
  <c r="G18" i="7"/>
  <c r="I19" i="7"/>
  <c r="I20" i="7"/>
  <c r="G20" i="7"/>
  <c r="I21" i="7"/>
  <c r="G21" i="7"/>
  <c r="G22" i="7"/>
  <c r="G24" i="7"/>
  <c r="I24" i="7"/>
  <c r="I25" i="7"/>
  <c r="I26" i="7"/>
  <c r="I27" i="7"/>
  <c r="G29" i="7"/>
  <c r="I30" i="7"/>
  <c r="I32" i="7"/>
  <c r="G32" i="7"/>
  <c r="G33" i="7"/>
  <c r="I33" i="7"/>
  <c r="I34" i="7"/>
  <c r="G34" i="7"/>
  <c r="G35" i="7"/>
  <c r="I35" i="7"/>
  <c r="G36" i="7"/>
  <c r="I36" i="7"/>
  <c r="G37" i="7"/>
  <c r="I37" i="7"/>
  <c r="G38" i="7"/>
  <c r="I38" i="7"/>
  <c r="G40" i="7"/>
  <c r="I40" i="7"/>
  <c r="G41" i="7"/>
  <c r="I41" i="7"/>
  <c r="I43" i="7"/>
  <c r="G44" i="7"/>
  <c r="I44" i="7"/>
  <c r="G45" i="7"/>
  <c r="I45" i="7"/>
  <c r="G46" i="7"/>
  <c r="I46" i="7"/>
  <c r="I47" i="7"/>
  <c r="G47" i="7"/>
  <c r="I48" i="7"/>
  <c r="G50" i="7"/>
  <c r="G52" i="7"/>
  <c r="I52" i="7"/>
  <c r="G53" i="7"/>
  <c r="I53" i="7"/>
  <c r="G54" i="7"/>
  <c r="I54" i="7"/>
  <c r="I55" i="7"/>
  <c r="G55" i="7"/>
  <c r="G56" i="7"/>
  <c r="I56" i="7"/>
  <c r="G57" i="7"/>
  <c r="I57" i="7"/>
  <c r="G58" i="7"/>
  <c r="I58" i="7"/>
  <c r="I60" i="7"/>
  <c r="G60" i="7"/>
  <c r="G61" i="7"/>
  <c r="I61" i="7"/>
  <c r="I64" i="7"/>
  <c r="I65" i="7"/>
  <c r="I66" i="7"/>
  <c r="I69" i="7"/>
  <c r="G70" i="7"/>
  <c r="I72" i="7"/>
  <c r="G72" i="7"/>
  <c r="I73" i="7"/>
  <c r="G73" i="7"/>
  <c r="I74" i="7"/>
  <c r="G74" i="7"/>
  <c r="G75" i="7"/>
  <c r="I75" i="7"/>
  <c r="I76" i="7"/>
  <c r="G76" i="7"/>
  <c r="G77" i="7"/>
  <c r="I77" i="7"/>
  <c r="G78" i="7"/>
  <c r="I78" i="7"/>
  <c r="I80" i="7"/>
  <c r="G80" i="7"/>
  <c r="I81" i="7"/>
  <c r="G81" i="7"/>
  <c r="I83" i="7"/>
  <c r="I84" i="7"/>
  <c r="G84" i="7"/>
  <c r="G85" i="7"/>
  <c r="I85" i="7"/>
  <c r="I86" i="7"/>
  <c r="G86" i="7"/>
  <c r="G89" i="7"/>
  <c r="I89" i="7"/>
  <c r="I92" i="7"/>
  <c r="G92" i="7"/>
  <c r="G93" i="7"/>
  <c r="I93" i="7"/>
  <c r="G94" i="7"/>
  <c r="I94" i="7"/>
  <c r="G95" i="7"/>
  <c r="I95" i="7"/>
  <c r="I96" i="7"/>
  <c r="G96" i="7"/>
  <c r="G97" i="7"/>
  <c r="I97" i="7"/>
  <c r="G98" i="7"/>
  <c r="I98" i="7"/>
  <c r="I100" i="7"/>
  <c r="G100" i="7"/>
  <c r="I101" i="7"/>
  <c r="G101" i="7"/>
  <c r="I3" i="8"/>
  <c r="G3" i="8"/>
  <c r="I4" i="9"/>
  <c r="G4" i="9"/>
  <c r="I4" i="10"/>
  <c r="G4" i="10"/>
  <c r="I3" i="11"/>
  <c r="G4" i="11"/>
  <c r="I3" i="12"/>
  <c r="G3" i="12"/>
  <c r="I4" i="12"/>
  <c r="G4" i="12"/>
  <c r="I3" i="13"/>
  <c r="G3" i="13"/>
  <c r="I4" i="13"/>
  <c r="G4" i="13"/>
  <c r="I3" i="14"/>
  <c r="G3" i="14"/>
  <c r="I4" i="14"/>
  <c r="G4" i="14"/>
  <c r="I3" i="15"/>
  <c r="G3" i="15"/>
  <c r="I3" i="16"/>
  <c r="G3" i="16"/>
  <c r="I3" i="17"/>
  <c r="G3" i="17"/>
  <c r="I4" i="17"/>
  <c r="G4" i="17"/>
  <c r="I3" i="19"/>
  <c r="I4" i="26"/>
  <c r="G4" i="26"/>
  <c r="I3" i="27"/>
  <c r="G3" i="27"/>
  <c r="I3" i="28"/>
  <c r="G3" i="28"/>
  <c r="I4" i="28"/>
  <c r="G4" i="28"/>
  <c r="G3" i="29"/>
  <c r="I3" i="29"/>
  <c r="I4" i="29"/>
  <c r="G4" i="29"/>
  <c r="I3" i="30"/>
  <c r="G3" i="30"/>
  <c r="I4" i="30"/>
  <c r="G4" i="30"/>
  <c r="I3" i="7"/>
  <c r="G3" i="7"/>
  <c r="I2" i="5"/>
  <c r="G2" i="5"/>
  <c r="I2" i="6"/>
  <c r="G2" i="6"/>
  <c r="G2" i="12"/>
  <c r="I2" i="13"/>
  <c r="G2" i="13"/>
  <c r="I2" i="14"/>
  <c r="G2" i="14"/>
  <c r="I2" i="16"/>
  <c r="G2" i="16"/>
  <c r="I2" i="17"/>
  <c r="G2" i="17"/>
  <c r="I2" i="18"/>
  <c r="I2" i="19"/>
  <c r="G2" i="19"/>
  <c r="I2" i="22"/>
  <c r="G2" i="22"/>
  <c r="I2" i="25"/>
  <c r="G2" i="25"/>
  <c r="I2" i="27"/>
  <c r="G2" i="27"/>
  <c r="I2" i="28"/>
  <c r="G2" i="28"/>
  <c r="G2" i="29"/>
  <c r="I2" i="29"/>
  <c r="G2" i="30"/>
  <c r="I2" i="30"/>
  <c r="I2" i="7"/>
  <c r="G2" i="7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3" i="32"/>
  <c r="A4" i="32"/>
  <c r="A5" i="32"/>
  <c r="A6" i="32"/>
  <c r="A7" i="32"/>
  <c r="A8" i="32"/>
  <c r="A9" i="32"/>
  <c r="A10" i="32"/>
  <c r="A11" i="32"/>
  <c r="A12" i="32"/>
  <c r="A13" i="32"/>
  <c r="A14" i="32"/>
  <c r="A2" i="32"/>
  <c r="A40" i="23"/>
  <c r="A30" i="23"/>
  <c r="A10" i="19"/>
  <c r="A44" i="23"/>
  <c r="A2" i="26"/>
  <c r="I2" i="26"/>
  <c r="A35" i="23"/>
  <c r="A26" i="24"/>
  <c r="A3" i="24"/>
  <c r="I3" i="24"/>
  <c r="A15" i="24"/>
  <c r="I15" i="24"/>
  <c r="A11" i="24"/>
  <c r="I11" i="24"/>
  <c r="G11" i="24"/>
  <c r="A5" i="23"/>
  <c r="I5" i="23"/>
  <c r="A16" i="23"/>
  <c r="I16" i="23"/>
  <c r="G16" i="23"/>
  <c r="A10" i="23"/>
  <c r="A19" i="24"/>
  <c r="A50" i="23"/>
  <c r="A27" i="24"/>
  <c r="A19" i="19"/>
  <c r="I19" i="19"/>
  <c r="A42" i="23"/>
  <c r="A49" i="23"/>
  <c r="L27" i="2"/>
  <c r="K27" i="2"/>
  <c r="J27" i="2"/>
  <c r="L26" i="2"/>
  <c r="K26" i="2"/>
  <c r="J26" i="2"/>
  <c r="L25" i="2"/>
  <c r="K25" i="2"/>
  <c r="J25" i="2"/>
  <c r="L24" i="2"/>
  <c r="K24" i="2"/>
  <c r="J24" i="2"/>
  <c r="L23" i="2"/>
  <c r="K23" i="2"/>
  <c r="J23" i="2"/>
  <c r="L22" i="2"/>
  <c r="K22" i="2"/>
  <c r="J22" i="2"/>
  <c r="L21" i="2"/>
  <c r="K21" i="2"/>
  <c r="J21" i="2"/>
  <c r="L20" i="2"/>
  <c r="K20" i="2"/>
  <c r="J20" i="2"/>
  <c r="L19" i="2"/>
  <c r="K19" i="2"/>
  <c r="J19" i="2"/>
  <c r="L18" i="2"/>
  <c r="K18" i="2"/>
  <c r="J18" i="2"/>
  <c r="L17" i="2"/>
  <c r="K17" i="2"/>
  <c r="J17" i="2"/>
  <c r="L16" i="2"/>
  <c r="K16" i="2"/>
  <c r="J16" i="2"/>
  <c r="L15" i="2"/>
  <c r="K15" i="2"/>
  <c r="J15" i="2"/>
  <c r="L14" i="2"/>
  <c r="K14" i="2"/>
  <c r="J14" i="2"/>
  <c r="L13" i="2"/>
  <c r="K13" i="2"/>
  <c r="J13" i="2"/>
  <c r="L12" i="2"/>
  <c r="K12" i="2"/>
  <c r="J12" i="2"/>
  <c r="L11" i="2"/>
  <c r="K11" i="2"/>
  <c r="J11" i="2"/>
  <c r="L10" i="2"/>
  <c r="K10" i="2"/>
  <c r="J10" i="2"/>
  <c r="L9" i="2"/>
  <c r="K9" i="2"/>
  <c r="J9" i="2"/>
  <c r="L8" i="2"/>
  <c r="K8" i="2"/>
  <c r="J8" i="2"/>
  <c r="L7" i="2"/>
  <c r="K7" i="2"/>
  <c r="F7" i="2"/>
  <c r="L6" i="2"/>
  <c r="K6" i="2"/>
  <c r="J6" i="2"/>
  <c r="L5" i="2"/>
  <c r="K5" i="2"/>
  <c r="J5" i="2"/>
  <c r="L4" i="2"/>
  <c r="K4" i="2"/>
  <c r="J4" i="2"/>
  <c r="L3" i="2"/>
  <c r="K3" i="2"/>
  <c r="J3" i="2"/>
  <c r="L2" i="2"/>
  <c r="K2" i="2"/>
  <c r="J2" i="2"/>
  <c r="A30" i="20"/>
  <c r="I30" i="20"/>
  <c r="G30" i="20"/>
  <c r="A15" i="6"/>
  <c r="I15" i="6"/>
  <c r="A9" i="19"/>
  <c r="I9" i="19"/>
  <c r="G9" i="19"/>
  <c r="N4" i="2"/>
  <c r="A5" i="2"/>
  <c r="A25" i="25"/>
  <c r="I25" i="25"/>
  <c r="A23" i="23"/>
  <c r="I23" i="23"/>
  <c r="I40" i="23"/>
  <c r="A23" i="25"/>
  <c r="A53" i="23"/>
  <c r="A6" i="25"/>
  <c r="A2" i="23"/>
  <c r="A3" i="23"/>
  <c r="A3" i="25"/>
  <c r="A2" i="24"/>
  <c r="I30" i="23"/>
  <c r="G30" i="23"/>
  <c r="A6" i="14"/>
  <c r="I6" i="14"/>
  <c r="G6" i="14"/>
  <c r="A15" i="13"/>
  <c r="A9" i="15"/>
  <c r="A7" i="21"/>
  <c r="A11" i="23"/>
  <c r="A5" i="16"/>
  <c r="A5" i="20"/>
  <c r="I5" i="20"/>
  <c r="G5" i="20"/>
  <c r="A4" i="8"/>
  <c r="I4" i="8"/>
  <c r="G4" i="8"/>
  <c r="A5" i="18"/>
  <c r="I5" i="18"/>
  <c r="A15" i="25"/>
  <c r="A8" i="22"/>
  <c r="A12" i="21"/>
  <c r="A21" i="25"/>
  <c r="A12" i="15"/>
  <c r="I12" i="15"/>
  <c r="G12" i="15"/>
  <c r="A12" i="27"/>
  <c r="A17" i="23"/>
  <c r="A13" i="19"/>
  <c r="A32" i="21"/>
  <c r="A28" i="20"/>
  <c r="A35" i="19"/>
  <c r="A21" i="8"/>
  <c r="I21" i="8"/>
  <c r="G21" i="8"/>
  <c r="A32" i="18"/>
  <c r="A40" i="6"/>
  <c r="A43" i="23"/>
  <c r="A51" i="25"/>
  <c r="I51" i="25"/>
  <c r="A31" i="14"/>
  <c r="A26" i="15"/>
  <c r="A33" i="22"/>
  <c r="A13" i="13"/>
  <c r="I13" i="13"/>
  <c r="A10" i="27"/>
  <c r="I10" i="27"/>
  <c r="G10" i="27"/>
  <c r="A10" i="21"/>
  <c r="A4" i="15"/>
  <c r="A3" i="21"/>
  <c r="I3" i="21"/>
  <c r="A7" i="19"/>
  <c r="I7" i="19"/>
  <c r="G7" i="19"/>
  <c r="A5" i="22"/>
  <c r="I10" i="19"/>
  <c r="A7" i="23"/>
  <c r="I7" i="23"/>
  <c r="A3" i="20"/>
  <c r="A16" i="6"/>
  <c r="A4" i="16"/>
  <c r="A6" i="21"/>
  <c r="A7" i="15"/>
  <c r="A7" i="22"/>
  <c r="A8" i="25"/>
  <c r="I8" i="25"/>
  <c r="G8" i="25"/>
  <c r="A8" i="24"/>
  <c r="A6" i="19"/>
  <c r="I6" i="19"/>
  <c r="A19" i="9"/>
  <c r="I19" i="9"/>
  <c r="A40" i="25"/>
  <c r="I40" i="25"/>
  <c r="A19" i="26"/>
  <c r="I19" i="26"/>
  <c r="A21" i="28"/>
  <c r="A16" i="20"/>
  <c r="A22" i="21"/>
  <c r="I22" i="21"/>
  <c r="G22" i="21"/>
  <c r="A33" i="23"/>
  <c r="A20" i="14"/>
  <c r="I20" i="14"/>
  <c r="A21" i="24"/>
  <c r="I21" i="24"/>
  <c r="A22" i="22"/>
  <c r="A23" i="18"/>
  <c r="I23" i="18"/>
  <c r="G23" i="18"/>
  <c r="A17" i="17"/>
  <c r="I44" i="23"/>
  <c r="G44" i="23"/>
  <c r="A31" i="20"/>
  <c r="I31" i="20"/>
  <c r="G31" i="20"/>
  <c r="A35" i="21"/>
  <c r="A28" i="26"/>
  <c r="A38" i="19"/>
  <c r="A37" i="18"/>
  <c r="I37" i="18"/>
  <c r="G37" i="18"/>
  <c r="A29" i="24"/>
  <c r="I29" i="24"/>
  <c r="G29" i="24"/>
  <c r="A53" i="25"/>
  <c r="I53" i="25"/>
  <c r="A48" i="23"/>
  <c r="A29" i="14"/>
  <c r="I29" i="14"/>
  <c r="A29" i="9"/>
  <c r="A29" i="18"/>
  <c r="A18" i="24"/>
  <c r="A16" i="28"/>
  <c r="A24" i="20"/>
  <c r="I24" i="20"/>
  <c r="A22" i="17"/>
  <c r="A26" i="22"/>
  <c r="A15" i="26"/>
  <c r="I15" i="26"/>
  <c r="A28" i="23"/>
  <c r="A28" i="19"/>
  <c r="I28" i="19"/>
  <c r="G28" i="19"/>
  <c r="A29" i="21"/>
  <c r="A20" i="23"/>
  <c r="I20" i="23"/>
  <c r="A28" i="24"/>
  <c r="A20" i="22"/>
  <c r="A15" i="20"/>
  <c r="A14" i="26"/>
  <c r="I14" i="26"/>
  <c r="G14" i="26"/>
  <c r="A26" i="14"/>
  <c r="A19" i="17"/>
  <c r="I19" i="17"/>
  <c r="A20" i="25"/>
  <c r="I20" i="25"/>
  <c r="A37" i="23"/>
  <c r="A45" i="25"/>
  <c r="A27" i="22"/>
  <c r="A27" i="25"/>
  <c r="I27" i="25"/>
  <c r="A10" i="20"/>
  <c r="A9" i="26"/>
  <c r="A18" i="21"/>
  <c r="A15" i="5"/>
  <c r="A9" i="14"/>
  <c r="I9" i="14"/>
  <c r="A24" i="6"/>
  <c r="A46" i="6"/>
  <c r="I46" i="6"/>
  <c r="G46" i="6"/>
  <c r="A7" i="20"/>
  <c r="I7" i="20"/>
  <c r="G7" i="20"/>
  <c r="A16" i="21"/>
  <c r="A9" i="17"/>
  <c r="A18" i="22"/>
  <c r="A21" i="9"/>
  <c r="A30" i="25"/>
  <c r="A21" i="23"/>
  <c r="I21" i="23"/>
  <c r="G21" i="23"/>
  <c r="A11" i="12"/>
  <c r="I11" i="12"/>
  <c r="A11" i="26"/>
  <c r="I11" i="26"/>
  <c r="G11" i="26"/>
  <c r="A17" i="21"/>
  <c r="I17" i="21"/>
  <c r="A12" i="14"/>
  <c r="A16" i="18"/>
  <c r="A16" i="24"/>
  <c r="I16" i="24"/>
  <c r="A46" i="23"/>
  <c r="I46" i="23"/>
  <c r="A26" i="17"/>
  <c r="A24" i="9"/>
  <c r="A15" i="12"/>
  <c r="A27" i="26"/>
  <c r="I27" i="26"/>
  <c r="A29" i="20"/>
  <c r="A26" i="28"/>
  <c r="I26" i="28"/>
  <c r="G26" i="28"/>
  <c r="A34" i="18"/>
  <c r="A2" i="20"/>
  <c r="I2" i="20"/>
  <c r="G2" i="20"/>
  <c r="A3" i="22"/>
  <c r="A4" i="19"/>
  <c r="A2" i="21"/>
  <c r="A3" i="9"/>
  <c r="A4" i="24"/>
  <c r="I4" i="24"/>
  <c r="A2" i="10"/>
  <c r="I2" i="10"/>
  <c r="I35" i="23"/>
  <c r="G35" i="23"/>
  <c r="I10" i="23"/>
  <c r="G10" i="23"/>
  <c r="A19" i="25"/>
  <c r="A18" i="19"/>
  <c r="I19" i="24"/>
  <c r="G19" i="24"/>
  <c r="I50" i="23"/>
  <c r="G50" i="23"/>
  <c r="I27" i="24"/>
  <c r="G27" i="24"/>
  <c r="A48" i="25"/>
  <c r="A25" i="24"/>
  <c r="I25" i="24"/>
  <c r="I42" i="23"/>
  <c r="G42" i="23"/>
  <c r="I49" i="23"/>
  <c r="G49" i="23"/>
  <c r="A4" i="25"/>
  <c r="A4" i="23"/>
  <c r="A5" i="25"/>
  <c r="A6" i="23"/>
  <c r="N5" i="2"/>
  <c r="A6" i="2"/>
  <c r="I23" i="25"/>
  <c r="G23" i="25"/>
  <c r="I53" i="23"/>
  <c r="G53" i="23"/>
  <c r="I6" i="25"/>
  <c r="G6" i="25"/>
  <c r="I2" i="23"/>
  <c r="G2" i="23"/>
  <c r="I3" i="23"/>
  <c r="G3" i="23"/>
  <c r="I3" i="25"/>
  <c r="G3" i="25"/>
  <c r="I2" i="24"/>
  <c r="G2" i="24"/>
  <c r="I15" i="13"/>
  <c r="G15" i="13"/>
  <c r="I9" i="15"/>
  <c r="G9" i="15"/>
  <c r="I11" i="23"/>
  <c r="G11" i="23"/>
  <c r="I5" i="16"/>
  <c r="G5" i="16"/>
  <c r="I8" i="22"/>
  <c r="G8" i="22"/>
  <c r="I12" i="21"/>
  <c r="G12" i="21"/>
  <c r="I12" i="27"/>
  <c r="G12" i="27"/>
  <c r="I17" i="23"/>
  <c r="G17" i="23"/>
  <c r="I13" i="19"/>
  <c r="G13" i="19"/>
  <c r="I32" i="21"/>
  <c r="G32" i="21"/>
  <c r="I28" i="20"/>
  <c r="G28" i="20"/>
  <c r="I35" i="19"/>
  <c r="G35" i="19"/>
  <c r="I32" i="18"/>
  <c r="G32" i="18"/>
  <c r="I40" i="6"/>
  <c r="G40" i="6"/>
  <c r="I31" i="14"/>
  <c r="G31" i="14"/>
  <c r="I26" i="15"/>
  <c r="G26" i="15"/>
  <c r="I33" i="22"/>
  <c r="G33" i="22"/>
  <c r="I10" i="21"/>
  <c r="G10" i="21"/>
  <c r="I4" i="15"/>
  <c r="G4" i="15"/>
  <c r="I5" i="22"/>
  <c r="G5" i="22"/>
  <c r="I3" i="20"/>
  <c r="G3" i="20"/>
  <c r="I16" i="6"/>
  <c r="G16" i="6"/>
  <c r="I4" i="16"/>
  <c r="G4" i="16"/>
  <c r="I6" i="21"/>
  <c r="G6" i="21"/>
  <c r="I7" i="15"/>
  <c r="G7" i="15"/>
  <c r="I7" i="22"/>
  <c r="G7" i="22"/>
  <c r="I21" i="28"/>
  <c r="G21" i="28"/>
  <c r="I16" i="20"/>
  <c r="G16" i="20"/>
  <c r="I33" i="23"/>
  <c r="G33" i="23"/>
  <c r="G21" i="24"/>
  <c r="I22" i="22"/>
  <c r="G22" i="22"/>
  <c r="I17" i="17"/>
  <c r="G17" i="17"/>
  <c r="I35" i="21"/>
  <c r="G35" i="21"/>
  <c r="I28" i="26"/>
  <c r="G28" i="26"/>
  <c r="I38" i="19"/>
  <c r="G38" i="19"/>
  <c r="I29" i="9"/>
  <c r="G29" i="9"/>
  <c r="I29" i="18"/>
  <c r="G29" i="18"/>
  <c r="I18" i="24"/>
  <c r="G18" i="24"/>
  <c r="I16" i="28"/>
  <c r="G16" i="28"/>
  <c r="I22" i="17"/>
  <c r="G22" i="17"/>
  <c r="I26" i="22"/>
  <c r="G26" i="22"/>
  <c r="I28" i="23"/>
  <c r="G28" i="23"/>
  <c r="I29" i="21"/>
  <c r="G29" i="21"/>
  <c r="I28" i="24"/>
  <c r="G28" i="24"/>
  <c r="I20" i="22"/>
  <c r="G20" i="22"/>
  <c r="I15" i="20"/>
  <c r="G15" i="20"/>
  <c r="I26" i="14"/>
  <c r="G26" i="14"/>
  <c r="G19" i="17"/>
  <c r="I45" i="25"/>
  <c r="G45" i="25"/>
  <c r="I27" i="22"/>
  <c r="G27" i="22"/>
  <c r="I18" i="21"/>
  <c r="G18" i="21"/>
  <c r="I15" i="5"/>
  <c r="G15" i="5"/>
  <c r="G9" i="14"/>
  <c r="I24" i="6"/>
  <c r="G24" i="6"/>
  <c r="I9" i="17"/>
  <c r="G9" i="17"/>
  <c r="I18" i="22"/>
  <c r="G18" i="22"/>
  <c r="I21" i="9"/>
  <c r="G21" i="9"/>
  <c r="I30" i="25"/>
  <c r="G30" i="25"/>
  <c r="I12" i="14"/>
  <c r="G12" i="14"/>
  <c r="I16" i="18"/>
  <c r="G16" i="18"/>
  <c r="I24" i="9"/>
  <c r="G24" i="9"/>
  <c r="I15" i="12"/>
  <c r="G15" i="12"/>
  <c r="I29" i="20"/>
  <c r="G29" i="20"/>
  <c r="I34" i="18"/>
  <c r="G34" i="18"/>
  <c r="I3" i="22"/>
  <c r="G3" i="22"/>
  <c r="I4" i="19"/>
  <c r="G4" i="19"/>
  <c r="I2" i="21"/>
  <c r="G2" i="21"/>
  <c r="I3" i="9"/>
  <c r="G3" i="9"/>
  <c r="I34" i="20"/>
  <c r="G34" i="20"/>
  <c r="G4" i="24"/>
  <c r="I19" i="25"/>
  <c r="G19" i="25"/>
  <c r="I18" i="19"/>
  <c r="G18" i="19"/>
  <c r="I4" i="25"/>
  <c r="G4" i="25"/>
  <c r="I4" i="23"/>
  <c r="G4" i="23"/>
  <c r="I5" i="25"/>
  <c r="G5" i="25"/>
  <c r="I6" i="23"/>
  <c r="G6" i="23"/>
  <c r="N6" i="2"/>
  <c r="A7" i="2"/>
  <c r="N7" i="2"/>
  <c r="A8" i="2"/>
  <c r="A9" i="2"/>
  <c r="N8" i="2"/>
  <c r="N9" i="2"/>
  <c r="A10" i="2"/>
  <c r="A11" i="2"/>
  <c r="N10" i="2"/>
  <c r="N11" i="2"/>
  <c r="A12" i="2"/>
  <c r="N12" i="2"/>
  <c r="A13" i="2"/>
  <c r="N13" i="2"/>
  <c r="A14" i="2"/>
  <c r="N14" i="2"/>
  <c r="A15" i="2"/>
  <c r="N15" i="2"/>
  <c r="A16" i="2"/>
  <c r="A17" i="2"/>
  <c r="N16" i="2"/>
  <c r="N17" i="2"/>
  <c r="A18" i="2"/>
  <c r="N18" i="2"/>
  <c r="A19" i="2"/>
  <c r="A20" i="2"/>
  <c r="N19" i="2"/>
  <c r="N20" i="2"/>
  <c r="A21" i="2"/>
  <c r="A22" i="2"/>
  <c r="N21" i="2"/>
  <c r="A23" i="2"/>
  <c r="N22" i="2"/>
  <c r="A24" i="2"/>
  <c r="N23" i="2"/>
  <c r="N24" i="2"/>
  <c r="A25" i="2"/>
  <c r="N25" i="2"/>
  <c r="A26" i="2"/>
  <c r="A27" i="2"/>
  <c r="N27" i="2"/>
  <c r="N26" i="2"/>
  <c r="G58" i="25"/>
  <c r="I15" i="25"/>
  <c r="G15" i="25"/>
  <c r="I21" i="25"/>
  <c r="G21" i="25"/>
  <c r="I9" i="26"/>
  <c r="G9" i="26"/>
  <c r="G23" i="23"/>
  <c r="I88" i="7"/>
  <c r="I73" i="29"/>
  <c r="I57" i="29"/>
  <c r="I36" i="29"/>
  <c r="I22" i="29"/>
  <c r="G2" i="18"/>
  <c r="I4" i="27"/>
  <c r="G4" i="27"/>
  <c r="G71" i="7"/>
  <c r="I71" i="7"/>
  <c r="I68" i="30"/>
  <c r="G68" i="30"/>
  <c r="G48" i="30"/>
  <c r="I48" i="30"/>
  <c r="G8" i="30"/>
  <c r="I8" i="30"/>
  <c r="G85" i="29"/>
  <c r="I85" i="29"/>
  <c r="G65" i="29"/>
  <c r="I65" i="29"/>
  <c r="I20" i="28"/>
  <c r="G20" i="28"/>
  <c r="I36" i="27"/>
  <c r="G36" i="27"/>
  <c r="I15" i="27"/>
  <c r="G15" i="27"/>
  <c r="I50" i="26"/>
  <c r="G50" i="26"/>
  <c r="I30" i="26"/>
  <c r="G30" i="26"/>
  <c r="G60" i="25"/>
  <c r="I60" i="25"/>
  <c r="I34" i="25"/>
  <c r="G34" i="25"/>
  <c r="G59" i="24"/>
  <c r="I59" i="24"/>
  <c r="I84" i="23"/>
  <c r="G84" i="23"/>
  <c r="G64" i="23"/>
  <c r="I64" i="23"/>
  <c r="I37" i="22"/>
  <c r="G37" i="22"/>
  <c r="G24" i="20"/>
  <c r="I37" i="23"/>
  <c r="G37" i="23"/>
  <c r="I48" i="23"/>
  <c r="G48" i="23"/>
  <c r="I33" i="27"/>
  <c r="G33" i="27"/>
  <c r="G47" i="20"/>
  <c r="G20" i="25"/>
  <c r="G53" i="25"/>
  <c r="G20" i="14"/>
  <c r="G5" i="18"/>
  <c r="G5" i="23"/>
  <c r="I99" i="7"/>
  <c r="G87" i="7"/>
  <c r="G63" i="7"/>
  <c r="I51" i="7"/>
  <c r="G99" i="28"/>
  <c r="I34" i="28"/>
  <c r="G81" i="26"/>
  <c r="G38" i="26"/>
  <c r="G56" i="25"/>
  <c r="I101" i="21"/>
  <c r="I61" i="21"/>
  <c r="G20" i="29"/>
  <c r="I57" i="22"/>
  <c r="I2" i="8"/>
  <c r="G2" i="8"/>
  <c r="I10" i="20"/>
  <c r="G10" i="20"/>
  <c r="I48" i="25"/>
  <c r="G48" i="25"/>
  <c r="G27" i="23"/>
  <c r="G17" i="21"/>
  <c r="G15" i="26"/>
  <c r="G62" i="7"/>
  <c r="G98" i="28"/>
  <c r="G33" i="28"/>
  <c r="G31" i="27"/>
  <c r="G70" i="22"/>
  <c r="I20" i="20"/>
  <c r="G20" i="20"/>
  <c r="G28" i="7"/>
  <c r="I28" i="7"/>
  <c r="I8" i="7"/>
  <c r="G8" i="7"/>
  <c r="G45" i="30"/>
  <c r="I45" i="30"/>
  <c r="I5" i="30"/>
  <c r="G5" i="30"/>
  <c r="G82" i="29"/>
  <c r="I82" i="29"/>
  <c r="G42" i="29"/>
  <c r="I42" i="29"/>
  <c r="G79" i="28"/>
  <c r="I79" i="28"/>
  <c r="I96" i="24"/>
  <c r="G96" i="24"/>
  <c r="G36" i="24"/>
  <c r="I36" i="24"/>
  <c r="G101" i="23"/>
  <c r="I101" i="23"/>
  <c r="G54" i="22"/>
  <c r="I54" i="22"/>
  <c r="G15" i="24"/>
  <c r="G17" i="28"/>
  <c r="I73" i="27"/>
  <c r="G7" i="7"/>
  <c r="G84" i="30"/>
  <c r="I84" i="30"/>
  <c r="G44" i="30"/>
  <c r="I44" i="30"/>
  <c r="I101" i="29"/>
  <c r="G101" i="29"/>
  <c r="I81" i="29"/>
  <c r="G81" i="29"/>
  <c r="G41" i="29"/>
  <c r="I41" i="29"/>
  <c r="I21" i="29"/>
  <c r="G21" i="29"/>
  <c r="G15" i="28"/>
  <c r="G92" i="27"/>
  <c r="I92" i="27"/>
  <c r="G32" i="27"/>
  <c r="I86" i="26"/>
  <c r="G86" i="26"/>
  <c r="G66" i="26"/>
  <c r="I66" i="26"/>
  <c r="I96" i="25"/>
  <c r="G96" i="25"/>
  <c r="I95" i="24"/>
  <c r="G95" i="24"/>
  <c r="G75" i="24"/>
  <c r="I75" i="24"/>
  <c r="I35" i="24"/>
  <c r="G35" i="24"/>
  <c r="I60" i="23"/>
  <c r="G60" i="23"/>
  <c r="G26" i="23"/>
  <c r="G93" i="22"/>
  <c r="I93" i="22"/>
  <c r="I53" i="22"/>
  <c r="G53" i="22"/>
  <c r="I32" i="22"/>
  <c r="G32" i="22"/>
  <c r="G100" i="21"/>
  <c r="I100" i="21"/>
  <c r="I13" i="21"/>
  <c r="G13" i="21"/>
  <c r="G57" i="25"/>
  <c r="I61" i="23"/>
  <c r="G61" i="23"/>
  <c r="G94" i="22"/>
  <c r="I94" i="22"/>
  <c r="I14" i="21"/>
  <c r="G14" i="21"/>
  <c r="G2" i="10"/>
  <c r="G11" i="12"/>
  <c r="G2" i="15"/>
  <c r="G23" i="7"/>
  <c r="G67" i="20"/>
  <c r="G83" i="30"/>
  <c r="I83" i="30"/>
  <c r="I80" i="29"/>
  <c r="G80" i="29"/>
  <c r="I97" i="28"/>
  <c r="G97" i="28"/>
  <c r="I57" i="28"/>
  <c r="G57" i="28"/>
  <c r="I37" i="28"/>
  <c r="G37" i="28"/>
  <c r="G71" i="27"/>
  <c r="I71" i="27"/>
  <c r="I51" i="27"/>
  <c r="G51" i="27"/>
  <c r="I85" i="26"/>
  <c r="G85" i="26"/>
  <c r="I65" i="26"/>
  <c r="G65" i="26"/>
  <c r="G95" i="25"/>
  <c r="I95" i="25"/>
  <c r="I75" i="25"/>
  <c r="G75" i="25"/>
  <c r="I99" i="23"/>
  <c r="G99" i="23"/>
  <c r="I25" i="23"/>
  <c r="G25" i="23"/>
  <c r="I31" i="22"/>
  <c r="G31" i="22"/>
  <c r="I99" i="21"/>
  <c r="G99" i="21"/>
  <c r="G79" i="21"/>
  <c r="I79" i="21"/>
  <c r="I11" i="21"/>
  <c r="G11" i="21"/>
  <c r="G85" i="20"/>
  <c r="I85" i="20"/>
  <c r="I11" i="27"/>
  <c r="G11" i="27"/>
  <c r="G87" i="26"/>
  <c r="I87" i="26"/>
  <c r="I25" i="26"/>
  <c r="G25" i="26"/>
  <c r="G97" i="25"/>
  <c r="I97" i="25"/>
  <c r="G76" i="24"/>
  <c r="I76" i="24"/>
  <c r="I34" i="22"/>
  <c r="G34" i="22"/>
  <c r="G13" i="13"/>
  <c r="G27" i="26"/>
  <c r="G3" i="24"/>
  <c r="I59" i="28"/>
  <c r="G84" i="27"/>
  <c r="G28" i="27"/>
  <c r="I67" i="26"/>
  <c r="G31" i="25"/>
  <c r="G81" i="23"/>
  <c r="G85" i="30"/>
  <c r="I82" i="30"/>
  <c r="G82" i="30"/>
  <c r="G22" i="30"/>
  <c r="I22" i="30"/>
  <c r="G79" i="29"/>
  <c r="I79" i="29"/>
  <c r="I39" i="29"/>
  <c r="G39" i="29"/>
  <c r="G19" i="29"/>
  <c r="I19" i="29"/>
  <c r="I76" i="28"/>
  <c r="G76" i="28"/>
  <c r="I36" i="28"/>
  <c r="G36" i="28"/>
  <c r="I70" i="27"/>
  <c r="G70" i="27"/>
  <c r="I50" i="27"/>
  <c r="G50" i="27"/>
  <c r="I84" i="26"/>
  <c r="G84" i="26"/>
  <c r="G94" i="25"/>
  <c r="I94" i="25"/>
  <c r="I73" i="24"/>
  <c r="G73" i="24"/>
  <c r="I98" i="23"/>
  <c r="G98" i="23"/>
  <c r="G78" i="23"/>
  <c r="I78" i="23"/>
  <c r="I24" i="23"/>
  <c r="G24" i="23"/>
  <c r="G91" i="22"/>
  <c r="I91" i="22"/>
  <c r="G51" i="22"/>
  <c r="I51" i="22"/>
  <c r="G30" i="22"/>
  <c r="I98" i="21"/>
  <c r="G98" i="21"/>
  <c r="I9" i="21"/>
  <c r="G9" i="21"/>
  <c r="G84" i="20"/>
  <c r="I84" i="20"/>
  <c r="I64" i="20"/>
  <c r="G64" i="20"/>
  <c r="G3" i="10"/>
  <c r="I80" i="30"/>
  <c r="G65" i="30"/>
  <c r="G3" i="19"/>
  <c r="G81" i="30"/>
  <c r="I81" i="30"/>
  <c r="G61" i="30"/>
  <c r="I61" i="30"/>
  <c r="I21" i="30"/>
  <c r="G21" i="30"/>
  <c r="I58" i="29"/>
  <c r="G58" i="29"/>
  <c r="I38" i="29"/>
  <c r="G38" i="29"/>
  <c r="I18" i="29"/>
  <c r="G18" i="29"/>
  <c r="I95" i="28"/>
  <c r="G95" i="28"/>
  <c r="G55" i="28"/>
  <c r="I55" i="28"/>
  <c r="I63" i="26"/>
  <c r="G63" i="26"/>
  <c r="I93" i="25"/>
  <c r="G93" i="25"/>
  <c r="G73" i="25"/>
  <c r="I73" i="25"/>
  <c r="G72" i="24"/>
  <c r="I72" i="24"/>
  <c r="I97" i="23"/>
  <c r="G97" i="23"/>
  <c r="I22" i="23"/>
  <c r="G22" i="23"/>
  <c r="G90" i="22"/>
  <c r="I90" i="22"/>
  <c r="I50" i="22"/>
  <c r="G50" i="22"/>
  <c r="I97" i="21"/>
  <c r="G97" i="21"/>
  <c r="I77" i="21"/>
  <c r="G77" i="21"/>
  <c r="I8" i="21"/>
  <c r="G8" i="21"/>
  <c r="I83" i="20"/>
  <c r="G83" i="20"/>
  <c r="G63" i="20"/>
  <c r="I63" i="20"/>
  <c r="G14" i="20"/>
  <c r="G4" i="18"/>
  <c r="I60" i="30"/>
  <c r="G60" i="30"/>
  <c r="I20" i="30"/>
  <c r="G20" i="30"/>
  <c r="G77" i="29"/>
  <c r="I77" i="29"/>
  <c r="I17" i="29"/>
  <c r="G17" i="29"/>
  <c r="G62" i="26"/>
  <c r="I62" i="26"/>
  <c r="I72" i="25"/>
  <c r="G72" i="25"/>
  <c r="I50" i="25"/>
  <c r="G50" i="25"/>
  <c r="G71" i="24"/>
  <c r="I71" i="24"/>
  <c r="G96" i="23"/>
  <c r="I96" i="23"/>
  <c r="G76" i="23"/>
  <c r="I76" i="23"/>
  <c r="I19" i="23"/>
  <c r="G19" i="23"/>
  <c r="I89" i="22"/>
  <c r="G89" i="22"/>
  <c r="G69" i="22"/>
  <c r="I69" i="22"/>
  <c r="I96" i="21"/>
  <c r="G96" i="21"/>
  <c r="G76" i="21"/>
  <c r="I76" i="21"/>
  <c r="G56" i="21"/>
  <c r="I56" i="21"/>
  <c r="G36" i="21"/>
  <c r="G5" i="21"/>
  <c r="I99" i="30"/>
  <c r="G99" i="30"/>
  <c r="I79" i="30"/>
  <c r="G79" i="30"/>
  <c r="G59" i="30"/>
  <c r="I59" i="30"/>
  <c r="G19" i="30"/>
  <c r="I19" i="30"/>
  <c r="G56" i="29"/>
  <c r="I56" i="29"/>
  <c r="I16" i="29"/>
  <c r="G16" i="29"/>
  <c r="G10" i="28"/>
  <c r="G47" i="27"/>
  <c r="I47" i="27"/>
  <c r="G27" i="27"/>
  <c r="G61" i="26"/>
  <c r="I61" i="26"/>
  <c r="I41" i="26"/>
  <c r="G41" i="26"/>
  <c r="G71" i="25"/>
  <c r="I71" i="25"/>
  <c r="I18" i="25"/>
  <c r="G18" i="25"/>
  <c r="I95" i="23"/>
  <c r="G95" i="23"/>
  <c r="G18" i="23"/>
  <c r="I48" i="22"/>
  <c r="G48" i="22"/>
  <c r="G25" i="22"/>
  <c r="I82" i="7"/>
  <c r="I53" i="28"/>
  <c r="G47" i="26"/>
  <c r="I81" i="21"/>
  <c r="G100" i="30"/>
  <c r="I41" i="30"/>
  <c r="G25" i="30"/>
  <c r="I2" i="11"/>
  <c r="G11" i="28"/>
  <c r="G63" i="30"/>
  <c r="I24" i="30"/>
  <c r="I3" i="18"/>
  <c r="G3" i="18"/>
  <c r="I8" i="24"/>
  <c r="G8" i="24"/>
  <c r="G2" i="9"/>
  <c r="I24" i="27"/>
  <c r="G24" i="27"/>
  <c r="I98" i="26"/>
  <c r="G98" i="26"/>
  <c r="I44" i="25"/>
  <c r="G44" i="25"/>
  <c r="I13" i="25"/>
  <c r="G13" i="25"/>
  <c r="G47" i="24"/>
  <c r="I47" i="24"/>
  <c r="G22" i="24"/>
  <c r="I72" i="23"/>
  <c r="G72" i="23"/>
  <c r="G51" i="23"/>
  <c r="I65" i="22"/>
  <c r="G65" i="22"/>
  <c r="I45" i="22"/>
  <c r="G45" i="22"/>
  <c r="I40" i="30"/>
  <c r="I59" i="7"/>
  <c r="G59" i="7"/>
  <c r="I13" i="26"/>
  <c r="G13" i="26"/>
  <c r="I43" i="23"/>
  <c r="G43" i="23"/>
  <c r="I7" i="21"/>
  <c r="G7" i="21"/>
  <c r="G67" i="7"/>
  <c r="G93" i="27"/>
  <c r="G5" i="27"/>
  <c r="G90" i="26"/>
  <c r="G44" i="26"/>
  <c r="G67" i="24"/>
  <c r="G75" i="23"/>
  <c r="I39" i="30"/>
  <c r="I99" i="29"/>
  <c r="I92" i="22"/>
  <c r="G77" i="22"/>
  <c r="G46" i="23"/>
  <c r="G27" i="25"/>
  <c r="G7" i="23"/>
  <c r="G51" i="25"/>
  <c r="G25" i="25"/>
  <c r="G10" i="19"/>
  <c r="G3" i="6"/>
  <c r="G42" i="7"/>
  <c r="G31" i="7"/>
  <c r="G5" i="7"/>
  <c r="G78" i="28"/>
  <c r="G91" i="27"/>
  <c r="I64" i="27"/>
  <c r="I53" i="27"/>
  <c r="G22" i="25"/>
  <c r="I51" i="24"/>
  <c r="G29" i="22"/>
  <c r="I88" i="22"/>
  <c r="I26" i="17"/>
  <c r="G26" i="17"/>
  <c r="G68" i="7"/>
  <c r="G19" i="7"/>
  <c r="I96" i="30"/>
  <c r="G96" i="30"/>
  <c r="I36" i="30"/>
  <c r="G36" i="30"/>
  <c r="G93" i="29"/>
  <c r="I93" i="29"/>
  <c r="G53" i="29"/>
  <c r="I53" i="29"/>
  <c r="G33" i="29"/>
  <c r="I33" i="29"/>
  <c r="G40" i="25"/>
  <c r="G20" i="23"/>
  <c r="G16" i="24"/>
  <c r="G19" i="9"/>
  <c r="G15" i="6"/>
  <c r="G4" i="5"/>
  <c r="G79" i="7"/>
  <c r="I77" i="28"/>
  <c r="G50" i="28"/>
  <c r="I90" i="27"/>
  <c r="I101" i="26"/>
  <c r="I43" i="26"/>
  <c r="I99" i="24"/>
  <c r="I50" i="24"/>
  <c r="I58" i="23"/>
  <c r="G32" i="23"/>
  <c r="G41" i="21"/>
  <c r="I87" i="20"/>
  <c r="G56" i="30"/>
  <c r="I98" i="29"/>
  <c r="G78" i="29"/>
  <c r="I62" i="29"/>
  <c r="I25" i="29"/>
  <c r="G3" i="5"/>
  <c r="G39" i="28"/>
  <c r="G7" i="28"/>
  <c r="G42" i="26"/>
  <c r="I88" i="25"/>
  <c r="G77" i="25"/>
  <c r="I16" i="30"/>
  <c r="I76" i="29"/>
  <c r="I61" i="29"/>
  <c r="I45" i="29"/>
  <c r="I26" i="24"/>
  <c r="G26" i="24"/>
  <c r="G40" i="23"/>
  <c r="G25" i="24"/>
  <c r="I16" i="21"/>
  <c r="G16" i="21"/>
  <c r="G29" i="14"/>
  <c r="G6" i="19"/>
  <c r="G3" i="21"/>
  <c r="G3" i="26"/>
  <c r="G91" i="7"/>
  <c r="G74" i="28"/>
  <c r="I49" i="27"/>
  <c r="G76" i="25"/>
  <c r="I34" i="24"/>
  <c r="I97" i="29"/>
  <c r="G40" i="29"/>
  <c r="G74" i="22"/>
  <c r="G19" i="26"/>
  <c r="G2" i="26"/>
  <c r="G4" i="7"/>
  <c r="G4" i="22"/>
  <c r="G73" i="28"/>
  <c r="G88" i="27"/>
  <c r="I48" i="27"/>
  <c r="G96" i="29"/>
  <c r="G60" i="29"/>
  <c r="I37" i="29"/>
  <c r="G19" i="19"/>
  <c r="I39" i="7"/>
  <c r="G23" i="26"/>
  <c r="I93" i="24"/>
  <c r="G32" i="24"/>
  <c r="G55" i="23"/>
  <c r="G59" i="29"/>
  <c r="G85" i="22"/>
  <c r="I72" i="22"/>
  <c r="G7" i="30"/>
  <c r="I7" i="30"/>
  <c r="G39" i="18"/>
  <c r="G88" i="19"/>
  <c r="I88" i="19"/>
  <c r="G25" i="19"/>
  <c r="I82" i="20"/>
  <c r="G82" i="20"/>
  <c r="G42" i="20"/>
  <c r="I42" i="20"/>
  <c r="G21" i="22"/>
  <c r="G86" i="30"/>
  <c r="G84" i="29"/>
  <c r="I71" i="29"/>
  <c r="I57" i="30"/>
  <c r="G57" i="30"/>
  <c r="G37" i="30"/>
  <c r="I37" i="30"/>
  <c r="I74" i="29"/>
  <c r="G74" i="29"/>
  <c r="G14" i="25"/>
  <c r="G14" i="23"/>
  <c r="G47" i="30"/>
  <c r="G44" i="29"/>
  <c r="G28" i="28"/>
  <c r="G5" i="28"/>
  <c r="G42" i="27"/>
  <c r="G22" i="27"/>
  <c r="G46" i="30"/>
  <c r="G43" i="29"/>
  <c r="G30" i="29"/>
  <c r="I55" i="22"/>
  <c r="G19" i="20"/>
  <c r="I90" i="7"/>
  <c r="I49" i="7"/>
  <c r="G19" i="28"/>
  <c r="G35" i="27"/>
  <c r="G94" i="30"/>
  <c r="I32" i="25"/>
  <c r="G32" i="25"/>
  <c r="I18" i="20"/>
  <c r="G18" i="20"/>
  <c r="G91" i="29"/>
  <c r="I28" i="29"/>
  <c r="G12" i="22"/>
  <c r="G33" i="18"/>
  <c r="G13" i="24"/>
  <c r="G39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<sst xmlns="http://schemas.openxmlformats.org/spreadsheetml/2006/main" count="4517" uniqueCount="674">
  <si>
    <t>Mike Ives</t>
  </si>
  <si>
    <t>Prepared for 2016 season</t>
  </si>
  <si>
    <t>M</t>
  </si>
  <si>
    <t>Date</t>
  </si>
  <si>
    <t>Start time</t>
  </si>
  <si>
    <t>Event Name</t>
  </si>
  <si>
    <t>Miles</t>
  </si>
  <si>
    <t>Location / Course</t>
  </si>
  <si>
    <t xml:space="preserve">	Club Championship</t>
  </si>
  <si>
    <t xml:space="preserve">	Non-Standard 10</t>
  </si>
  <si>
    <t xml:space="preserve">	Evening 10</t>
  </si>
  <si>
    <t xml:space="preserve">	Hard Ride Series</t>
  </si>
  <si>
    <t>18:30</t>
  </si>
  <si>
    <t>Medbourne 9.5mile Hardride TT</t>
  </si>
  <si>
    <t>Medbourne</t>
  </si>
  <si>
    <t>Y</t>
  </si>
  <si>
    <t>09:00</t>
  </si>
  <si>
    <t>Medbourne 9.5mile NDCA Hardride TT</t>
  </si>
  <si>
    <t>Hallaton 5 5mile TT</t>
  </si>
  <si>
    <t>Hallaton 5</t>
  </si>
  <si>
    <t>08:00</t>
  </si>
  <si>
    <t>Kibworth 25mile TT</t>
  </si>
  <si>
    <t>Kibworth</t>
  </si>
  <si>
    <t>Tour of Langtons 10mile TT</t>
  </si>
  <si>
    <t>Tour of Langtons</t>
  </si>
  <si>
    <t>Tur Langton/Hallaton 5+5mile TT</t>
  </si>
  <si>
    <t>Tur Langton/Hallaton</t>
  </si>
  <si>
    <t>19:00</t>
  </si>
  <si>
    <t>Kibworth 10mile TT</t>
  </si>
  <si>
    <t>19:30</t>
  </si>
  <si>
    <t>Walcote Interclub 25mile Hardride TT</t>
  </si>
  <si>
    <t>Walcote</t>
  </si>
  <si>
    <t>11:00</t>
  </si>
  <si>
    <t xml:space="preserve">Caldecott 10mile TT </t>
  </si>
  <si>
    <t>Caldecott</t>
  </si>
  <si>
    <t>Lubenham 10mile TT</t>
  </si>
  <si>
    <t>Lubenham</t>
  </si>
  <si>
    <t>Wolvey 10mile TT</t>
  </si>
  <si>
    <t>Wolvey</t>
  </si>
  <si>
    <t>Wymeswold 10mile TT</t>
  </si>
  <si>
    <t>Wymeswold</t>
  </si>
  <si>
    <t>Interclub Hillclimb RFW</t>
  </si>
  <si>
    <t xml:space="preserve">Nevill Holt </t>
  </si>
  <si>
    <t>Thorpe Langton 10mile TT</t>
  </si>
  <si>
    <t>Thorpe Langton</t>
  </si>
  <si>
    <t>10:00</t>
  </si>
  <si>
    <t xml:space="preserve"> </t>
  </si>
  <si>
    <t>S</t>
  </si>
  <si>
    <t>Surname</t>
  </si>
  <si>
    <t>Abbott</t>
  </si>
  <si>
    <t>John</t>
  </si>
  <si>
    <t>James</t>
  </si>
  <si>
    <t>Adcock</t>
  </si>
  <si>
    <t>David</t>
  </si>
  <si>
    <t>Ainsley</t>
  </si>
  <si>
    <t>Emma</t>
  </si>
  <si>
    <t>Akoslovski</t>
  </si>
  <si>
    <t>Kath</t>
  </si>
  <si>
    <t>Alden</t>
  </si>
  <si>
    <t>Steve</t>
  </si>
  <si>
    <t>First Claim</t>
  </si>
  <si>
    <t>Aldridge</t>
  </si>
  <si>
    <t>Ian</t>
  </si>
  <si>
    <t>Allen</t>
  </si>
  <si>
    <t>Roland</t>
  </si>
  <si>
    <t>Allitt</t>
  </si>
  <si>
    <t>Chris</t>
  </si>
  <si>
    <t>Andrew</t>
  </si>
  <si>
    <t>Ashwell</t>
  </si>
  <si>
    <t>Gary</t>
  </si>
  <si>
    <t>Askham</t>
  </si>
  <si>
    <t>Simon</t>
  </si>
  <si>
    <t>Awdry</t>
  </si>
  <si>
    <t>Ollie</t>
  </si>
  <si>
    <t>Shaun</t>
  </si>
  <si>
    <t>Barnett</t>
  </si>
  <si>
    <t>Dean</t>
  </si>
  <si>
    <t>Vic</t>
  </si>
  <si>
    <t>Honorary</t>
  </si>
  <si>
    <t>George</t>
  </si>
  <si>
    <t>Barrett</t>
  </si>
  <si>
    <t>Paul</t>
  </si>
  <si>
    <t>Baxter</t>
  </si>
  <si>
    <t>Lydia</t>
  </si>
  <si>
    <t>Sylvia</t>
  </si>
  <si>
    <t>Beach</t>
  </si>
  <si>
    <t>Ronald</t>
  </si>
  <si>
    <t>Peter</t>
  </si>
  <si>
    <t>Bennis</t>
  </si>
  <si>
    <t>Laoise</t>
  </si>
  <si>
    <t>Birch</t>
  </si>
  <si>
    <t>Dave</t>
  </si>
  <si>
    <t>Carol</t>
  </si>
  <si>
    <t>Blake</t>
  </si>
  <si>
    <t>Andy</t>
  </si>
  <si>
    <t>Bosence</t>
  </si>
  <si>
    <t>Mark</t>
  </si>
  <si>
    <t>Bowie</t>
  </si>
  <si>
    <t>Victor</t>
  </si>
  <si>
    <t>Bramford</t>
  </si>
  <si>
    <t>Bridgstock</t>
  </si>
  <si>
    <t>Anne</t>
  </si>
  <si>
    <t>Brundell</t>
  </si>
  <si>
    <t>Burke</t>
  </si>
  <si>
    <t>Jacob</t>
  </si>
  <si>
    <t>Max</t>
  </si>
  <si>
    <t>Michael</t>
  </si>
  <si>
    <t>Burgess</t>
  </si>
  <si>
    <t>Carter</t>
  </si>
  <si>
    <t>Jason</t>
  </si>
  <si>
    <t>Chapman</t>
  </si>
  <si>
    <t>Alison</t>
  </si>
  <si>
    <t>Clanfield</t>
  </si>
  <si>
    <t>Clarke</t>
  </si>
  <si>
    <t>Name</t>
  </si>
  <si>
    <t>Club</t>
  </si>
  <si>
    <t>Carl Dyson</t>
  </si>
  <si>
    <t>Aerologic</t>
  </si>
  <si>
    <t>Tommy Nolan</t>
  </si>
  <si>
    <t>Ashby ICC</t>
  </si>
  <si>
    <t>Cov Tri</t>
  </si>
  <si>
    <t>Simon Clarke</t>
  </si>
  <si>
    <t>Evan Collett Jnr</t>
  </si>
  <si>
    <t>KCC</t>
  </si>
  <si>
    <t>Harriet Hughes</t>
  </si>
  <si>
    <t>LFCC</t>
  </si>
  <si>
    <t>Mat Mabe</t>
  </si>
  <si>
    <t>Matt Finch</t>
  </si>
  <si>
    <t>Morris Mabe</t>
  </si>
  <si>
    <t>Sam Nettel</t>
  </si>
  <si>
    <t>Talles Medevives</t>
  </si>
  <si>
    <t>Dean Tacey</t>
  </si>
  <si>
    <t>LRC</t>
  </si>
  <si>
    <t>Chris Booth</t>
  </si>
  <si>
    <t>MOCC</t>
  </si>
  <si>
    <t>David Cooper</t>
  </si>
  <si>
    <t>Jamie Haines</t>
  </si>
  <si>
    <t>Lewis Cooper</t>
  </si>
  <si>
    <t>RAF Tri</t>
  </si>
  <si>
    <t>Alex Whitmore</t>
  </si>
  <si>
    <t>Brian Lincoln</t>
  </si>
  <si>
    <t>Chris Bonsor</t>
  </si>
  <si>
    <t>Chris Spray</t>
  </si>
  <si>
    <t>Ed Watson</t>
  </si>
  <si>
    <t>Mark Marmoy</t>
  </si>
  <si>
    <t>Mark Newton</t>
  </si>
  <si>
    <t>Marshall Briggs</t>
  </si>
  <si>
    <t>Paul Eden</t>
  </si>
  <si>
    <t>Sadie Murphy</t>
  </si>
  <si>
    <t>Steve Pearce</t>
  </si>
  <si>
    <t>Adam Wells</t>
  </si>
  <si>
    <t>RFW</t>
  </si>
  <si>
    <t>Alex Borrowman</t>
  </si>
  <si>
    <t>Chris Fowler</t>
  </si>
  <si>
    <t>Ethan Mitchell-Clarke</t>
  </si>
  <si>
    <t>Lynne Scofield</t>
  </si>
  <si>
    <t>Michael Carter</t>
  </si>
  <si>
    <t>Phil Wilkinson</t>
  </si>
  <si>
    <t>Adrian James</t>
  </si>
  <si>
    <t>Rugby RCC</t>
  </si>
  <si>
    <t>Carl Shaw</t>
  </si>
  <si>
    <t>Speedhub</t>
  </si>
  <si>
    <t>Oliver Searle</t>
  </si>
  <si>
    <t>St Ives CC</t>
  </si>
  <si>
    <t>Derek Lawlor</t>
  </si>
  <si>
    <t>Tyler Dyson</t>
  </si>
  <si>
    <t>H</t>
  </si>
  <si>
    <t>Roadbike?</t>
  </si>
  <si>
    <t>DNS/DNF/DQ</t>
  </si>
  <si>
    <t>Actual Time</t>
  </si>
  <si>
    <t>r</t>
  </si>
  <si>
    <t>Graham Doe</t>
  </si>
  <si>
    <t>Paul Pardoe</t>
  </si>
  <si>
    <t/>
  </si>
  <si>
    <t>George Fox</t>
  </si>
  <si>
    <t>Jamie Murray</t>
  </si>
  <si>
    <t>Oscar Smith</t>
  </si>
  <si>
    <t>Jack Eastman-Nye</t>
  </si>
  <si>
    <t>Chris Bradbury</t>
  </si>
  <si>
    <t>Paul Beattie</t>
  </si>
  <si>
    <t>Alex Barrowman</t>
  </si>
  <si>
    <t>Pete Bradshaw</t>
  </si>
  <si>
    <t>Diego Patteri</t>
  </si>
  <si>
    <t>Richard Golding</t>
  </si>
  <si>
    <t>Malcolm Smith</t>
  </si>
  <si>
    <t>Leah Cuthbertson</t>
  </si>
  <si>
    <t>Mark Tomlinson</t>
  </si>
  <si>
    <t>John Beckett</t>
  </si>
  <si>
    <t>Loz Staples</t>
  </si>
  <si>
    <t>ed Watson</t>
  </si>
  <si>
    <t>Carolyn Pfalzgraf</t>
  </si>
  <si>
    <t>Mike Deely</t>
  </si>
  <si>
    <t>David Morgan</t>
  </si>
  <si>
    <t>Philip Merritt</t>
  </si>
  <si>
    <t>David Creese</t>
  </si>
  <si>
    <t>Isaac Barral</t>
  </si>
  <si>
    <t>Bethany Spencer</t>
  </si>
  <si>
    <t>Noel Toone</t>
  </si>
  <si>
    <t>Hayley Moore</t>
  </si>
  <si>
    <t>Martin Webb</t>
  </si>
  <si>
    <t>Maria Cayford</t>
  </si>
  <si>
    <t>Des Roberts</t>
  </si>
  <si>
    <t>David Cook</t>
  </si>
  <si>
    <t>Terry Sykes</t>
  </si>
  <si>
    <t>Gregory Ashley</t>
  </si>
  <si>
    <t>DNS</t>
  </si>
  <si>
    <t>Cameron Walker</t>
  </si>
  <si>
    <t>Jack Patmore</t>
  </si>
  <si>
    <t>Steven Brierley</t>
  </si>
  <si>
    <t>Laurence Noble</t>
  </si>
  <si>
    <t>dnf</t>
  </si>
  <si>
    <t>James Brown</t>
  </si>
  <si>
    <t>N Joyce</t>
  </si>
  <si>
    <t>Miles Marr</t>
  </si>
  <si>
    <t>DNF</t>
  </si>
  <si>
    <t>dns</t>
  </si>
  <si>
    <t>Mike Deeley</t>
  </si>
  <si>
    <t>Chris Bonser</t>
  </si>
  <si>
    <t>Ian Parker</t>
  </si>
  <si>
    <t>Hudson Hendry</t>
  </si>
  <si>
    <t>Mike Weaver</t>
  </si>
  <si>
    <t>Ruth Dempsey</t>
  </si>
  <si>
    <t>Steve Wickham</t>
  </si>
  <si>
    <t>Shay Dempsey</t>
  </si>
  <si>
    <t>Lee Murray</t>
  </si>
  <si>
    <t>David Hill</t>
  </si>
  <si>
    <t>Ed Tarelli</t>
  </si>
  <si>
    <t>John Tracy</t>
  </si>
  <si>
    <t>Phil Wilikinson</t>
  </si>
  <si>
    <t>John Tracey</t>
  </si>
  <si>
    <t>Megan Cherry</t>
  </si>
  <si>
    <t>Martin Wright</t>
  </si>
  <si>
    <t>Guy Bibby</t>
  </si>
  <si>
    <t>Giles Brook</t>
  </si>
  <si>
    <t>Jeff Crowden</t>
  </si>
  <si>
    <t>Josh Brown</t>
  </si>
  <si>
    <t>Andy King</t>
  </si>
  <si>
    <t>Giles Cooper</t>
  </si>
  <si>
    <t>Graham Pigott</t>
  </si>
  <si>
    <t>Mike Higgins</t>
  </si>
  <si>
    <t>Stephen Comber</t>
  </si>
  <si>
    <t>Gregg Payne</t>
  </si>
  <si>
    <t>Paul Ryan</t>
  </si>
  <si>
    <t>Robert Mitchell</t>
  </si>
  <si>
    <t>Paul Russell</t>
  </si>
  <si>
    <t>Jim Vernon</t>
  </si>
  <si>
    <t>Jonathon Clarke</t>
  </si>
  <si>
    <t>David Mead</t>
  </si>
  <si>
    <t>Leon 0'Regan</t>
  </si>
  <si>
    <t>Ben Mackinson</t>
  </si>
  <si>
    <t>Aaron Whitehead</t>
  </si>
  <si>
    <t>M Shaikh</t>
  </si>
  <si>
    <t>Mark Muldon</t>
  </si>
  <si>
    <t>Andy Thomas</t>
  </si>
  <si>
    <t>Gary Rosewarne</t>
  </si>
  <si>
    <t>John Treacy</t>
  </si>
  <si>
    <t>Richard Watson</t>
  </si>
  <si>
    <t>John Capel</t>
  </si>
  <si>
    <t>Gavin Hinxman</t>
  </si>
  <si>
    <t>Lydia Baxter</t>
  </si>
  <si>
    <t>Matt Scholes</t>
  </si>
  <si>
    <t>Steve Walsh</t>
  </si>
  <si>
    <t>David York</t>
  </si>
  <si>
    <t>Lucy Sturgess</t>
  </si>
  <si>
    <t>Debbie Cooper</t>
  </si>
  <si>
    <t>Chris Elmer</t>
  </si>
  <si>
    <t>William Deeley</t>
  </si>
  <si>
    <t>Kobe Godts</t>
  </si>
  <si>
    <t>Jake Bird</t>
  </si>
  <si>
    <t>Chris Cummings</t>
  </si>
  <si>
    <t>Michael Cowland</t>
  </si>
  <si>
    <t>Matty Brennan</t>
  </si>
  <si>
    <t>Steve Coombs</t>
  </si>
  <si>
    <t>Scott Barber</t>
  </si>
  <si>
    <t>Graham Wright</t>
  </si>
  <si>
    <t>Adnrew Brown</t>
  </si>
  <si>
    <t>David Yarham</t>
  </si>
  <si>
    <t>Noah Marr</t>
  </si>
  <si>
    <t>Graham Waterfield</t>
  </si>
  <si>
    <t>Chris Barratt</t>
  </si>
  <si>
    <t>Created this from the old fully-functional "25 club championship.xlsm"</t>
  </si>
  <si>
    <t>Removed league and championship sheets - retained just the event sheets</t>
  </si>
  <si>
    <t>Remove calculated columns from the event sheets</t>
  </si>
  <si>
    <t>Retains calendar sheet, though I expect this will change</t>
  </si>
  <si>
    <t>Billy</t>
  </si>
  <si>
    <t>Campbell</t>
  </si>
  <si>
    <t>Second Claim</t>
  </si>
  <si>
    <t>Bell</t>
  </si>
  <si>
    <t>Bailey</t>
  </si>
  <si>
    <t>Dan</t>
  </si>
  <si>
    <t>isFemale</t>
  </si>
  <si>
    <t>ClaimStatus</t>
  </si>
  <si>
    <t>ClubNumber</t>
  </si>
  <si>
    <t>GivenName</t>
  </si>
  <si>
    <t>Guest or Not Renewed</t>
  </si>
  <si>
    <t>Number/Name</t>
  </si>
  <si>
    <t>Nick</t>
  </si>
  <si>
    <t>Clegg</t>
  </si>
  <si>
    <t>Jennifer</t>
  </si>
  <si>
    <t>Collett</t>
  </si>
  <si>
    <t>Evan</t>
  </si>
  <si>
    <t>Collis</t>
  </si>
  <si>
    <t>Daryl</t>
  </si>
  <si>
    <t>Condon</t>
  </si>
  <si>
    <t>Copson</t>
  </si>
  <si>
    <t>Yvonne</t>
  </si>
  <si>
    <t>Coulam</t>
  </si>
  <si>
    <t>Steven</t>
  </si>
  <si>
    <t>Cox</t>
  </si>
  <si>
    <t>Lawrence</t>
  </si>
  <si>
    <t>Coyle</t>
  </si>
  <si>
    <t>Fiona</t>
  </si>
  <si>
    <t>Dainty</t>
  </si>
  <si>
    <t>Dare</t>
  </si>
  <si>
    <t>Martin</t>
  </si>
  <si>
    <t>Dawkins</t>
  </si>
  <si>
    <t>Stuart</t>
  </si>
  <si>
    <t>Deeks</t>
  </si>
  <si>
    <t>Dhillon</t>
  </si>
  <si>
    <t>Navpreet</t>
  </si>
  <si>
    <t>Dickens</t>
  </si>
  <si>
    <t>Graham</t>
  </si>
  <si>
    <t>Dixey</t>
  </si>
  <si>
    <t>Isabelle</t>
  </si>
  <si>
    <t>Doe</t>
  </si>
  <si>
    <t>Doherty</t>
  </si>
  <si>
    <t>Neil</t>
  </si>
  <si>
    <t>Dumbill</t>
  </si>
  <si>
    <t>Durnin</t>
  </si>
  <si>
    <t>Nathan</t>
  </si>
  <si>
    <t>Clare</t>
  </si>
  <si>
    <t>Jonathan</t>
  </si>
  <si>
    <t>Edmonds</t>
  </si>
  <si>
    <t>Lee</t>
  </si>
  <si>
    <t>Easton</t>
  </si>
  <si>
    <t>Ashley</t>
  </si>
  <si>
    <t>Eaton</t>
  </si>
  <si>
    <t>Jo</t>
  </si>
  <si>
    <t>Elmer</t>
  </si>
  <si>
    <t>Aubrey</t>
  </si>
  <si>
    <t>Evans</t>
  </si>
  <si>
    <t>Harriet</t>
  </si>
  <si>
    <t>Jane</t>
  </si>
  <si>
    <t>Foreman</t>
  </si>
  <si>
    <t>Sally</t>
  </si>
  <si>
    <t>Fraser</t>
  </si>
  <si>
    <t>Lucy</t>
  </si>
  <si>
    <t>Garner</t>
  </si>
  <si>
    <t>Gerald</t>
  </si>
  <si>
    <t>Gowers</t>
  </si>
  <si>
    <t>Sophia</t>
  </si>
  <si>
    <t>Grandidge</t>
  </si>
  <si>
    <t>Ed</t>
  </si>
  <si>
    <t>Gray</t>
  </si>
  <si>
    <t>Halls</t>
  </si>
  <si>
    <t>Hamilton-Fox</t>
  </si>
  <si>
    <t>Sandra</t>
  </si>
  <si>
    <t>Hanner</t>
  </si>
  <si>
    <t>Jeffrey</t>
  </si>
  <si>
    <t>Hardwicke</t>
  </si>
  <si>
    <t>Daniel</t>
  </si>
  <si>
    <t>Charlie</t>
  </si>
  <si>
    <t>Richard</t>
  </si>
  <si>
    <t>Alex</t>
  </si>
  <si>
    <t>Harris</t>
  </si>
  <si>
    <t>Tim</t>
  </si>
  <si>
    <t>Harrison</t>
  </si>
  <si>
    <t>Scott</t>
  </si>
  <si>
    <t>Rory</t>
  </si>
  <si>
    <t>Claire</t>
  </si>
  <si>
    <t>Haycox</t>
  </si>
  <si>
    <t>Heald</t>
  </si>
  <si>
    <t>Henderson</t>
  </si>
  <si>
    <t>Marc</t>
  </si>
  <si>
    <t>Helen</t>
  </si>
  <si>
    <t>Hannah</t>
  </si>
  <si>
    <t>Herbert</t>
  </si>
  <si>
    <t>Estelle</t>
  </si>
  <si>
    <t>Herring</t>
  </si>
  <si>
    <t>Alice</t>
  </si>
  <si>
    <t>Hill</t>
  </si>
  <si>
    <t>Joy</t>
  </si>
  <si>
    <t>Holman</t>
  </si>
  <si>
    <t>Holmes</t>
  </si>
  <si>
    <t>Cristian</t>
  </si>
  <si>
    <t>Holton</t>
  </si>
  <si>
    <t>Wayne</t>
  </si>
  <si>
    <t>Hopkins</t>
  </si>
  <si>
    <t>Hopwood</t>
  </si>
  <si>
    <t>Duncan</t>
  </si>
  <si>
    <t>Horder</t>
  </si>
  <si>
    <t>Hubbard</t>
  </si>
  <si>
    <t>Linda</t>
  </si>
  <si>
    <t>Hulme</t>
  </si>
  <si>
    <t>Humphries</t>
  </si>
  <si>
    <t>Eleanor</t>
  </si>
  <si>
    <t>Hyde</t>
  </si>
  <si>
    <t>Isaac</t>
  </si>
  <si>
    <t>Ruby</t>
  </si>
  <si>
    <t>Ives</t>
  </si>
  <si>
    <t>Mike</t>
  </si>
  <si>
    <t>Jackson-Bream</t>
  </si>
  <si>
    <t>Will</t>
  </si>
  <si>
    <t>Mitchell</t>
  </si>
  <si>
    <t>Kendrick</t>
  </si>
  <si>
    <t>Kershaw</t>
  </si>
  <si>
    <t>Jamie</t>
  </si>
  <si>
    <t>Nik</t>
  </si>
  <si>
    <t>Killworth</t>
  </si>
  <si>
    <t>Adrian</t>
  </si>
  <si>
    <t>King</t>
  </si>
  <si>
    <t>Knight</t>
  </si>
  <si>
    <t>Ros</t>
  </si>
  <si>
    <t>Kockelbergh</t>
  </si>
  <si>
    <t>Roger</t>
  </si>
  <si>
    <t>Krause</t>
  </si>
  <si>
    <t>Latham</t>
  </si>
  <si>
    <t>Michaela</t>
  </si>
  <si>
    <t>Latimer</t>
  </si>
  <si>
    <t>Laws</t>
  </si>
  <si>
    <t>Paula</t>
  </si>
  <si>
    <t>Leska</t>
  </si>
  <si>
    <t>Kamila</t>
  </si>
  <si>
    <t>Liot</t>
  </si>
  <si>
    <t>Anthony</t>
  </si>
  <si>
    <t>Lucas</t>
  </si>
  <si>
    <t>Main</t>
  </si>
  <si>
    <t>Bruce</t>
  </si>
  <si>
    <t>Mansfield</t>
  </si>
  <si>
    <t>Marr</t>
  </si>
  <si>
    <t>McGraw</t>
  </si>
  <si>
    <t>McLeod</t>
  </si>
  <si>
    <t>Philip</t>
  </si>
  <si>
    <t>McDonald</t>
  </si>
  <si>
    <t>Alisa</t>
  </si>
  <si>
    <t>McDonnell</t>
  </si>
  <si>
    <t>McPherson</t>
  </si>
  <si>
    <t>Amanda</t>
  </si>
  <si>
    <t>Jim</t>
  </si>
  <si>
    <t>Medley</t>
  </si>
  <si>
    <t>Thomas</t>
  </si>
  <si>
    <t>Mercer</t>
  </si>
  <si>
    <t>Theo</t>
  </si>
  <si>
    <t>Meyer</t>
  </si>
  <si>
    <t>Danny</t>
  </si>
  <si>
    <t>Middleton</t>
  </si>
  <si>
    <t>Julian</t>
  </si>
  <si>
    <t>Millard</t>
  </si>
  <si>
    <t>Kevin</t>
  </si>
  <si>
    <t>Mills</t>
  </si>
  <si>
    <t>Sophie</t>
  </si>
  <si>
    <t>Molyneux</t>
  </si>
  <si>
    <t>Moore</t>
  </si>
  <si>
    <t>Mea</t>
  </si>
  <si>
    <t>Rob</t>
  </si>
  <si>
    <t>Morgan</t>
  </si>
  <si>
    <t>Morris</t>
  </si>
  <si>
    <t>Murray</t>
  </si>
  <si>
    <t>Nicholls</t>
  </si>
  <si>
    <t>Nixon</t>
  </si>
  <si>
    <t>Stephen</t>
  </si>
  <si>
    <t>Noble</t>
  </si>
  <si>
    <t>Laurence</t>
  </si>
  <si>
    <t>Nolan</t>
  </si>
  <si>
    <t>Norris</t>
  </si>
  <si>
    <t>Dale</t>
  </si>
  <si>
    <t>Orfeur</t>
  </si>
  <si>
    <t>Parker</t>
  </si>
  <si>
    <t>Mandy</t>
  </si>
  <si>
    <t>Charlotte</t>
  </si>
  <si>
    <t>Pattrick</t>
  </si>
  <si>
    <t>Pinnock</t>
  </si>
  <si>
    <t>Milly</t>
  </si>
  <si>
    <t>Plews</t>
  </si>
  <si>
    <t>Matt</t>
  </si>
  <si>
    <t>Poulton</t>
  </si>
  <si>
    <t>Prangnell</t>
  </si>
  <si>
    <t>Greg</t>
  </si>
  <si>
    <t>Pullen</t>
  </si>
  <si>
    <t>Rathbone</t>
  </si>
  <si>
    <t>Rayner</t>
  </si>
  <si>
    <t>Phil</t>
  </si>
  <si>
    <t>Reay</t>
  </si>
  <si>
    <t>Riley</t>
  </si>
  <si>
    <t>Roberts</t>
  </si>
  <si>
    <t>Leo</t>
  </si>
  <si>
    <t>Jax</t>
  </si>
  <si>
    <t>Anna</t>
  </si>
  <si>
    <t>Rout</t>
  </si>
  <si>
    <t>Judith</t>
  </si>
  <si>
    <t>Russell</t>
  </si>
  <si>
    <t>Dawn</t>
  </si>
  <si>
    <t>Sangster</t>
  </si>
  <si>
    <t>Joshua</t>
  </si>
  <si>
    <t>Savage</t>
  </si>
  <si>
    <t>Ben</t>
  </si>
  <si>
    <t>Scoley</t>
  </si>
  <si>
    <t>Shelley</t>
  </si>
  <si>
    <t>Trevor</t>
  </si>
  <si>
    <t>Shewring</t>
  </si>
  <si>
    <t>Jack</t>
  </si>
  <si>
    <t>Simpson</t>
  </si>
  <si>
    <t>Simpson-Smith</t>
  </si>
  <si>
    <t>Singlehurst</t>
  </si>
  <si>
    <t>Julie</t>
  </si>
  <si>
    <t>Sirett</t>
  </si>
  <si>
    <t>Smith</t>
  </si>
  <si>
    <t>Austin</t>
  </si>
  <si>
    <t>Denis</t>
  </si>
  <si>
    <t>Timothy</t>
  </si>
  <si>
    <t>Spencer</t>
  </si>
  <si>
    <t>Tom</t>
  </si>
  <si>
    <t>Stevens</t>
  </si>
  <si>
    <t>Stan</t>
  </si>
  <si>
    <t>Suchocki</t>
  </si>
  <si>
    <t>Maciej</t>
  </si>
  <si>
    <t>Summerlin</t>
  </si>
  <si>
    <t>Rowland</t>
  </si>
  <si>
    <t>Sweet</t>
  </si>
  <si>
    <t>Caitlin</t>
  </si>
  <si>
    <t>Sweetman</t>
  </si>
  <si>
    <t>Tarelli</t>
  </si>
  <si>
    <t>Taylor</t>
  </si>
  <si>
    <t>Ray</t>
  </si>
  <si>
    <t>Rhys</t>
  </si>
  <si>
    <t>Thompson</t>
  </si>
  <si>
    <t>Timmins</t>
  </si>
  <si>
    <t>Gavin</t>
  </si>
  <si>
    <t>Tincello</t>
  </si>
  <si>
    <t>Doug</t>
  </si>
  <si>
    <t>Traynor</t>
  </si>
  <si>
    <t>Nicola</t>
  </si>
  <si>
    <t>Tucker</t>
  </si>
  <si>
    <t>Turner</t>
  </si>
  <si>
    <t>Dns</t>
  </si>
  <si>
    <t>ImportDate</t>
  </si>
  <si>
    <t>Vaal</t>
  </si>
  <si>
    <t>Michiel</t>
  </si>
  <si>
    <t>van Nierop</t>
  </si>
  <si>
    <t>Millie</t>
  </si>
  <si>
    <t>Josh</t>
  </si>
  <si>
    <t>Hans</t>
  </si>
  <si>
    <t>Waddington</t>
  </si>
  <si>
    <t>Ward</t>
  </si>
  <si>
    <t>Abigail</t>
  </si>
  <si>
    <t>Debbie</t>
  </si>
  <si>
    <t>Kathryn</t>
  </si>
  <si>
    <t>Watson</t>
  </si>
  <si>
    <t>Nina</t>
  </si>
  <si>
    <t>Weatherby</t>
  </si>
  <si>
    <t>Webber</t>
  </si>
  <si>
    <t>Webster</t>
  </si>
  <si>
    <t>Welsford</t>
  </si>
  <si>
    <t>Weston</t>
  </si>
  <si>
    <t>Whitaker</t>
  </si>
  <si>
    <t>Benjamin</t>
  </si>
  <si>
    <t>White</t>
  </si>
  <si>
    <t>Wilkinson</t>
  </si>
  <si>
    <t>Noah</t>
  </si>
  <si>
    <t>Wilks</t>
  </si>
  <si>
    <t>Jules</t>
  </si>
  <si>
    <t>Willett</t>
  </si>
  <si>
    <t>Williams</t>
  </si>
  <si>
    <t>Wilson</t>
  </si>
  <si>
    <t>Huw</t>
  </si>
  <si>
    <t>Wintersgill</t>
  </si>
  <si>
    <t>Catherine</t>
  </si>
  <si>
    <t>Wise</t>
  </si>
  <si>
    <t>Woodford</t>
  </si>
  <si>
    <t>Robert</t>
  </si>
  <si>
    <t>Yarnold</t>
  </si>
  <si>
    <t>Yeomans</t>
  </si>
  <si>
    <t>isCancelled</t>
  </si>
  <si>
    <t>Sheet Name</t>
  </si>
  <si>
    <t>Some work on Calendar.  Sheets renamed to Event_nn and Hill Climb (seconds have fractions) moved to be Event_01.  New column in Calendar sheet indicates which Event_nn sheet is applicable.  New isCancelled column added too.</t>
  </si>
  <si>
    <t>Hill Climb</t>
  </si>
  <si>
    <t>SheetName:</t>
  </si>
  <si>
    <t>IsHillClimb?</t>
  </si>
  <si>
    <t>Event Number</t>
  </si>
  <si>
    <t>Andy Poulton</t>
  </si>
  <si>
    <t>Prem</t>
  </si>
  <si>
    <t>Ed Grandidge</t>
  </si>
  <si>
    <t>Gary Roberts</t>
  </si>
  <si>
    <t>Hans van Nierop</t>
  </si>
  <si>
    <t>Jamie Kershaw</t>
  </si>
  <si>
    <t>Jason Williams</t>
  </si>
  <si>
    <t>Jonathan Durnin</t>
  </si>
  <si>
    <t>Maciej Suchocki</t>
  </si>
  <si>
    <t>Matt Plews</t>
  </si>
  <si>
    <t>Austin Smith</t>
  </si>
  <si>
    <t>Dale Norris</t>
  </si>
  <si>
    <t>James Moore</t>
  </si>
  <si>
    <t>Josh van Nierop</t>
  </si>
  <si>
    <t>Lawrence Cox</t>
  </si>
  <si>
    <t>Nik Kershaw</t>
  </si>
  <si>
    <t>Tom Spencer</t>
  </si>
  <si>
    <t>Doug Tincello</t>
  </si>
  <si>
    <t>Jack Shewring</t>
  </si>
  <si>
    <t>John Abbott</t>
  </si>
  <si>
    <t>Mike Smith</t>
  </si>
  <si>
    <t>Milly Pinnock</t>
  </si>
  <si>
    <t>Roger Kockelbergh</t>
  </si>
  <si>
    <t>Ruby Isaac</t>
  </si>
  <si>
    <t>Adrian Killworth</t>
  </si>
  <si>
    <t>Aubrey Elmer</t>
  </si>
  <si>
    <t>Chris Dainty</t>
  </si>
  <si>
    <t>Chris Hyde</t>
  </si>
  <si>
    <t>Gary Ashwell</t>
  </si>
  <si>
    <t>Jax Roberts</t>
  </si>
  <si>
    <t>Kevin Mills</t>
  </si>
  <si>
    <t>Simon Ward</t>
  </si>
  <si>
    <t>Alex Hardwicke</t>
  </si>
  <si>
    <t>Andy Smith</t>
  </si>
  <si>
    <t>Charlie Hardwicke</t>
  </si>
  <si>
    <t>Jane Moore</t>
  </si>
  <si>
    <t>Jo Eaton</t>
  </si>
  <si>
    <t>Lucy Fraser</t>
  </si>
  <si>
    <t>Richard Hardwicke</t>
  </si>
  <si>
    <t>Steven Latham</t>
  </si>
  <si>
    <t>Phil Rayner</t>
  </si>
  <si>
    <t>Daniel McDonnell</t>
  </si>
  <si>
    <t>Mike Sirett</t>
  </si>
  <si>
    <t>Simon Askham</t>
  </si>
  <si>
    <t>Steven Coulam</t>
  </si>
  <si>
    <t>Paul White</t>
  </si>
  <si>
    <t>Vic Barnett</t>
  </si>
  <si>
    <t>ClubMemberName</t>
  </si>
  <si>
    <t>LeagueDivision</t>
  </si>
  <si>
    <t>Number</t>
  </si>
  <si>
    <t>Full Name</t>
  </si>
  <si>
    <t>TBA</t>
  </si>
  <si>
    <t>TBA 10mile TT</t>
  </si>
  <si>
    <t>AgeGroup</t>
  </si>
  <si>
    <t>VetsBucket</t>
  </si>
  <si>
    <t>Veteran</t>
  </si>
  <si>
    <t>Senior</t>
  </si>
  <si>
    <t>Juvenile</t>
  </si>
  <si>
    <t>Junior</t>
  </si>
  <si>
    <t>Decorated Name</t>
  </si>
  <si>
    <r>
      <t xml:space="preserve">WVCCData sheet is present but needs to be replace by the </t>
    </r>
    <r>
      <rPr>
        <b/>
        <u/>
        <sz val="10"/>
        <color theme="1"/>
        <rFont val="Arial"/>
        <family val="2"/>
      </rPr>
      <t>data from</t>
    </r>
    <r>
      <rPr>
        <sz val="10"/>
        <color theme="1"/>
        <rFont val="Arial"/>
        <family val="2"/>
      </rPr>
      <t xml:space="preserve"> competitors_2025.csv as generated by the private github pipeline from membership .XLSX</t>
    </r>
  </si>
  <si>
    <t>Raw Name</t>
  </si>
  <si>
    <t>Jennifer Clegg</t>
  </si>
  <si>
    <t>Rhys Thomas</t>
  </si>
  <si>
    <t>Stuart Haycox</t>
  </si>
  <si>
    <t>Mea Moore</t>
  </si>
  <si>
    <t>Evan Collett</t>
  </si>
  <si>
    <t>Roland Allen</t>
  </si>
  <si>
    <t>Wayne Holton</t>
  </si>
  <si>
    <t>Ashley Easton</t>
  </si>
  <si>
    <t>Linda Hubbard</t>
  </si>
  <si>
    <t>Richard Harrison</t>
  </si>
  <si>
    <t>Sophie Ward</t>
  </si>
  <si>
    <t>Laoise Bennis</t>
  </si>
  <si>
    <t>Martin Webster</t>
  </si>
  <si>
    <t>Michaela Latham</t>
  </si>
  <si>
    <t>Adds coilumn J in all Events sheets - Raw Name goes here.  Column A uses a formula to get Cliub Number, Round Robin Decorated Name (inc club) or just the name.</t>
  </si>
  <si>
    <t>`=IF(J2="","",XLOOKUP(J2,ClubNames,ClubNumbers,XLOOKUP(J2,RoundRobinRiderNames,RoundRobinRiderDecoratedNames,J2)))</t>
  </si>
  <si>
    <t>Round Robin Event</t>
  </si>
  <si>
    <t>Round Robin Club</t>
  </si>
  <si>
    <t>WVCC</t>
  </si>
  <si>
    <t>HCRC</t>
  </si>
  <si>
    <t>Ratae,WVCC</t>
  </si>
  <si>
    <t>Joe Murray (M I Racing)</t>
  </si>
  <si>
    <t>Harriet Evans</t>
  </si>
  <si>
    <t>Ratae</t>
  </si>
  <si>
    <t>Colin Parkinson (SWRC)</t>
  </si>
  <si>
    <t>Mick Wills (M I Racing)</t>
  </si>
  <si>
    <t>Dan Hempkin</t>
  </si>
  <si>
    <t>Anne Gilhespy</t>
  </si>
  <si>
    <t>Race Hub</t>
  </si>
  <si>
    <t>Jayne Mumford (W)</t>
  </si>
  <si>
    <t>Laura Ayers (W)</t>
  </si>
  <si>
    <t>Sarah Ashcroft (W)</t>
  </si>
  <si>
    <t>Cathy Scholes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</si>
</sst>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400]h:mm:ss\ AM/PM"/>
    <numFmt numFmtId="165" formatCode="hh:mm;@"/>
    <numFmt numFmtId="166" formatCode="00"/>
    <numFmt numFmtId="167" formatCode="hh:mm:ss;@"/>
    <numFmt numFmtId="168" formatCode="hh:mm:ss.00;@"/>
    <numFmt numFmtId="169" formatCode="00.00"/>
  </numFmts>
  <fonts count="1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2"/>
      <color rgb="FFC0000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</cellStyleXfs>
  <cellXfs count="42">
    <xf numFmtId="0" fontId="0" fillId="0" borderId="0" xfId="0"/>
    <xf numFmtId="14" fontId="0" fillId="0" borderId="0" xfId="0" applyNumberFormat="1"/>
    <xf numFmtId="16" fontId="5" fillId="2" borderId="0" xfId="2" applyNumberFormat="1" applyFont="1" applyFill="1" applyAlignment="1">
      <alignment horizontal="center"/>
    </xf>
    <xf numFmtId="0" fontId="5" fillId="2" borderId="0" xfId="2" applyFont="1" applyFill="1" applyAlignment="1">
      <alignment horizontal="center"/>
    </xf>
    <xf numFmtId="16" fontId="5" fillId="2" borderId="0" xfId="2" applyNumberFormat="1" applyFont="1" applyFill="1"/>
    <xf numFmtId="0" fontId="5" fillId="2" borderId="0" xfId="2" applyFont="1" applyFill="1"/>
    <xf numFmtId="0" fontId="5" fillId="2" borderId="0" xfId="3" applyFont="1" applyFill="1" applyAlignment="1">
      <alignment horizontal="center" vertical="center" wrapText="1"/>
    </xf>
    <xf numFmtId="0" fontId="4" fillId="0" borderId="0" xfId="2" applyAlignment="1">
      <alignment horizontal="center"/>
    </xf>
    <xf numFmtId="0" fontId="4" fillId="0" borderId="0" xfId="2"/>
    <xf numFmtId="0" fontId="0" fillId="3" borderId="0" xfId="0" applyFill="1"/>
    <xf numFmtId="0" fontId="6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/>
    <xf numFmtId="0" fontId="6" fillId="2" borderId="6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center"/>
    </xf>
    <xf numFmtId="166" fontId="8" fillId="4" borderId="6" xfId="0" applyNumberFormat="1" applyFont="1" applyFill="1" applyBorder="1" applyAlignment="1">
      <alignment horizontal="center"/>
    </xf>
    <xf numFmtId="0" fontId="8" fillId="0" borderId="6" xfId="0" applyFont="1" applyBorder="1"/>
    <xf numFmtId="167" fontId="8" fillId="0" borderId="6" xfId="0" applyNumberFormat="1" applyFont="1" applyBorder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0" fontId="8" fillId="4" borderId="7" xfId="0" applyFont="1" applyFill="1" applyBorder="1" applyAlignment="1">
      <alignment horizontal="center"/>
    </xf>
    <xf numFmtId="0" fontId="8" fillId="0" borderId="6" xfId="0" applyFont="1" applyBorder="1" applyAlignment="1">
      <alignment horizontal="left"/>
    </xf>
    <xf numFmtId="168" fontId="8" fillId="0" borderId="6" xfId="0" applyNumberFormat="1" applyFont="1" applyBorder="1" applyAlignment="1">
      <alignment horizontal="left"/>
    </xf>
    <xf numFmtId="169" fontId="8" fillId="4" borderId="6" xfId="0" applyNumberFormat="1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4" fillId="0" borderId="0" xfId="3" applyAlignment="1">
      <alignment horizontal="center"/>
    </xf>
    <xf numFmtId="14" fontId="4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0" fontId="8" fillId="7" borderId="6" xfId="0" applyFont="1" applyFill="1" applyBorder="1" applyAlignment="1">
      <alignment horizontal="center"/>
    </xf>
    <xf numFmtId="166" fontId="8" fillId="7" borderId="6" xfId="0" applyNumberFormat="1" applyFont="1" applyFill="1" applyBorder="1" applyAlignment="1">
      <alignment horizontal="center"/>
    </xf>
    <xf numFmtId="169" fontId="8" fillId="7" borderId="6" xfId="0" applyNumberFormat="1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/>
    <xf numFmtId="0" fontId="1" fillId="0" borderId="0" xfId="0" applyFont="1"/>
  </cellXfs>
  <cellStyles count="8">
    <cellStyle name="Normal" xfId="0" builtinId="0"/>
    <cellStyle name="Normal 10" xfId="5" xr:uid="{53160EDD-86B8-4CB4-9708-F662E5A12BC2}"/>
    <cellStyle name="Normal 147" xfId="1" xr:uid="{34E92BC7-6571-46E4-AD5E-918B98EFA80D}"/>
    <cellStyle name="Normal 157" xfId="7" xr:uid="{3A5757A5-1E05-4089-976D-07C200BC8D63}"/>
    <cellStyle name="Normal 2" xfId="2" xr:uid="{92130964-FE62-4B37-831A-2AE2765A58EF}"/>
    <cellStyle name="Normal 2 2" xfId="3" xr:uid="{4D30B7A5-DED1-437E-A626-4340D9F826AE}"/>
    <cellStyle name="Normal 2_WVCC - vets standards 2010" xfId="4" xr:uid="{F0E7B05A-3D89-454D-9798-FCCDB30BF33A}"/>
    <cellStyle name="Normal 3" xfId="6" xr:uid="{BCC5113A-5D75-4E06-BFE9-A2F70F27D5F5}"/>
  </cellStyles>
  <dxfs count="80"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numFmt numFmtId="168" formatCode="hh:mm:ss.00;@"/>
    </dxf>
    <dxf>
      <fill>
        <patternFill>
          <bgColor rgb="FFB3EBFF"/>
        </patternFill>
      </fill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theme="2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heetMetadata" Target="metadata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97D8-1E98-4DF1-BBDA-B65403E09203}">
  <sheetPr codeName="Sheet3"/>
  <dimension ref="A1:C9"/>
  <sheetViews>
    <sheetView workbookViewId="0">
      <selection activeCell="C10" sqref="C10"/>
    </sheetView>
  </sheetViews>
  <sheetFormatPr defaultRowHeight="12.75" x14ac:dyDescent="0.15"/>
  <cols>
    <col min="1" max="1" width="10.11328125" style="1" bestFit="1" customWidth="1"/>
    <col min="2" max="2" width="12.67578125" style="1" bestFit="1" customWidth="1"/>
    <col min="3" max="3" width="126.76171875" bestFit="1" customWidth="1"/>
    <col min="4" max="4" width="45.17578125" customWidth="1"/>
  </cols>
  <sheetData>
    <row r="1" spans="1:3" x14ac:dyDescent="0.15">
      <c r="A1" s="1">
        <v>42404</v>
      </c>
      <c r="B1" s="1" t="s">
        <v>0</v>
      </c>
      <c r="C1" t="s">
        <v>1</v>
      </c>
    </row>
    <row r="2" spans="1:3" x14ac:dyDescent="0.15">
      <c r="A2" s="1">
        <v>45949</v>
      </c>
      <c r="B2" s="1" t="s">
        <v>0</v>
      </c>
      <c r="C2" t="s">
        <v>280</v>
      </c>
    </row>
    <row r="3" spans="1:3" x14ac:dyDescent="0.15">
      <c r="C3" t="s">
        <v>281</v>
      </c>
    </row>
    <row r="4" spans="1:3" x14ac:dyDescent="0.15">
      <c r="C4" t="s">
        <v>282</v>
      </c>
    </row>
    <row r="5" spans="1:3" x14ac:dyDescent="0.15">
      <c r="C5" t="s">
        <v>283</v>
      </c>
    </row>
    <row r="6" spans="1:3" x14ac:dyDescent="0.15">
      <c r="C6" t="s">
        <v>639</v>
      </c>
    </row>
    <row r="7" spans="1:3" x14ac:dyDescent="0.15">
      <c r="A7" s="1">
        <v>45954</v>
      </c>
      <c r="B7" s="1" t="s">
        <v>0</v>
      </c>
      <c r="C7" t="s">
        <v>574</v>
      </c>
    </row>
    <row r="8" spans="1:3" x14ac:dyDescent="0.15">
      <c r="A8" s="1">
        <v>46046</v>
      </c>
      <c r="B8" s="1" t="s">
        <v>0</v>
      </c>
      <c r="C8" t="s">
        <v>655</v>
      </c>
    </row>
    <row r="9" spans="1:3" x14ac:dyDescent="0.15">
      <c r="C9" t="s">
        <v>656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532A-6716-4036-AA01-019338229B66}">
  <sheetPr codeName="Sheet1"/>
  <dimension ref="A1:J249"/>
  <sheetViews>
    <sheetView topLeftCell="A153" zoomScaleNormal="100" workbookViewId="0">
      <selection activeCell="B208" sqref="B208"/>
    </sheetView>
  </sheetViews>
  <sheetFormatPr defaultRowHeight="12.75" x14ac:dyDescent="0.15"/>
  <cols>
    <col min="8" max="8" width="9.84375" bestFit="1" customWidth="1"/>
    <col min="10" max="10" width="9.9765625" bestFit="1" customWidth="1"/>
  </cols>
  <sheetData>
    <row r="1" spans="1:10" x14ac:dyDescent="0.15">
      <c r="A1" t="s">
        <v>292</v>
      </c>
      <c r="B1" t="s">
        <v>48</v>
      </c>
      <c r="C1" t="s">
        <v>293</v>
      </c>
      <c r="D1" t="s">
        <v>291</v>
      </c>
      <c r="E1" t="s">
        <v>290</v>
      </c>
      <c r="F1" t="s">
        <v>632</v>
      </c>
      <c r="G1" t="s">
        <v>633</v>
      </c>
      <c r="H1" t="s">
        <v>535</v>
      </c>
    </row>
    <row r="2" spans="1:10" x14ac:dyDescent="0.15">
      <c r="A2">
        <v>1237</v>
      </c>
      <c r="B2" t="s">
        <v>49</v>
      </c>
      <c r="C2" t="s">
        <v>50</v>
      </c>
      <c r="D2" t="s">
        <v>60</v>
      </c>
      <c r="E2" t="b">
        <v>0</v>
      </c>
      <c r="F2" t="s">
        <v>634</v>
      </c>
      <c r="G2">
        <v>1</v>
      </c>
      <c r="H2" s="1">
        <v>46000</v>
      </c>
      <c r="J2" s="1"/>
    </row>
    <row r="3" spans="1:10" x14ac:dyDescent="0.15">
      <c r="A3">
        <v>1327</v>
      </c>
      <c r="B3" t="s">
        <v>49</v>
      </c>
      <c r="C3" t="s">
        <v>51</v>
      </c>
      <c r="D3" t="s">
        <v>60</v>
      </c>
      <c r="E3" t="b">
        <v>0</v>
      </c>
      <c r="F3" t="s">
        <v>635</v>
      </c>
      <c r="H3" s="1">
        <v>46000</v>
      </c>
      <c r="J3" s="1"/>
    </row>
    <row r="4" spans="1:10" x14ac:dyDescent="0.15">
      <c r="A4">
        <v>1197</v>
      </c>
      <c r="B4" t="s">
        <v>52</v>
      </c>
      <c r="C4" t="s">
        <v>53</v>
      </c>
      <c r="D4" t="s">
        <v>60</v>
      </c>
      <c r="E4" t="b">
        <v>0</v>
      </c>
      <c r="F4" t="s">
        <v>634</v>
      </c>
      <c r="G4">
        <v>2</v>
      </c>
      <c r="H4" s="1">
        <v>46000</v>
      </c>
      <c r="J4" s="1"/>
    </row>
    <row r="5" spans="1:10" x14ac:dyDescent="0.15">
      <c r="A5">
        <v>1353</v>
      </c>
      <c r="B5" t="s">
        <v>54</v>
      </c>
      <c r="C5" t="s">
        <v>55</v>
      </c>
      <c r="D5" t="s">
        <v>60</v>
      </c>
      <c r="E5" t="b">
        <v>1</v>
      </c>
      <c r="F5" t="s">
        <v>635</v>
      </c>
      <c r="H5" s="1">
        <v>46000</v>
      </c>
      <c r="J5" s="1"/>
    </row>
    <row r="6" spans="1:10" x14ac:dyDescent="0.15">
      <c r="A6">
        <v>819</v>
      </c>
      <c r="B6" t="s">
        <v>56</v>
      </c>
      <c r="C6" t="s">
        <v>57</v>
      </c>
      <c r="D6" t="s">
        <v>60</v>
      </c>
      <c r="E6" t="b">
        <v>1</v>
      </c>
      <c r="F6" t="s">
        <v>634</v>
      </c>
      <c r="G6">
        <v>23</v>
      </c>
      <c r="H6" s="1">
        <v>46000</v>
      </c>
      <c r="J6" s="1"/>
    </row>
    <row r="7" spans="1:10" x14ac:dyDescent="0.15">
      <c r="A7">
        <v>2</v>
      </c>
      <c r="B7" t="s">
        <v>58</v>
      </c>
      <c r="C7" t="s">
        <v>59</v>
      </c>
      <c r="D7" t="s">
        <v>60</v>
      </c>
      <c r="E7" t="b">
        <v>0</v>
      </c>
      <c r="F7" t="s">
        <v>634</v>
      </c>
      <c r="G7">
        <v>21</v>
      </c>
      <c r="H7" s="1">
        <v>46000</v>
      </c>
      <c r="J7" s="1"/>
    </row>
    <row r="8" spans="1:10" x14ac:dyDescent="0.15">
      <c r="A8">
        <v>1370</v>
      </c>
      <c r="B8" t="s">
        <v>61</v>
      </c>
      <c r="C8" t="s">
        <v>62</v>
      </c>
      <c r="D8" t="s">
        <v>60</v>
      </c>
      <c r="E8" t="b">
        <v>0</v>
      </c>
      <c r="F8" t="s">
        <v>634</v>
      </c>
      <c r="G8">
        <v>4</v>
      </c>
      <c r="H8" s="1">
        <v>46000</v>
      </c>
      <c r="J8" s="1"/>
    </row>
    <row r="9" spans="1:10" x14ac:dyDescent="0.15">
      <c r="A9">
        <v>1286</v>
      </c>
      <c r="B9" t="s">
        <v>63</v>
      </c>
      <c r="C9" t="s">
        <v>62</v>
      </c>
      <c r="D9" t="s">
        <v>60</v>
      </c>
      <c r="E9" t="b">
        <v>0</v>
      </c>
      <c r="F9" t="s">
        <v>634</v>
      </c>
      <c r="G9">
        <v>13</v>
      </c>
      <c r="H9" s="1">
        <v>46000</v>
      </c>
      <c r="J9" s="1"/>
    </row>
    <row r="10" spans="1:10" x14ac:dyDescent="0.15">
      <c r="A10">
        <v>1381</v>
      </c>
      <c r="B10" t="s">
        <v>63</v>
      </c>
      <c r="C10" t="s">
        <v>64</v>
      </c>
      <c r="D10" t="s">
        <v>60</v>
      </c>
      <c r="E10" t="b">
        <v>0</v>
      </c>
      <c r="F10" t="s">
        <v>635</v>
      </c>
      <c r="H10" s="1">
        <v>46000</v>
      </c>
      <c r="J10" s="1"/>
    </row>
    <row r="11" spans="1:10" x14ac:dyDescent="0.15">
      <c r="A11">
        <v>1153</v>
      </c>
      <c r="B11" t="s">
        <v>65</v>
      </c>
      <c r="C11" t="s">
        <v>66</v>
      </c>
      <c r="D11" t="s">
        <v>60</v>
      </c>
      <c r="E11" t="b">
        <v>0</v>
      </c>
      <c r="F11" t="s">
        <v>635</v>
      </c>
      <c r="H11" s="1">
        <v>46000</v>
      </c>
      <c r="J11" s="1"/>
    </row>
    <row r="12" spans="1:10" x14ac:dyDescent="0.15">
      <c r="A12">
        <v>1372</v>
      </c>
      <c r="B12" t="s">
        <v>67</v>
      </c>
      <c r="C12" t="s">
        <v>289</v>
      </c>
      <c r="D12" t="s">
        <v>60</v>
      </c>
      <c r="E12" t="b">
        <v>0</v>
      </c>
      <c r="F12" t="s">
        <v>635</v>
      </c>
      <c r="H12" s="1">
        <v>46000</v>
      </c>
      <c r="J12" s="1"/>
    </row>
    <row r="13" spans="1:10" x14ac:dyDescent="0.15">
      <c r="A13">
        <v>1112</v>
      </c>
      <c r="B13" t="s">
        <v>68</v>
      </c>
      <c r="C13" t="s">
        <v>69</v>
      </c>
      <c r="D13" t="s">
        <v>60</v>
      </c>
      <c r="E13" t="b">
        <v>0</v>
      </c>
      <c r="F13" t="s">
        <v>634</v>
      </c>
      <c r="G13">
        <v>16</v>
      </c>
      <c r="H13" s="1">
        <v>46000</v>
      </c>
      <c r="J13" s="1"/>
    </row>
    <row r="14" spans="1:10" x14ac:dyDescent="0.15">
      <c r="A14">
        <v>1135</v>
      </c>
      <c r="B14" t="s">
        <v>70</v>
      </c>
      <c r="C14" t="s">
        <v>71</v>
      </c>
      <c r="D14" t="s">
        <v>60</v>
      </c>
      <c r="E14" t="b">
        <v>0</v>
      </c>
      <c r="F14" t="s">
        <v>634</v>
      </c>
      <c r="G14">
        <v>1</v>
      </c>
      <c r="H14" s="1">
        <v>46000</v>
      </c>
      <c r="J14" s="1"/>
    </row>
    <row r="15" spans="1:10" x14ac:dyDescent="0.15">
      <c r="A15">
        <v>1368</v>
      </c>
      <c r="B15" t="s">
        <v>72</v>
      </c>
      <c r="C15" t="s">
        <v>73</v>
      </c>
      <c r="D15" t="s">
        <v>60</v>
      </c>
      <c r="E15" t="b">
        <v>0</v>
      </c>
      <c r="F15" t="s">
        <v>636</v>
      </c>
      <c r="H15" s="1">
        <v>46000</v>
      </c>
      <c r="J15" s="1"/>
    </row>
    <row r="16" spans="1:10" x14ac:dyDescent="0.15">
      <c r="A16">
        <v>1328</v>
      </c>
      <c r="B16" t="s">
        <v>288</v>
      </c>
      <c r="C16" t="s">
        <v>74</v>
      </c>
      <c r="D16" t="s">
        <v>60</v>
      </c>
      <c r="E16" t="b">
        <v>0</v>
      </c>
      <c r="F16" t="s">
        <v>634</v>
      </c>
      <c r="G16">
        <v>4</v>
      </c>
      <c r="H16" s="1">
        <v>46000</v>
      </c>
      <c r="J16" s="1"/>
    </row>
    <row r="17" spans="1:10" x14ac:dyDescent="0.15">
      <c r="A17">
        <v>369</v>
      </c>
      <c r="B17" t="s">
        <v>75</v>
      </c>
      <c r="C17" t="s">
        <v>76</v>
      </c>
      <c r="D17" t="s">
        <v>60</v>
      </c>
      <c r="E17" t="b">
        <v>0</v>
      </c>
      <c r="F17" t="s">
        <v>634</v>
      </c>
      <c r="G17">
        <v>8</v>
      </c>
      <c r="H17" s="1">
        <v>46000</v>
      </c>
      <c r="J17" s="1"/>
    </row>
    <row r="18" spans="1:10" x14ac:dyDescent="0.15">
      <c r="A18">
        <v>7</v>
      </c>
      <c r="B18" t="s">
        <v>75</v>
      </c>
      <c r="C18" t="s">
        <v>77</v>
      </c>
      <c r="D18" t="s">
        <v>78</v>
      </c>
      <c r="E18" t="b">
        <v>0</v>
      </c>
      <c r="F18" t="s">
        <v>634</v>
      </c>
      <c r="G18">
        <v>32</v>
      </c>
      <c r="H18" s="1">
        <v>46000</v>
      </c>
      <c r="J18" s="1"/>
    </row>
    <row r="19" spans="1:10" x14ac:dyDescent="0.15">
      <c r="A19">
        <v>473</v>
      </c>
      <c r="B19" t="s">
        <v>75</v>
      </c>
      <c r="C19" t="s">
        <v>79</v>
      </c>
      <c r="D19" t="s">
        <v>78</v>
      </c>
      <c r="E19" t="b">
        <v>0</v>
      </c>
      <c r="F19" t="s">
        <v>634</v>
      </c>
      <c r="G19">
        <v>33</v>
      </c>
      <c r="H19" s="1">
        <v>46000</v>
      </c>
      <c r="J19" s="1"/>
    </row>
    <row r="20" spans="1:10" x14ac:dyDescent="0.15">
      <c r="A20">
        <v>1384</v>
      </c>
      <c r="B20" t="s">
        <v>80</v>
      </c>
      <c r="C20" t="s">
        <v>81</v>
      </c>
      <c r="D20" t="s">
        <v>60</v>
      </c>
      <c r="E20" t="b">
        <v>0</v>
      </c>
      <c r="F20" t="s">
        <v>634</v>
      </c>
      <c r="G20">
        <v>30</v>
      </c>
      <c r="H20" s="1">
        <v>46000</v>
      </c>
      <c r="J20" s="1"/>
    </row>
    <row r="21" spans="1:10" x14ac:dyDescent="0.15">
      <c r="A21">
        <v>1348</v>
      </c>
      <c r="B21" t="s">
        <v>82</v>
      </c>
      <c r="C21" t="s">
        <v>83</v>
      </c>
      <c r="D21" t="s">
        <v>286</v>
      </c>
      <c r="E21" t="b">
        <v>1</v>
      </c>
      <c r="F21" t="s">
        <v>635</v>
      </c>
      <c r="H21" s="1">
        <v>46000</v>
      </c>
      <c r="J21" s="1"/>
    </row>
    <row r="22" spans="1:10" x14ac:dyDescent="0.15">
      <c r="A22">
        <v>1275</v>
      </c>
      <c r="B22" t="s">
        <v>82</v>
      </c>
      <c r="C22" t="s">
        <v>84</v>
      </c>
      <c r="D22" t="s">
        <v>60</v>
      </c>
      <c r="E22" t="b">
        <v>1</v>
      </c>
      <c r="F22" t="s">
        <v>636</v>
      </c>
      <c r="H22" s="1">
        <v>46000</v>
      </c>
      <c r="J22" s="1"/>
    </row>
    <row r="23" spans="1:10" x14ac:dyDescent="0.15">
      <c r="A23">
        <v>68</v>
      </c>
      <c r="B23" t="s">
        <v>85</v>
      </c>
      <c r="C23" t="s">
        <v>86</v>
      </c>
      <c r="D23" t="s">
        <v>78</v>
      </c>
      <c r="E23" t="b">
        <v>0</v>
      </c>
      <c r="F23" t="s">
        <v>634</v>
      </c>
      <c r="G23">
        <v>35</v>
      </c>
      <c r="H23" s="1">
        <v>46000</v>
      </c>
      <c r="J23" s="1"/>
    </row>
    <row r="24" spans="1:10" x14ac:dyDescent="0.15">
      <c r="A24">
        <v>1035</v>
      </c>
      <c r="B24" t="s">
        <v>287</v>
      </c>
      <c r="C24" t="s">
        <v>87</v>
      </c>
      <c r="D24" t="s">
        <v>60</v>
      </c>
      <c r="E24" t="b">
        <v>0</v>
      </c>
      <c r="F24" t="s">
        <v>634</v>
      </c>
      <c r="G24">
        <v>6</v>
      </c>
      <c r="H24" s="1">
        <v>46000</v>
      </c>
      <c r="J24" s="1"/>
    </row>
    <row r="25" spans="1:10" x14ac:dyDescent="0.15">
      <c r="A25">
        <v>1326</v>
      </c>
      <c r="B25" t="s">
        <v>88</v>
      </c>
      <c r="C25" t="s">
        <v>89</v>
      </c>
      <c r="D25" t="s">
        <v>60</v>
      </c>
      <c r="E25" t="b">
        <v>1</v>
      </c>
      <c r="F25" t="s">
        <v>635</v>
      </c>
      <c r="H25" s="1">
        <v>46000</v>
      </c>
      <c r="J25" s="1"/>
    </row>
    <row r="26" spans="1:10" x14ac:dyDescent="0.15">
      <c r="A26">
        <v>10</v>
      </c>
      <c r="B26" t="s">
        <v>90</v>
      </c>
      <c r="C26" t="s">
        <v>91</v>
      </c>
      <c r="D26" t="s">
        <v>78</v>
      </c>
      <c r="E26" t="b">
        <v>0</v>
      </c>
      <c r="F26" t="s">
        <v>634</v>
      </c>
      <c r="G26">
        <v>35</v>
      </c>
      <c r="H26" s="1">
        <v>46000</v>
      </c>
      <c r="J26" s="1"/>
    </row>
    <row r="27" spans="1:10" x14ac:dyDescent="0.15">
      <c r="A27">
        <v>477</v>
      </c>
      <c r="B27" t="s">
        <v>90</v>
      </c>
      <c r="C27" t="s">
        <v>92</v>
      </c>
      <c r="D27" t="s">
        <v>60</v>
      </c>
      <c r="E27" t="b">
        <v>1</v>
      </c>
      <c r="F27" t="s">
        <v>634</v>
      </c>
      <c r="G27">
        <v>34</v>
      </c>
      <c r="H27" s="1">
        <v>46000</v>
      </c>
      <c r="J27" s="1"/>
    </row>
    <row r="28" spans="1:10" x14ac:dyDescent="0.15">
      <c r="A28">
        <v>1318</v>
      </c>
      <c r="B28" t="s">
        <v>93</v>
      </c>
      <c r="C28" t="s">
        <v>94</v>
      </c>
      <c r="D28" t="s">
        <v>60</v>
      </c>
      <c r="E28" t="b">
        <v>0</v>
      </c>
      <c r="F28" t="s">
        <v>634</v>
      </c>
      <c r="G28">
        <v>22</v>
      </c>
      <c r="H28" s="1">
        <v>46000</v>
      </c>
      <c r="J28" s="1"/>
    </row>
    <row r="29" spans="1:10" x14ac:dyDescent="0.15">
      <c r="A29">
        <v>779</v>
      </c>
      <c r="B29" t="s">
        <v>95</v>
      </c>
      <c r="C29" t="s">
        <v>96</v>
      </c>
      <c r="D29" t="s">
        <v>60</v>
      </c>
      <c r="E29" t="b">
        <v>0</v>
      </c>
      <c r="F29" t="s">
        <v>634</v>
      </c>
      <c r="G29">
        <v>15</v>
      </c>
      <c r="H29" s="1">
        <v>46000</v>
      </c>
      <c r="J29" s="1"/>
    </row>
    <row r="30" spans="1:10" x14ac:dyDescent="0.15">
      <c r="A30">
        <v>1029</v>
      </c>
      <c r="B30" t="s">
        <v>97</v>
      </c>
      <c r="C30" t="s">
        <v>98</v>
      </c>
      <c r="D30" t="s">
        <v>60</v>
      </c>
      <c r="E30" t="b">
        <v>0</v>
      </c>
      <c r="F30" t="s">
        <v>634</v>
      </c>
      <c r="G30">
        <v>28</v>
      </c>
      <c r="H30" s="1">
        <v>46000</v>
      </c>
      <c r="J30" s="1"/>
    </row>
    <row r="31" spans="1:10" x14ac:dyDescent="0.15">
      <c r="A31">
        <v>13</v>
      </c>
      <c r="B31" t="s">
        <v>99</v>
      </c>
      <c r="C31" t="s">
        <v>81</v>
      </c>
      <c r="D31" t="s">
        <v>60</v>
      </c>
      <c r="E31" t="b">
        <v>0</v>
      </c>
      <c r="F31" t="s">
        <v>634</v>
      </c>
      <c r="G31">
        <v>28</v>
      </c>
      <c r="H31" s="1">
        <v>46000</v>
      </c>
      <c r="J31" s="1"/>
    </row>
    <row r="32" spans="1:10" x14ac:dyDescent="0.15">
      <c r="A32">
        <v>1255</v>
      </c>
      <c r="B32" t="s">
        <v>100</v>
      </c>
      <c r="C32" t="s">
        <v>101</v>
      </c>
      <c r="D32" t="s">
        <v>60</v>
      </c>
      <c r="E32" t="b">
        <v>1</v>
      </c>
      <c r="F32" t="s">
        <v>634</v>
      </c>
      <c r="G32">
        <v>13</v>
      </c>
      <c r="H32" s="1">
        <v>46000</v>
      </c>
      <c r="J32" s="1"/>
    </row>
    <row r="33" spans="1:10" x14ac:dyDescent="0.15">
      <c r="A33">
        <v>919</v>
      </c>
      <c r="B33" t="s">
        <v>102</v>
      </c>
      <c r="C33" t="s">
        <v>81</v>
      </c>
      <c r="D33" t="s">
        <v>60</v>
      </c>
      <c r="E33" t="b">
        <v>0</v>
      </c>
      <c r="F33" t="s">
        <v>634</v>
      </c>
      <c r="G33">
        <v>16</v>
      </c>
      <c r="H33" s="1">
        <v>46000</v>
      </c>
      <c r="J33" s="1"/>
    </row>
    <row r="34" spans="1:10" x14ac:dyDescent="0.15">
      <c r="A34">
        <v>1190</v>
      </c>
      <c r="B34" t="s">
        <v>103</v>
      </c>
      <c r="C34" t="s">
        <v>104</v>
      </c>
      <c r="D34" t="s">
        <v>60</v>
      </c>
      <c r="E34" t="b">
        <v>0</v>
      </c>
      <c r="F34" t="s">
        <v>636</v>
      </c>
      <c r="H34" s="1">
        <v>46000</v>
      </c>
      <c r="J34" s="1"/>
    </row>
    <row r="35" spans="1:10" x14ac:dyDescent="0.15">
      <c r="A35">
        <v>1189</v>
      </c>
      <c r="B35" t="s">
        <v>103</v>
      </c>
      <c r="C35" t="s">
        <v>105</v>
      </c>
      <c r="D35" t="s">
        <v>60</v>
      </c>
      <c r="E35" t="b">
        <v>0</v>
      </c>
      <c r="F35" t="s">
        <v>636</v>
      </c>
      <c r="H35" s="1">
        <v>46000</v>
      </c>
      <c r="J35" s="1"/>
    </row>
    <row r="36" spans="1:10" x14ac:dyDescent="0.15">
      <c r="A36">
        <v>735</v>
      </c>
      <c r="B36" t="s">
        <v>103</v>
      </c>
      <c r="C36" t="s">
        <v>106</v>
      </c>
      <c r="D36" t="s">
        <v>286</v>
      </c>
      <c r="E36" t="b">
        <v>0</v>
      </c>
      <c r="F36" t="s">
        <v>635</v>
      </c>
      <c r="H36" s="1">
        <v>46000</v>
      </c>
      <c r="J36" s="1"/>
    </row>
    <row r="37" spans="1:10" x14ac:dyDescent="0.15">
      <c r="A37">
        <v>1319</v>
      </c>
      <c r="B37" t="s">
        <v>107</v>
      </c>
      <c r="C37" t="s">
        <v>59</v>
      </c>
      <c r="D37" t="s">
        <v>60</v>
      </c>
      <c r="E37" t="b">
        <v>0</v>
      </c>
      <c r="F37" t="s">
        <v>634</v>
      </c>
      <c r="G37">
        <v>9</v>
      </c>
      <c r="H37" s="1">
        <v>46000</v>
      </c>
      <c r="J37" s="1"/>
    </row>
    <row r="38" spans="1:10" x14ac:dyDescent="0.15">
      <c r="A38">
        <v>1389</v>
      </c>
      <c r="B38" t="s">
        <v>285</v>
      </c>
      <c r="C38" t="s">
        <v>284</v>
      </c>
      <c r="D38" t="s">
        <v>60</v>
      </c>
      <c r="E38" t="b">
        <v>0</v>
      </c>
      <c r="F38" t="s">
        <v>635</v>
      </c>
      <c r="H38" s="1">
        <v>46000</v>
      </c>
      <c r="J38" s="1"/>
    </row>
    <row r="39" spans="1:10" x14ac:dyDescent="0.15">
      <c r="A39">
        <v>1291</v>
      </c>
      <c r="B39" t="s">
        <v>108</v>
      </c>
      <c r="C39" t="s">
        <v>109</v>
      </c>
      <c r="D39" t="s">
        <v>60</v>
      </c>
      <c r="E39" t="b">
        <v>0</v>
      </c>
      <c r="F39" t="s">
        <v>634</v>
      </c>
      <c r="G39">
        <v>6</v>
      </c>
      <c r="H39" s="1">
        <v>46000</v>
      </c>
      <c r="J39" s="1"/>
    </row>
    <row r="40" spans="1:10" x14ac:dyDescent="0.15">
      <c r="A40">
        <v>940</v>
      </c>
      <c r="B40" t="s">
        <v>110</v>
      </c>
      <c r="C40" t="s">
        <v>111</v>
      </c>
      <c r="D40" t="s">
        <v>60</v>
      </c>
      <c r="E40" t="b">
        <v>1</v>
      </c>
      <c r="F40" t="s">
        <v>634</v>
      </c>
      <c r="G40">
        <v>9</v>
      </c>
      <c r="H40" s="1">
        <v>46000</v>
      </c>
      <c r="J40" s="1"/>
    </row>
    <row r="41" spans="1:10" x14ac:dyDescent="0.15">
      <c r="A41">
        <v>806</v>
      </c>
      <c r="B41" t="s">
        <v>110</v>
      </c>
      <c r="C41" t="s">
        <v>96</v>
      </c>
      <c r="D41" t="s">
        <v>60</v>
      </c>
      <c r="E41" t="b">
        <v>0</v>
      </c>
      <c r="F41" t="s">
        <v>634</v>
      </c>
      <c r="G41">
        <v>11</v>
      </c>
      <c r="H41" s="1">
        <v>46000</v>
      </c>
      <c r="J41" s="1"/>
    </row>
    <row r="42" spans="1:10" x14ac:dyDescent="0.15">
      <c r="A42">
        <v>1306</v>
      </c>
      <c r="B42" t="s">
        <v>112</v>
      </c>
      <c r="C42" t="s">
        <v>59</v>
      </c>
      <c r="D42" t="s">
        <v>60</v>
      </c>
      <c r="E42" t="b">
        <v>0</v>
      </c>
      <c r="F42" t="s">
        <v>634</v>
      </c>
      <c r="G42">
        <v>11</v>
      </c>
      <c r="H42" s="1">
        <v>46000</v>
      </c>
      <c r="J42" s="1"/>
    </row>
    <row r="43" spans="1:10" x14ac:dyDescent="0.15">
      <c r="A43">
        <v>361</v>
      </c>
      <c r="B43" t="s">
        <v>113</v>
      </c>
      <c r="C43" t="s">
        <v>53</v>
      </c>
      <c r="D43" t="s">
        <v>60</v>
      </c>
      <c r="E43" t="b">
        <v>0</v>
      </c>
      <c r="F43" t="s">
        <v>634</v>
      </c>
      <c r="G43">
        <v>2</v>
      </c>
      <c r="H43" s="1">
        <v>46000</v>
      </c>
      <c r="J43" s="1"/>
    </row>
    <row r="44" spans="1:10" x14ac:dyDescent="0.15">
      <c r="A44">
        <v>482</v>
      </c>
      <c r="B44" t="s">
        <v>113</v>
      </c>
      <c r="C44" t="s">
        <v>296</v>
      </c>
      <c r="D44" t="s">
        <v>60</v>
      </c>
      <c r="E44" t="b">
        <v>0</v>
      </c>
      <c r="F44" t="s">
        <v>634</v>
      </c>
      <c r="G44">
        <v>13</v>
      </c>
      <c r="H44" s="1">
        <v>46000</v>
      </c>
      <c r="J44" s="1"/>
    </row>
    <row r="45" spans="1:10" x14ac:dyDescent="0.15">
      <c r="A45">
        <v>674</v>
      </c>
      <c r="B45" t="s">
        <v>297</v>
      </c>
      <c r="C45" t="s">
        <v>298</v>
      </c>
      <c r="D45" t="s">
        <v>286</v>
      </c>
      <c r="E45" t="b">
        <v>1</v>
      </c>
      <c r="F45" t="s">
        <v>634</v>
      </c>
      <c r="G45">
        <v>23</v>
      </c>
      <c r="H45" s="1">
        <v>46000</v>
      </c>
      <c r="J45" s="1"/>
    </row>
    <row r="46" spans="1:10" x14ac:dyDescent="0.15">
      <c r="A46">
        <v>1383</v>
      </c>
      <c r="B46" t="s">
        <v>299</v>
      </c>
      <c r="C46" t="s">
        <v>300</v>
      </c>
      <c r="D46" t="s">
        <v>60</v>
      </c>
      <c r="E46" t="b">
        <v>0</v>
      </c>
      <c r="F46" t="s">
        <v>636</v>
      </c>
      <c r="H46" s="1">
        <v>46000</v>
      </c>
      <c r="J46" s="1"/>
    </row>
    <row r="47" spans="1:10" x14ac:dyDescent="0.15">
      <c r="A47">
        <v>1061</v>
      </c>
      <c r="B47" t="s">
        <v>301</v>
      </c>
      <c r="C47" t="s">
        <v>302</v>
      </c>
      <c r="D47" t="s">
        <v>60</v>
      </c>
      <c r="E47" t="b">
        <v>0</v>
      </c>
      <c r="F47" t="s">
        <v>634</v>
      </c>
      <c r="G47">
        <v>19</v>
      </c>
      <c r="H47" s="1">
        <v>46000</v>
      </c>
      <c r="J47" s="1"/>
    </row>
    <row r="48" spans="1:10" x14ac:dyDescent="0.15">
      <c r="A48">
        <v>763</v>
      </c>
      <c r="B48" t="s">
        <v>303</v>
      </c>
      <c r="C48" t="s">
        <v>87</v>
      </c>
      <c r="D48" t="s">
        <v>60</v>
      </c>
      <c r="E48" t="b">
        <v>0</v>
      </c>
      <c r="F48" t="s">
        <v>634</v>
      </c>
      <c r="G48">
        <v>17</v>
      </c>
      <c r="H48" s="1">
        <v>46000</v>
      </c>
      <c r="J48" s="1"/>
    </row>
    <row r="49" spans="1:10" x14ac:dyDescent="0.15">
      <c r="A49">
        <v>1227</v>
      </c>
      <c r="B49" t="s">
        <v>304</v>
      </c>
      <c r="C49" t="s">
        <v>305</v>
      </c>
      <c r="D49" t="s">
        <v>60</v>
      </c>
      <c r="E49" t="b">
        <v>1</v>
      </c>
      <c r="F49" t="s">
        <v>634</v>
      </c>
      <c r="G49">
        <v>8</v>
      </c>
      <c r="H49" s="1">
        <v>46000</v>
      </c>
      <c r="J49" s="1"/>
    </row>
    <row r="50" spans="1:10" x14ac:dyDescent="0.15">
      <c r="A50">
        <v>715</v>
      </c>
      <c r="B50" t="s">
        <v>306</v>
      </c>
      <c r="C50" t="s">
        <v>307</v>
      </c>
      <c r="D50" t="s">
        <v>60</v>
      </c>
      <c r="E50" t="b">
        <v>0</v>
      </c>
      <c r="F50" t="s">
        <v>634</v>
      </c>
      <c r="G50">
        <v>5</v>
      </c>
      <c r="H50" s="1">
        <v>46000</v>
      </c>
      <c r="J50" s="1"/>
    </row>
    <row r="51" spans="1:10" x14ac:dyDescent="0.15">
      <c r="A51">
        <v>567</v>
      </c>
      <c r="B51" t="s">
        <v>308</v>
      </c>
      <c r="C51" t="s">
        <v>309</v>
      </c>
      <c r="D51" t="s">
        <v>60</v>
      </c>
      <c r="E51" t="b">
        <v>0</v>
      </c>
      <c r="F51" t="s">
        <v>634</v>
      </c>
      <c r="G51">
        <v>7</v>
      </c>
      <c r="H51" s="1">
        <v>46000</v>
      </c>
      <c r="J51" s="1"/>
    </row>
    <row r="52" spans="1:10" x14ac:dyDescent="0.15">
      <c r="A52">
        <v>1295</v>
      </c>
      <c r="B52" t="s">
        <v>310</v>
      </c>
      <c r="C52" t="s">
        <v>311</v>
      </c>
      <c r="D52" t="s">
        <v>60</v>
      </c>
      <c r="E52" t="b">
        <v>1</v>
      </c>
      <c r="F52" t="s">
        <v>635</v>
      </c>
      <c r="H52" s="1">
        <v>46000</v>
      </c>
      <c r="J52" s="1"/>
    </row>
    <row r="53" spans="1:10" x14ac:dyDescent="0.15">
      <c r="A53">
        <v>704</v>
      </c>
      <c r="B53" t="s">
        <v>312</v>
      </c>
      <c r="C53" t="s">
        <v>66</v>
      </c>
      <c r="D53" t="s">
        <v>60</v>
      </c>
      <c r="E53" t="b">
        <v>0</v>
      </c>
      <c r="F53" t="s">
        <v>634</v>
      </c>
      <c r="G53">
        <v>21</v>
      </c>
      <c r="H53" s="1">
        <v>46000</v>
      </c>
      <c r="J53" s="1"/>
    </row>
    <row r="54" spans="1:10" x14ac:dyDescent="0.15">
      <c r="A54">
        <v>1283</v>
      </c>
      <c r="B54" t="s">
        <v>313</v>
      </c>
      <c r="C54" t="s">
        <v>314</v>
      </c>
      <c r="D54" t="s">
        <v>60</v>
      </c>
      <c r="E54" t="b">
        <v>0</v>
      </c>
      <c r="F54" t="s">
        <v>634</v>
      </c>
      <c r="G54">
        <v>18</v>
      </c>
      <c r="H54" s="1">
        <v>46000</v>
      </c>
      <c r="J54" s="1"/>
    </row>
    <row r="55" spans="1:10" x14ac:dyDescent="0.15">
      <c r="A55">
        <v>295</v>
      </c>
      <c r="B55" t="s">
        <v>315</v>
      </c>
      <c r="C55" t="s">
        <v>316</v>
      </c>
      <c r="D55" t="s">
        <v>60</v>
      </c>
      <c r="E55" t="b">
        <v>0</v>
      </c>
      <c r="F55" t="s">
        <v>634</v>
      </c>
      <c r="G55">
        <v>15</v>
      </c>
      <c r="H55" s="1">
        <v>46000</v>
      </c>
      <c r="J55" s="1"/>
    </row>
    <row r="56" spans="1:10" x14ac:dyDescent="0.15">
      <c r="A56">
        <v>1169</v>
      </c>
      <c r="B56" t="s">
        <v>317</v>
      </c>
      <c r="C56" t="s">
        <v>94</v>
      </c>
      <c r="D56" t="s">
        <v>60</v>
      </c>
      <c r="E56" t="b">
        <v>0</v>
      </c>
      <c r="F56" t="s">
        <v>635</v>
      </c>
      <c r="H56" s="1">
        <v>46000</v>
      </c>
      <c r="J56" s="1"/>
    </row>
    <row r="57" spans="1:10" x14ac:dyDescent="0.15">
      <c r="A57">
        <v>1226</v>
      </c>
      <c r="B57" t="s">
        <v>318</v>
      </c>
      <c r="C57" t="s">
        <v>319</v>
      </c>
      <c r="D57" t="s">
        <v>60</v>
      </c>
      <c r="E57" t="b">
        <v>1</v>
      </c>
      <c r="F57" t="s">
        <v>635</v>
      </c>
      <c r="H57" s="1">
        <v>46000</v>
      </c>
      <c r="J57" s="1"/>
    </row>
    <row r="58" spans="1:10" x14ac:dyDescent="0.15">
      <c r="A58">
        <v>1333</v>
      </c>
      <c r="B58" t="s">
        <v>320</v>
      </c>
      <c r="C58" t="s">
        <v>321</v>
      </c>
      <c r="D58" t="s">
        <v>60</v>
      </c>
      <c r="E58" t="b">
        <v>0</v>
      </c>
      <c r="F58" t="s">
        <v>634</v>
      </c>
      <c r="G58">
        <v>3</v>
      </c>
      <c r="H58" s="1">
        <v>46000</v>
      </c>
      <c r="J58" s="1"/>
    </row>
    <row r="59" spans="1:10" x14ac:dyDescent="0.15">
      <c r="A59">
        <v>1185</v>
      </c>
      <c r="B59" t="s">
        <v>322</v>
      </c>
      <c r="C59" t="s">
        <v>323</v>
      </c>
      <c r="D59" t="s">
        <v>60</v>
      </c>
      <c r="E59" t="b">
        <v>1</v>
      </c>
      <c r="F59" t="s">
        <v>636</v>
      </c>
      <c r="H59" s="1">
        <v>46000</v>
      </c>
      <c r="J59" s="1"/>
    </row>
    <row r="60" spans="1:10" x14ac:dyDescent="0.15">
      <c r="A60">
        <v>1065</v>
      </c>
      <c r="B60" t="s">
        <v>322</v>
      </c>
      <c r="C60" t="s">
        <v>71</v>
      </c>
      <c r="D60" t="s">
        <v>60</v>
      </c>
      <c r="E60" t="b">
        <v>0</v>
      </c>
      <c r="F60" t="s">
        <v>634</v>
      </c>
      <c r="G60">
        <v>1</v>
      </c>
      <c r="H60" s="1">
        <v>46000</v>
      </c>
      <c r="J60" s="1"/>
    </row>
    <row r="61" spans="1:10" x14ac:dyDescent="0.15">
      <c r="A61">
        <v>1137</v>
      </c>
      <c r="B61" t="s">
        <v>324</v>
      </c>
      <c r="C61" t="s">
        <v>321</v>
      </c>
      <c r="D61" t="s">
        <v>286</v>
      </c>
      <c r="E61" t="b">
        <v>0</v>
      </c>
      <c r="F61" t="s">
        <v>634</v>
      </c>
      <c r="G61">
        <v>6</v>
      </c>
      <c r="H61" s="1">
        <v>46000</v>
      </c>
      <c r="J61" s="1"/>
    </row>
    <row r="62" spans="1:10" x14ac:dyDescent="0.15">
      <c r="A62">
        <v>701</v>
      </c>
      <c r="B62" t="s">
        <v>325</v>
      </c>
      <c r="C62" t="s">
        <v>326</v>
      </c>
      <c r="D62" t="s">
        <v>60</v>
      </c>
      <c r="E62" t="b">
        <v>0</v>
      </c>
      <c r="F62" t="s">
        <v>634</v>
      </c>
      <c r="G62">
        <v>4</v>
      </c>
      <c r="H62" s="1">
        <v>46000</v>
      </c>
      <c r="J62" s="1"/>
    </row>
    <row r="63" spans="1:10" x14ac:dyDescent="0.15">
      <c r="A63">
        <v>1316</v>
      </c>
      <c r="B63" t="s">
        <v>327</v>
      </c>
      <c r="C63" t="s">
        <v>67</v>
      </c>
      <c r="D63" t="s">
        <v>286</v>
      </c>
      <c r="E63" t="b">
        <v>0</v>
      </c>
      <c r="F63" t="s">
        <v>634</v>
      </c>
      <c r="G63">
        <v>10</v>
      </c>
      <c r="H63" s="1">
        <v>46000</v>
      </c>
      <c r="J63" s="1"/>
    </row>
    <row r="64" spans="1:10" x14ac:dyDescent="0.15">
      <c r="A64">
        <v>1096</v>
      </c>
      <c r="B64" t="s">
        <v>328</v>
      </c>
      <c r="C64" t="s">
        <v>329</v>
      </c>
      <c r="D64" t="s">
        <v>60</v>
      </c>
      <c r="E64" t="b">
        <v>0</v>
      </c>
      <c r="F64" t="s">
        <v>636</v>
      </c>
      <c r="H64" s="1">
        <v>46000</v>
      </c>
      <c r="J64" s="1"/>
    </row>
    <row r="65" spans="1:10" x14ac:dyDescent="0.15">
      <c r="A65">
        <v>1236</v>
      </c>
      <c r="B65" t="s">
        <v>328</v>
      </c>
      <c r="C65" t="s">
        <v>330</v>
      </c>
      <c r="D65" t="s">
        <v>60</v>
      </c>
      <c r="E65" t="b">
        <v>1</v>
      </c>
      <c r="F65" t="s">
        <v>634</v>
      </c>
      <c r="G65">
        <v>5</v>
      </c>
      <c r="H65" s="1">
        <v>46000</v>
      </c>
      <c r="J65" s="1"/>
    </row>
    <row r="66" spans="1:10" x14ac:dyDescent="0.15">
      <c r="A66">
        <v>699</v>
      </c>
      <c r="B66" t="s">
        <v>328</v>
      </c>
      <c r="C66" t="s">
        <v>331</v>
      </c>
      <c r="D66" t="s">
        <v>60</v>
      </c>
      <c r="E66" t="b">
        <v>0</v>
      </c>
      <c r="F66" t="s">
        <v>634</v>
      </c>
      <c r="G66">
        <v>5</v>
      </c>
      <c r="H66" s="1">
        <v>46000</v>
      </c>
      <c r="J66" s="1"/>
    </row>
    <row r="67" spans="1:10" x14ac:dyDescent="0.15">
      <c r="A67">
        <v>682</v>
      </c>
      <c r="B67" t="s">
        <v>332</v>
      </c>
      <c r="C67" t="s">
        <v>333</v>
      </c>
      <c r="D67" t="s">
        <v>286</v>
      </c>
      <c r="E67" t="b">
        <v>0</v>
      </c>
      <c r="F67" t="s">
        <v>634</v>
      </c>
      <c r="G67">
        <v>11</v>
      </c>
      <c r="H67" s="1">
        <v>46000</v>
      </c>
      <c r="J67" s="1"/>
    </row>
    <row r="68" spans="1:10" x14ac:dyDescent="0.15">
      <c r="A68">
        <v>1000</v>
      </c>
      <c r="B68" t="s">
        <v>334</v>
      </c>
      <c r="C68" t="s">
        <v>335</v>
      </c>
      <c r="D68" t="s">
        <v>60</v>
      </c>
      <c r="E68" t="b">
        <v>0</v>
      </c>
      <c r="F68" t="s">
        <v>635</v>
      </c>
      <c r="H68" s="1">
        <v>46000</v>
      </c>
      <c r="J68" s="1"/>
    </row>
    <row r="69" spans="1:10" x14ac:dyDescent="0.15">
      <c r="A69">
        <v>1332</v>
      </c>
      <c r="B69" t="s">
        <v>336</v>
      </c>
      <c r="C69" t="s">
        <v>337</v>
      </c>
      <c r="D69" t="s">
        <v>60</v>
      </c>
      <c r="E69" t="b">
        <v>1</v>
      </c>
      <c r="F69" t="s">
        <v>635</v>
      </c>
      <c r="H69" s="1">
        <v>46000</v>
      </c>
      <c r="J69" s="1"/>
    </row>
    <row r="70" spans="1:10" x14ac:dyDescent="0.15">
      <c r="A70">
        <v>1355</v>
      </c>
      <c r="B70" t="s">
        <v>338</v>
      </c>
      <c r="C70" t="s">
        <v>339</v>
      </c>
      <c r="D70" t="s">
        <v>60</v>
      </c>
      <c r="E70" t="b">
        <v>0</v>
      </c>
      <c r="F70" t="s">
        <v>636</v>
      </c>
      <c r="H70" s="1">
        <v>46000</v>
      </c>
      <c r="J70" s="1"/>
    </row>
    <row r="71" spans="1:10" x14ac:dyDescent="0.15">
      <c r="A71">
        <v>1164</v>
      </c>
      <c r="B71" t="s">
        <v>340</v>
      </c>
      <c r="C71" t="s">
        <v>341</v>
      </c>
      <c r="D71" t="s">
        <v>286</v>
      </c>
      <c r="E71" t="b">
        <v>1</v>
      </c>
      <c r="F71" t="s">
        <v>635</v>
      </c>
      <c r="H71" s="1">
        <v>46000</v>
      </c>
      <c r="J71" s="1"/>
    </row>
    <row r="72" spans="1:10" x14ac:dyDescent="0.15">
      <c r="A72">
        <v>1062</v>
      </c>
      <c r="B72" t="s">
        <v>340</v>
      </c>
      <c r="C72" t="s">
        <v>96</v>
      </c>
      <c r="D72" t="s">
        <v>60</v>
      </c>
      <c r="E72" t="b">
        <v>0</v>
      </c>
      <c r="F72" t="s">
        <v>634</v>
      </c>
      <c r="G72">
        <v>9</v>
      </c>
      <c r="H72" s="1">
        <v>46000</v>
      </c>
      <c r="J72" s="1"/>
    </row>
    <row r="73" spans="1:10" x14ac:dyDescent="0.15">
      <c r="A73">
        <v>938</v>
      </c>
      <c r="B73" t="s">
        <v>340</v>
      </c>
      <c r="C73" t="s">
        <v>342</v>
      </c>
      <c r="D73" t="s">
        <v>60</v>
      </c>
      <c r="E73" t="b">
        <v>1</v>
      </c>
      <c r="F73" t="s">
        <v>634</v>
      </c>
      <c r="G73">
        <v>7</v>
      </c>
      <c r="H73" s="1">
        <v>46000</v>
      </c>
      <c r="J73" s="1"/>
    </row>
    <row r="74" spans="1:10" x14ac:dyDescent="0.15">
      <c r="A74">
        <v>939</v>
      </c>
      <c r="B74" t="s">
        <v>343</v>
      </c>
      <c r="C74" t="s">
        <v>344</v>
      </c>
      <c r="D74" t="s">
        <v>60</v>
      </c>
      <c r="E74" t="b">
        <v>1</v>
      </c>
      <c r="F74" t="s">
        <v>634</v>
      </c>
      <c r="G74">
        <v>12</v>
      </c>
      <c r="H74" s="1">
        <v>46000</v>
      </c>
      <c r="J74" s="1"/>
    </row>
    <row r="75" spans="1:10" x14ac:dyDescent="0.15">
      <c r="A75">
        <v>1377</v>
      </c>
      <c r="B75" t="s">
        <v>345</v>
      </c>
      <c r="C75" t="s">
        <v>346</v>
      </c>
      <c r="D75" t="s">
        <v>60</v>
      </c>
      <c r="E75" t="b">
        <v>1</v>
      </c>
      <c r="F75" t="s">
        <v>634</v>
      </c>
      <c r="G75">
        <v>12</v>
      </c>
      <c r="H75" s="1">
        <v>46000</v>
      </c>
      <c r="J75" s="1"/>
    </row>
    <row r="76" spans="1:10" x14ac:dyDescent="0.15">
      <c r="A76">
        <v>1281</v>
      </c>
      <c r="B76" t="s">
        <v>347</v>
      </c>
      <c r="C76" t="s">
        <v>348</v>
      </c>
      <c r="D76" t="s">
        <v>60</v>
      </c>
      <c r="E76" t="b">
        <v>0</v>
      </c>
      <c r="F76" t="s">
        <v>634</v>
      </c>
      <c r="G76">
        <v>19</v>
      </c>
      <c r="H76" s="1">
        <v>46000</v>
      </c>
      <c r="J76" s="1"/>
    </row>
    <row r="77" spans="1:10" x14ac:dyDescent="0.15">
      <c r="A77">
        <v>1274</v>
      </c>
      <c r="B77" t="s">
        <v>349</v>
      </c>
      <c r="C77" t="s">
        <v>350</v>
      </c>
      <c r="D77" t="s">
        <v>60</v>
      </c>
      <c r="E77" t="b">
        <v>1</v>
      </c>
      <c r="F77" t="s">
        <v>635</v>
      </c>
      <c r="H77" s="1">
        <v>46000</v>
      </c>
      <c r="J77" s="1"/>
    </row>
    <row r="78" spans="1:10" x14ac:dyDescent="0.15">
      <c r="A78">
        <v>933</v>
      </c>
      <c r="B78" t="s">
        <v>351</v>
      </c>
      <c r="C78" t="s">
        <v>352</v>
      </c>
      <c r="D78" t="s">
        <v>60</v>
      </c>
      <c r="E78" t="b">
        <v>0</v>
      </c>
      <c r="F78" t="s">
        <v>635</v>
      </c>
      <c r="H78" s="1">
        <v>46000</v>
      </c>
      <c r="J78" s="1"/>
    </row>
    <row r="79" spans="1:10" x14ac:dyDescent="0.15">
      <c r="A79">
        <v>1317</v>
      </c>
      <c r="B79" t="s">
        <v>353</v>
      </c>
      <c r="C79" t="s">
        <v>309</v>
      </c>
      <c r="D79" t="s">
        <v>60</v>
      </c>
      <c r="E79" t="b">
        <v>0</v>
      </c>
      <c r="F79" t="s">
        <v>634</v>
      </c>
      <c r="G79">
        <v>23</v>
      </c>
      <c r="H79" s="1">
        <v>46000</v>
      </c>
      <c r="J79" s="1"/>
    </row>
    <row r="80" spans="1:10" x14ac:dyDescent="0.15">
      <c r="A80">
        <v>493</v>
      </c>
      <c r="B80" t="s">
        <v>354</v>
      </c>
      <c r="C80" t="s">
        <v>79</v>
      </c>
      <c r="D80" t="s">
        <v>78</v>
      </c>
      <c r="E80" t="b">
        <v>0</v>
      </c>
      <c r="F80" t="s">
        <v>634</v>
      </c>
      <c r="G80">
        <v>37</v>
      </c>
      <c r="H80" s="1">
        <v>46000</v>
      </c>
      <c r="J80" s="1"/>
    </row>
    <row r="81" spans="1:10" x14ac:dyDescent="0.15">
      <c r="A81">
        <v>1287</v>
      </c>
      <c r="B81" t="s">
        <v>355</v>
      </c>
      <c r="C81" t="s">
        <v>356</v>
      </c>
      <c r="D81" t="s">
        <v>60</v>
      </c>
      <c r="E81" t="b">
        <v>1</v>
      </c>
      <c r="F81" t="s">
        <v>634</v>
      </c>
      <c r="G81">
        <v>21</v>
      </c>
      <c r="H81" s="1">
        <v>46000</v>
      </c>
      <c r="J81" s="1"/>
    </row>
    <row r="82" spans="1:10" x14ac:dyDescent="0.15">
      <c r="A82">
        <v>1279</v>
      </c>
      <c r="B82" t="s">
        <v>357</v>
      </c>
      <c r="C82" t="s">
        <v>358</v>
      </c>
      <c r="D82" t="s">
        <v>60</v>
      </c>
      <c r="E82" t="b">
        <v>0</v>
      </c>
      <c r="F82" t="s">
        <v>634</v>
      </c>
      <c r="G82">
        <v>4</v>
      </c>
      <c r="H82" s="1">
        <v>46000</v>
      </c>
      <c r="J82" s="1"/>
    </row>
    <row r="83" spans="1:10" x14ac:dyDescent="0.15">
      <c r="A83">
        <v>1196</v>
      </c>
      <c r="B83" t="s">
        <v>359</v>
      </c>
      <c r="C83" t="s">
        <v>360</v>
      </c>
      <c r="D83" t="s">
        <v>60</v>
      </c>
      <c r="E83" t="b">
        <v>0</v>
      </c>
      <c r="F83" t="s">
        <v>636</v>
      </c>
      <c r="H83" s="1">
        <v>46000</v>
      </c>
      <c r="J83" s="1"/>
    </row>
    <row r="84" spans="1:10" x14ac:dyDescent="0.15">
      <c r="A84">
        <v>1195</v>
      </c>
      <c r="B84" t="s">
        <v>359</v>
      </c>
      <c r="C84" t="s">
        <v>361</v>
      </c>
      <c r="D84" t="s">
        <v>60</v>
      </c>
      <c r="E84" t="b">
        <v>0</v>
      </c>
      <c r="F84" t="s">
        <v>636</v>
      </c>
      <c r="H84" s="1">
        <v>46000</v>
      </c>
      <c r="J84" s="1"/>
    </row>
    <row r="85" spans="1:10" x14ac:dyDescent="0.15">
      <c r="A85">
        <v>1193</v>
      </c>
      <c r="B85" t="s">
        <v>359</v>
      </c>
      <c r="C85" t="s">
        <v>362</v>
      </c>
      <c r="D85" t="s">
        <v>60</v>
      </c>
      <c r="E85" t="b">
        <v>0</v>
      </c>
      <c r="F85" t="s">
        <v>635</v>
      </c>
      <c r="H85" s="1">
        <v>46000</v>
      </c>
      <c r="J85" s="1"/>
    </row>
    <row r="86" spans="1:10" x14ac:dyDescent="0.15">
      <c r="A86">
        <v>1194</v>
      </c>
      <c r="B86" t="s">
        <v>359</v>
      </c>
      <c r="C86" t="s">
        <v>363</v>
      </c>
      <c r="D86" t="s">
        <v>60</v>
      </c>
      <c r="E86" t="b">
        <v>1</v>
      </c>
      <c r="F86" t="s">
        <v>635</v>
      </c>
      <c r="H86" s="1">
        <v>46000</v>
      </c>
      <c r="J86" s="1"/>
    </row>
    <row r="87" spans="1:10" x14ac:dyDescent="0.15">
      <c r="A87">
        <v>936</v>
      </c>
      <c r="B87" t="s">
        <v>364</v>
      </c>
      <c r="C87" t="s">
        <v>365</v>
      </c>
      <c r="D87" t="s">
        <v>60</v>
      </c>
      <c r="E87" t="b">
        <v>0</v>
      </c>
      <c r="F87" t="s">
        <v>634</v>
      </c>
      <c r="G87">
        <v>8</v>
      </c>
      <c r="H87" s="1">
        <v>46000</v>
      </c>
      <c r="J87" s="1"/>
    </row>
    <row r="88" spans="1:10" x14ac:dyDescent="0.15">
      <c r="A88">
        <v>1351</v>
      </c>
      <c r="B88" t="s">
        <v>366</v>
      </c>
      <c r="C88" t="s">
        <v>367</v>
      </c>
      <c r="D88" t="s">
        <v>60</v>
      </c>
      <c r="E88" t="b">
        <v>0</v>
      </c>
      <c r="F88" t="s">
        <v>634</v>
      </c>
      <c r="G88">
        <v>4</v>
      </c>
      <c r="H88" s="1">
        <v>46000</v>
      </c>
      <c r="J88" s="1"/>
    </row>
    <row r="89" spans="1:10" x14ac:dyDescent="0.15">
      <c r="A89">
        <v>1176</v>
      </c>
      <c r="B89" t="s">
        <v>366</v>
      </c>
      <c r="C89" t="s">
        <v>368</v>
      </c>
      <c r="D89" t="s">
        <v>60</v>
      </c>
      <c r="E89" t="b">
        <v>0</v>
      </c>
      <c r="F89" t="s">
        <v>636</v>
      </c>
      <c r="H89" s="1">
        <v>46000</v>
      </c>
      <c r="J89" s="1"/>
    </row>
    <row r="90" spans="1:10" x14ac:dyDescent="0.15">
      <c r="A90">
        <v>1174</v>
      </c>
      <c r="B90" t="s">
        <v>366</v>
      </c>
      <c r="C90" t="s">
        <v>369</v>
      </c>
      <c r="D90" t="s">
        <v>60</v>
      </c>
      <c r="E90" t="b">
        <v>1</v>
      </c>
      <c r="F90" t="s">
        <v>634</v>
      </c>
      <c r="G90">
        <v>6</v>
      </c>
      <c r="H90" s="1">
        <v>46000</v>
      </c>
      <c r="J90" s="1"/>
    </row>
    <row r="91" spans="1:10" x14ac:dyDescent="0.15">
      <c r="A91">
        <v>1175</v>
      </c>
      <c r="B91" t="s">
        <v>366</v>
      </c>
      <c r="C91" t="s">
        <v>362</v>
      </c>
      <c r="D91" t="s">
        <v>60</v>
      </c>
      <c r="E91" t="b">
        <v>0</v>
      </c>
      <c r="F91" t="s">
        <v>634</v>
      </c>
      <c r="G91">
        <v>12</v>
      </c>
      <c r="H91" s="1">
        <v>46000</v>
      </c>
      <c r="J91" s="1"/>
    </row>
    <row r="92" spans="1:10" x14ac:dyDescent="0.15">
      <c r="A92">
        <v>1109</v>
      </c>
      <c r="B92" t="s">
        <v>370</v>
      </c>
      <c r="C92" t="s">
        <v>316</v>
      </c>
      <c r="D92" t="s">
        <v>60</v>
      </c>
      <c r="E92" t="b">
        <v>0</v>
      </c>
      <c r="F92" t="s">
        <v>635</v>
      </c>
      <c r="H92" s="1">
        <v>46000</v>
      </c>
      <c r="J92" s="1"/>
    </row>
    <row r="93" spans="1:10" x14ac:dyDescent="0.15">
      <c r="A93">
        <v>1073</v>
      </c>
      <c r="B93" t="s">
        <v>371</v>
      </c>
      <c r="C93" t="s">
        <v>362</v>
      </c>
      <c r="D93" t="s">
        <v>60</v>
      </c>
      <c r="E93" t="b">
        <v>0</v>
      </c>
      <c r="F93" t="s">
        <v>634</v>
      </c>
      <c r="G93">
        <v>3</v>
      </c>
      <c r="H93" s="1">
        <v>46000</v>
      </c>
      <c r="J93" s="1"/>
    </row>
    <row r="94" spans="1:10" x14ac:dyDescent="0.15">
      <c r="A94">
        <v>897</v>
      </c>
      <c r="B94" t="s">
        <v>372</v>
      </c>
      <c r="C94" t="s">
        <v>373</v>
      </c>
      <c r="D94" t="s">
        <v>60</v>
      </c>
      <c r="E94" t="b">
        <v>0</v>
      </c>
      <c r="F94" t="s">
        <v>634</v>
      </c>
      <c r="G94">
        <v>13</v>
      </c>
      <c r="H94" s="1">
        <v>46000</v>
      </c>
      <c r="J94" s="1"/>
    </row>
    <row r="95" spans="1:10" x14ac:dyDescent="0.15">
      <c r="A95">
        <v>1365</v>
      </c>
      <c r="B95" t="s">
        <v>372</v>
      </c>
      <c r="C95" t="s">
        <v>374</v>
      </c>
      <c r="D95" t="s">
        <v>60</v>
      </c>
      <c r="E95" t="b">
        <v>1</v>
      </c>
      <c r="F95" t="s">
        <v>634</v>
      </c>
      <c r="G95">
        <v>7</v>
      </c>
      <c r="H95" s="1">
        <v>46000</v>
      </c>
      <c r="J95" s="1"/>
    </row>
    <row r="96" spans="1:10" x14ac:dyDescent="0.15">
      <c r="A96">
        <v>1366</v>
      </c>
      <c r="B96" t="s">
        <v>372</v>
      </c>
      <c r="C96" t="s">
        <v>375</v>
      </c>
      <c r="D96" t="s">
        <v>60</v>
      </c>
      <c r="E96" t="b">
        <v>1</v>
      </c>
      <c r="F96" t="s">
        <v>635</v>
      </c>
      <c r="H96" s="1">
        <v>46000</v>
      </c>
      <c r="J96" s="1"/>
    </row>
    <row r="97" spans="1:10" x14ac:dyDescent="0.15">
      <c r="A97">
        <v>1367</v>
      </c>
      <c r="B97" t="s">
        <v>372</v>
      </c>
      <c r="C97" t="s">
        <v>360</v>
      </c>
      <c r="D97" t="s">
        <v>60</v>
      </c>
      <c r="E97" t="b">
        <v>0</v>
      </c>
      <c r="F97" t="s">
        <v>636</v>
      </c>
      <c r="H97" s="1">
        <v>46000</v>
      </c>
      <c r="J97" s="1"/>
    </row>
    <row r="98" spans="1:10" x14ac:dyDescent="0.15">
      <c r="A98">
        <v>1387</v>
      </c>
      <c r="B98" t="s">
        <v>376</v>
      </c>
      <c r="C98" t="s">
        <v>377</v>
      </c>
      <c r="D98" t="s">
        <v>60</v>
      </c>
      <c r="E98" t="b">
        <v>1</v>
      </c>
      <c r="F98" t="s">
        <v>635</v>
      </c>
      <c r="H98" s="1">
        <v>46000</v>
      </c>
      <c r="J98" s="1"/>
    </row>
    <row r="99" spans="1:10" x14ac:dyDescent="0.15">
      <c r="A99">
        <v>1308</v>
      </c>
      <c r="B99" t="s">
        <v>378</v>
      </c>
      <c r="C99" t="s">
        <v>379</v>
      </c>
      <c r="D99" t="s">
        <v>60</v>
      </c>
      <c r="E99" t="b">
        <v>1</v>
      </c>
      <c r="F99" t="s">
        <v>634</v>
      </c>
      <c r="G99">
        <v>2</v>
      </c>
      <c r="H99" s="1">
        <v>46000</v>
      </c>
      <c r="J99" s="1"/>
    </row>
    <row r="100" spans="1:10" x14ac:dyDescent="0.15">
      <c r="A100">
        <v>1206</v>
      </c>
      <c r="B100" t="s">
        <v>380</v>
      </c>
      <c r="C100" t="s">
        <v>381</v>
      </c>
      <c r="D100" t="s">
        <v>60</v>
      </c>
      <c r="E100" t="b">
        <v>1</v>
      </c>
      <c r="F100" t="s">
        <v>634</v>
      </c>
      <c r="G100">
        <v>8</v>
      </c>
      <c r="H100" s="1">
        <v>46000</v>
      </c>
      <c r="J100" s="1"/>
    </row>
    <row r="101" spans="1:10" x14ac:dyDescent="0.15">
      <c r="A101">
        <v>1205</v>
      </c>
      <c r="B101" t="s">
        <v>380</v>
      </c>
      <c r="C101" t="s">
        <v>91</v>
      </c>
      <c r="D101" t="s">
        <v>60</v>
      </c>
      <c r="E101" t="b">
        <v>0</v>
      </c>
      <c r="F101" t="s">
        <v>634</v>
      </c>
      <c r="G101">
        <v>14</v>
      </c>
      <c r="H101" s="1">
        <v>46000</v>
      </c>
      <c r="J101" s="1"/>
    </row>
    <row r="102" spans="1:10" x14ac:dyDescent="0.15">
      <c r="A102">
        <v>1182</v>
      </c>
      <c r="B102" t="s">
        <v>382</v>
      </c>
      <c r="C102" t="s">
        <v>326</v>
      </c>
      <c r="D102" t="s">
        <v>60</v>
      </c>
      <c r="E102" t="b">
        <v>0</v>
      </c>
      <c r="F102" t="s">
        <v>634</v>
      </c>
      <c r="G102">
        <v>8</v>
      </c>
      <c r="H102" s="1">
        <v>46000</v>
      </c>
      <c r="J102" s="1"/>
    </row>
    <row r="103" spans="1:10" x14ac:dyDescent="0.15">
      <c r="A103">
        <v>1340</v>
      </c>
      <c r="B103" t="s">
        <v>383</v>
      </c>
      <c r="C103" t="s">
        <v>384</v>
      </c>
      <c r="D103" t="s">
        <v>60</v>
      </c>
      <c r="E103" t="b">
        <v>0</v>
      </c>
      <c r="F103" t="s">
        <v>634</v>
      </c>
      <c r="G103">
        <v>8</v>
      </c>
      <c r="H103" s="1">
        <v>46000</v>
      </c>
      <c r="J103" s="1"/>
    </row>
    <row r="104" spans="1:10" x14ac:dyDescent="0.15">
      <c r="A104">
        <v>913</v>
      </c>
      <c r="B104" t="s">
        <v>385</v>
      </c>
      <c r="C104" t="s">
        <v>361</v>
      </c>
      <c r="D104" t="s">
        <v>60</v>
      </c>
      <c r="E104" t="b">
        <v>0</v>
      </c>
      <c r="F104" t="s">
        <v>634</v>
      </c>
      <c r="G104">
        <v>5</v>
      </c>
      <c r="H104" s="1">
        <v>46000</v>
      </c>
      <c r="J104" s="1"/>
    </row>
    <row r="105" spans="1:10" x14ac:dyDescent="0.15">
      <c r="A105">
        <v>21</v>
      </c>
      <c r="B105" t="s">
        <v>385</v>
      </c>
      <c r="C105" t="s">
        <v>386</v>
      </c>
      <c r="D105" t="s">
        <v>60</v>
      </c>
      <c r="E105" t="b">
        <v>0</v>
      </c>
      <c r="F105" t="s">
        <v>635</v>
      </c>
      <c r="H105" s="1">
        <v>46000</v>
      </c>
      <c r="J105" s="1"/>
    </row>
    <row r="106" spans="1:10" x14ac:dyDescent="0.15">
      <c r="A106">
        <v>746</v>
      </c>
      <c r="B106" t="s">
        <v>387</v>
      </c>
      <c r="C106" t="s">
        <v>71</v>
      </c>
      <c r="D106" t="s">
        <v>60</v>
      </c>
      <c r="E106" t="b">
        <v>0</v>
      </c>
      <c r="F106" t="s">
        <v>634</v>
      </c>
      <c r="G106">
        <v>5</v>
      </c>
      <c r="H106" s="1">
        <v>46000</v>
      </c>
      <c r="J106" s="1"/>
    </row>
    <row r="107" spans="1:10" x14ac:dyDescent="0.15">
      <c r="A107">
        <v>1049</v>
      </c>
      <c r="B107" t="s">
        <v>388</v>
      </c>
      <c r="C107" t="s">
        <v>389</v>
      </c>
      <c r="D107" t="s">
        <v>60</v>
      </c>
      <c r="E107" t="b">
        <v>0</v>
      </c>
      <c r="F107" t="s">
        <v>634</v>
      </c>
      <c r="G107">
        <v>19</v>
      </c>
      <c r="H107" s="1">
        <v>46000</v>
      </c>
      <c r="J107" s="1"/>
    </row>
    <row r="108" spans="1:10" x14ac:dyDescent="0.15">
      <c r="A108">
        <v>547</v>
      </c>
      <c r="B108" t="s">
        <v>390</v>
      </c>
      <c r="C108" t="s">
        <v>296</v>
      </c>
      <c r="D108" t="s">
        <v>60</v>
      </c>
      <c r="E108" t="b">
        <v>0</v>
      </c>
      <c r="F108" t="s">
        <v>634</v>
      </c>
      <c r="G108">
        <v>1</v>
      </c>
      <c r="H108" s="1">
        <v>46000</v>
      </c>
      <c r="J108" s="1"/>
    </row>
    <row r="109" spans="1:10" x14ac:dyDescent="0.15">
      <c r="A109">
        <v>120</v>
      </c>
      <c r="B109" t="s">
        <v>391</v>
      </c>
      <c r="C109" t="s">
        <v>392</v>
      </c>
      <c r="D109" t="s">
        <v>60</v>
      </c>
      <c r="E109" t="b">
        <v>1</v>
      </c>
      <c r="F109" t="s">
        <v>634</v>
      </c>
      <c r="G109">
        <v>12</v>
      </c>
      <c r="H109" s="1">
        <v>46000</v>
      </c>
      <c r="J109" s="1"/>
    </row>
    <row r="110" spans="1:10" x14ac:dyDescent="0.15">
      <c r="A110">
        <v>990</v>
      </c>
      <c r="B110" t="s">
        <v>393</v>
      </c>
      <c r="C110" t="s">
        <v>298</v>
      </c>
      <c r="D110" t="s">
        <v>60</v>
      </c>
      <c r="E110" t="b">
        <v>1</v>
      </c>
      <c r="F110" t="s">
        <v>634</v>
      </c>
      <c r="G110">
        <v>10</v>
      </c>
      <c r="H110" s="1">
        <v>46000</v>
      </c>
      <c r="J110" s="1"/>
    </row>
    <row r="111" spans="1:10" x14ac:dyDescent="0.15">
      <c r="A111">
        <v>1158</v>
      </c>
      <c r="B111" t="s">
        <v>394</v>
      </c>
      <c r="C111" t="s">
        <v>395</v>
      </c>
      <c r="D111" t="s">
        <v>60</v>
      </c>
      <c r="E111" t="b">
        <v>1</v>
      </c>
      <c r="F111" t="s">
        <v>635</v>
      </c>
      <c r="H111" s="1">
        <v>46000</v>
      </c>
      <c r="J111" s="1"/>
    </row>
    <row r="112" spans="1:10" x14ac:dyDescent="0.15">
      <c r="A112">
        <v>23</v>
      </c>
      <c r="B112" t="s">
        <v>396</v>
      </c>
      <c r="C112" t="s">
        <v>66</v>
      </c>
      <c r="D112" t="s">
        <v>60</v>
      </c>
      <c r="E112" t="b">
        <v>0</v>
      </c>
      <c r="F112" t="s">
        <v>634</v>
      </c>
      <c r="G112">
        <v>10</v>
      </c>
      <c r="H112" s="1">
        <v>46000</v>
      </c>
      <c r="J112" s="1"/>
    </row>
    <row r="113" spans="1:10" x14ac:dyDescent="0.15">
      <c r="A113">
        <v>1152</v>
      </c>
      <c r="B113" t="s">
        <v>397</v>
      </c>
      <c r="C113" t="s">
        <v>398</v>
      </c>
      <c r="D113" t="s">
        <v>286</v>
      </c>
      <c r="E113" t="b">
        <v>1</v>
      </c>
      <c r="F113" t="s">
        <v>637</v>
      </c>
      <c r="H113" s="1">
        <v>46000</v>
      </c>
      <c r="J113" s="1"/>
    </row>
    <row r="114" spans="1:10" x14ac:dyDescent="0.15">
      <c r="A114">
        <v>581</v>
      </c>
      <c r="B114" t="s">
        <v>399</v>
      </c>
      <c r="C114" t="s">
        <v>400</v>
      </c>
      <c r="D114" t="s">
        <v>60</v>
      </c>
      <c r="E114" t="b">
        <v>0</v>
      </c>
      <c r="F114" t="s">
        <v>634</v>
      </c>
      <c r="G114">
        <v>13</v>
      </c>
      <c r="H114" s="1">
        <v>46000</v>
      </c>
      <c r="J114" s="1"/>
    </row>
    <row r="115" spans="1:10" x14ac:dyDescent="0.15">
      <c r="A115">
        <v>1374</v>
      </c>
      <c r="B115" t="s">
        <v>401</v>
      </c>
      <c r="C115" t="s">
        <v>402</v>
      </c>
      <c r="D115" t="s">
        <v>60</v>
      </c>
      <c r="E115" t="b">
        <v>0</v>
      </c>
      <c r="F115" t="s">
        <v>635</v>
      </c>
      <c r="H115" s="1">
        <v>46000</v>
      </c>
      <c r="J115" s="1"/>
    </row>
    <row r="116" spans="1:10" x14ac:dyDescent="0.15">
      <c r="A116">
        <v>25</v>
      </c>
      <c r="B116" t="s">
        <v>51</v>
      </c>
      <c r="C116" t="s">
        <v>403</v>
      </c>
      <c r="D116" t="s">
        <v>60</v>
      </c>
      <c r="E116" t="b">
        <v>0</v>
      </c>
      <c r="F116" t="s">
        <v>634</v>
      </c>
      <c r="G116">
        <v>8</v>
      </c>
      <c r="H116" s="1">
        <v>46000</v>
      </c>
      <c r="J116" s="1"/>
    </row>
    <row r="117" spans="1:10" x14ac:dyDescent="0.15">
      <c r="A117">
        <v>1257</v>
      </c>
      <c r="B117" t="s">
        <v>404</v>
      </c>
      <c r="C117" t="s">
        <v>362</v>
      </c>
      <c r="D117" t="s">
        <v>286</v>
      </c>
      <c r="E117" t="b">
        <v>0</v>
      </c>
      <c r="F117" t="s">
        <v>635</v>
      </c>
      <c r="H117" s="1">
        <v>46000</v>
      </c>
      <c r="J117" s="1"/>
    </row>
    <row r="118" spans="1:10" x14ac:dyDescent="0.15">
      <c r="A118">
        <v>1144</v>
      </c>
      <c r="B118" t="s">
        <v>405</v>
      </c>
      <c r="C118" t="s">
        <v>406</v>
      </c>
      <c r="D118" t="s">
        <v>286</v>
      </c>
      <c r="E118" t="b">
        <v>0</v>
      </c>
      <c r="F118" t="s">
        <v>637</v>
      </c>
      <c r="H118" s="1">
        <v>46000</v>
      </c>
      <c r="J118" s="1"/>
    </row>
    <row r="119" spans="1:10" x14ac:dyDescent="0.15">
      <c r="A119">
        <v>415</v>
      </c>
      <c r="B119" t="s">
        <v>405</v>
      </c>
      <c r="C119" t="s">
        <v>407</v>
      </c>
      <c r="D119" t="s">
        <v>60</v>
      </c>
      <c r="E119" t="b">
        <v>0</v>
      </c>
      <c r="F119" t="s">
        <v>634</v>
      </c>
      <c r="G119">
        <v>6</v>
      </c>
      <c r="H119" s="1">
        <v>46000</v>
      </c>
      <c r="J119" s="1"/>
    </row>
    <row r="120" spans="1:10" x14ac:dyDescent="0.15">
      <c r="A120">
        <v>203</v>
      </c>
      <c r="B120" t="s">
        <v>408</v>
      </c>
      <c r="C120" t="s">
        <v>409</v>
      </c>
      <c r="D120" t="s">
        <v>60</v>
      </c>
      <c r="E120" t="b">
        <v>0</v>
      </c>
      <c r="F120" t="s">
        <v>634</v>
      </c>
      <c r="G120">
        <v>9</v>
      </c>
      <c r="H120" s="1">
        <v>46000</v>
      </c>
      <c r="J120" s="1"/>
    </row>
    <row r="121" spans="1:10" x14ac:dyDescent="0.15">
      <c r="A121">
        <v>956</v>
      </c>
      <c r="B121" t="s">
        <v>410</v>
      </c>
      <c r="C121" t="s">
        <v>307</v>
      </c>
      <c r="D121" t="s">
        <v>60</v>
      </c>
      <c r="E121" t="b">
        <v>0</v>
      </c>
      <c r="F121" t="s">
        <v>634</v>
      </c>
      <c r="G121">
        <v>13</v>
      </c>
      <c r="H121" s="1">
        <v>46000</v>
      </c>
      <c r="J121" s="1"/>
    </row>
    <row r="122" spans="1:10" x14ac:dyDescent="0.15">
      <c r="A122">
        <v>1273</v>
      </c>
      <c r="B122" t="s">
        <v>411</v>
      </c>
      <c r="C122" t="s">
        <v>412</v>
      </c>
      <c r="D122" t="s">
        <v>60</v>
      </c>
      <c r="E122" t="b">
        <v>1</v>
      </c>
      <c r="F122" t="s">
        <v>634</v>
      </c>
      <c r="G122">
        <v>22</v>
      </c>
      <c r="H122" s="1">
        <v>46000</v>
      </c>
      <c r="J122" s="1"/>
    </row>
    <row r="123" spans="1:10" x14ac:dyDescent="0.15">
      <c r="A123">
        <v>1272</v>
      </c>
      <c r="B123" t="s">
        <v>411</v>
      </c>
      <c r="C123" t="s">
        <v>365</v>
      </c>
      <c r="D123" t="s">
        <v>60</v>
      </c>
      <c r="E123" t="b">
        <v>0</v>
      </c>
      <c r="F123" t="s">
        <v>634</v>
      </c>
      <c r="G123">
        <v>24</v>
      </c>
      <c r="H123" s="1">
        <v>46000</v>
      </c>
      <c r="J123" s="1"/>
    </row>
    <row r="124" spans="1:10" x14ac:dyDescent="0.15">
      <c r="A124">
        <v>846</v>
      </c>
      <c r="B124" t="s">
        <v>413</v>
      </c>
      <c r="C124" t="s">
        <v>414</v>
      </c>
      <c r="D124" t="s">
        <v>60</v>
      </c>
      <c r="E124" t="b">
        <v>0</v>
      </c>
      <c r="F124" t="s">
        <v>634</v>
      </c>
      <c r="G124">
        <v>17</v>
      </c>
      <c r="H124" s="1">
        <v>46000</v>
      </c>
      <c r="J124" s="1"/>
    </row>
    <row r="125" spans="1:10" x14ac:dyDescent="0.15">
      <c r="A125">
        <v>1162</v>
      </c>
      <c r="B125" t="s">
        <v>415</v>
      </c>
      <c r="C125" t="s">
        <v>362</v>
      </c>
      <c r="D125" t="s">
        <v>60</v>
      </c>
      <c r="E125" t="b">
        <v>0</v>
      </c>
      <c r="F125" t="s">
        <v>635</v>
      </c>
      <c r="H125" s="1">
        <v>46000</v>
      </c>
      <c r="J125" s="1"/>
    </row>
    <row r="126" spans="1:10" x14ac:dyDescent="0.15">
      <c r="A126">
        <v>1244</v>
      </c>
      <c r="B126" t="s">
        <v>416</v>
      </c>
      <c r="C126" t="s">
        <v>307</v>
      </c>
      <c r="D126" t="s">
        <v>60</v>
      </c>
      <c r="E126" t="b">
        <v>0</v>
      </c>
      <c r="F126" t="s">
        <v>634</v>
      </c>
      <c r="G126">
        <v>2</v>
      </c>
      <c r="H126" s="1">
        <v>46000</v>
      </c>
      <c r="J126" s="1"/>
    </row>
    <row r="127" spans="1:10" x14ac:dyDescent="0.15">
      <c r="A127">
        <v>1379</v>
      </c>
      <c r="B127" t="s">
        <v>416</v>
      </c>
      <c r="C127" t="s">
        <v>417</v>
      </c>
      <c r="D127" t="s">
        <v>60</v>
      </c>
      <c r="E127" t="b">
        <v>1</v>
      </c>
      <c r="F127" t="s">
        <v>635</v>
      </c>
      <c r="H127" s="1">
        <v>46000</v>
      </c>
      <c r="J127" s="1"/>
    </row>
    <row r="128" spans="1:10" x14ac:dyDescent="0.15">
      <c r="A128">
        <v>1296</v>
      </c>
      <c r="B128" t="s">
        <v>418</v>
      </c>
      <c r="C128" t="s">
        <v>362</v>
      </c>
      <c r="D128" t="s">
        <v>60</v>
      </c>
      <c r="E128" t="b">
        <v>0</v>
      </c>
      <c r="F128" t="s">
        <v>635</v>
      </c>
      <c r="H128" s="1">
        <v>46000</v>
      </c>
      <c r="J128" s="1"/>
    </row>
    <row r="129" spans="1:10" x14ac:dyDescent="0.15">
      <c r="A129">
        <v>1362</v>
      </c>
      <c r="B129" t="s">
        <v>419</v>
      </c>
      <c r="C129" t="s">
        <v>420</v>
      </c>
      <c r="D129" t="s">
        <v>60</v>
      </c>
      <c r="E129" t="b">
        <v>1</v>
      </c>
      <c r="F129" t="s">
        <v>634</v>
      </c>
      <c r="G129">
        <v>22</v>
      </c>
      <c r="H129" s="1">
        <v>46000</v>
      </c>
      <c r="J129" s="1"/>
    </row>
    <row r="130" spans="1:10" x14ac:dyDescent="0.15">
      <c r="A130">
        <v>1229</v>
      </c>
      <c r="B130" t="s">
        <v>421</v>
      </c>
      <c r="C130" t="s">
        <v>422</v>
      </c>
      <c r="D130" t="s">
        <v>60</v>
      </c>
      <c r="E130" t="b">
        <v>1</v>
      </c>
      <c r="F130" t="s">
        <v>635</v>
      </c>
      <c r="H130" s="1">
        <v>46000</v>
      </c>
      <c r="J130" s="1"/>
    </row>
    <row r="131" spans="1:10" x14ac:dyDescent="0.15">
      <c r="A131">
        <v>1198</v>
      </c>
      <c r="B131" t="s">
        <v>423</v>
      </c>
      <c r="C131" t="s">
        <v>424</v>
      </c>
      <c r="D131" t="s">
        <v>60</v>
      </c>
      <c r="E131" t="b">
        <v>0</v>
      </c>
      <c r="F131" t="s">
        <v>634</v>
      </c>
      <c r="G131">
        <v>5</v>
      </c>
      <c r="H131" s="1">
        <v>46000</v>
      </c>
      <c r="J131" s="1"/>
    </row>
    <row r="132" spans="1:10" x14ac:dyDescent="0.15">
      <c r="A132">
        <v>1260</v>
      </c>
      <c r="B132" t="s">
        <v>425</v>
      </c>
      <c r="C132" t="s">
        <v>111</v>
      </c>
      <c r="D132" t="s">
        <v>60</v>
      </c>
      <c r="E132" t="b">
        <v>1</v>
      </c>
      <c r="F132" t="s">
        <v>634</v>
      </c>
      <c r="G132">
        <v>15</v>
      </c>
      <c r="H132" s="1">
        <v>46000</v>
      </c>
      <c r="J132" s="1"/>
    </row>
    <row r="133" spans="1:10" x14ac:dyDescent="0.15">
      <c r="A133">
        <v>1361</v>
      </c>
      <c r="B133" t="s">
        <v>426</v>
      </c>
      <c r="C133" t="s">
        <v>427</v>
      </c>
      <c r="D133" t="s">
        <v>60</v>
      </c>
      <c r="E133" t="b">
        <v>0</v>
      </c>
      <c r="F133" t="s">
        <v>634</v>
      </c>
      <c r="G133">
        <v>16</v>
      </c>
      <c r="H133" s="1">
        <v>46000</v>
      </c>
      <c r="J133" s="1"/>
    </row>
    <row r="134" spans="1:10" x14ac:dyDescent="0.15">
      <c r="A134">
        <v>1100</v>
      </c>
      <c r="B134" t="s">
        <v>428</v>
      </c>
      <c r="C134" t="s">
        <v>62</v>
      </c>
      <c r="D134" t="s">
        <v>60</v>
      </c>
      <c r="E134" t="b">
        <v>0</v>
      </c>
      <c r="F134" t="s">
        <v>634</v>
      </c>
      <c r="G134">
        <v>13</v>
      </c>
      <c r="H134" s="1">
        <v>46000</v>
      </c>
      <c r="J134" s="1"/>
    </row>
    <row r="135" spans="1:10" x14ac:dyDescent="0.15">
      <c r="A135">
        <v>1385</v>
      </c>
      <c r="B135" t="s">
        <v>429</v>
      </c>
      <c r="C135" t="s">
        <v>6</v>
      </c>
      <c r="D135" t="s">
        <v>60</v>
      </c>
      <c r="E135" t="b">
        <v>0</v>
      </c>
      <c r="F135" t="s">
        <v>635</v>
      </c>
      <c r="H135" s="1">
        <v>46000</v>
      </c>
      <c r="J135" s="1"/>
    </row>
    <row r="136" spans="1:10" x14ac:dyDescent="0.15">
      <c r="A136">
        <v>1373</v>
      </c>
      <c r="B136" t="s">
        <v>430</v>
      </c>
      <c r="C136" t="s">
        <v>53</v>
      </c>
      <c r="D136" t="s">
        <v>60</v>
      </c>
      <c r="E136" t="b">
        <v>0</v>
      </c>
      <c r="F136" t="s">
        <v>634</v>
      </c>
      <c r="G136">
        <v>10</v>
      </c>
      <c r="H136" s="1">
        <v>46000</v>
      </c>
      <c r="J136" s="1"/>
    </row>
    <row r="137" spans="1:10" x14ac:dyDescent="0.15">
      <c r="A137">
        <v>1252</v>
      </c>
      <c r="B137" t="s">
        <v>431</v>
      </c>
      <c r="C137" t="s">
        <v>432</v>
      </c>
      <c r="D137" t="s">
        <v>60</v>
      </c>
      <c r="E137" t="b">
        <v>0</v>
      </c>
      <c r="F137" t="s">
        <v>634</v>
      </c>
      <c r="G137">
        <v>6</v>
      </c>
      <c r="H137" s="1">
        <v>46000</v>
      </c>
      <c r="J137" s="1"/>
    </row>
    <row r="138" spans="1:10" x14ac:dyDescent="0.15">
      <c r="A138">
        <v>1363</v>
      </c>
      <c r="B138" t="s">
        <v>433</v>
      </c>
      <c r="C138" t="s">
        <v>434</v>
      </c>
      <c r="D138" t="s">
        <v>60</v>
      </c>
      <c r="E138" t="b">
        <v>1</v>
      </c>
      <c r="F138" t="s">
        <v>635</v>
      </c>
      <c r="H138" s="1">
        <v>46000</v>
      </c>
      <c r="J138" s="1"/>
    </row>
    <row r="139" spans="1:10" x14ac:dyDescent="0.15">
      <c r="A139">
        <v>967</v>
      </c>
      <c r="B139" t="s">
        <v>435</v>
      </c>
      <c r="C139" t="s">
        <v>360</v>
      </c>
      <c r="D139" t="s">
        <v>60</v>
      </c>
      <c r="E139" t="b">
        <v>0</v>
      </c>
      <c r="F139" t="s">
        <v>634</v>
      </c>
      <c r="G139">
        <v>5</v>
      </c>
      <c r="H139" s="1">
        <v>46000</v>
      </c>
      <c r="J139" s="1"/>
    </row>
    <row r="140" spans="1:10" x14ac:dyDescent="0.15">
      <c r="A140">
        <v>1045</v>
      </c>
      <c r="B140" t="s">
        <v>436</v>
      </c>
      <c r="C140" t="s">
        <v>437</v>
      </c>
      <c r="D140" t="s">
        <v>60</v>
      </c>
      <c r="E140" t="b">
        <v>1</v>
      </c>
      <c r="F140" t="s">
        <v>634</v>
      </c>
      <c r="G140">
        <v>5</v>
      </c>
      <c r="H140" s="1">
        <v>46000</v>
      </c>
      <c r="J140" s="1"/>
    </row>
    <row r="141" spans="1:10" x14ac:dyDescent="0.15">
      <c r="A141">
        <v>1046</v>
      </c>
      <c r="B141" t="s">
        <v>436</v>
      </c>
      <c r="C141" t="s">
        <v>438</v>
      </c>
      <c r="D141" t="s">
        <v>60</v>
      </c>
      <c r="E141" t="b">
        <v>0</v>
      </c>
      <c r="F141" t="s">
        <v>634</v>
      </c>
      <c r="G141">
        <v>35</v>
      </c>
      <c r="H141" s="1">
        <v>46000</v>
      </c>
      <c r="J141" s="1"/>
    </row>
    <row r="142" spans="1:10" x14ac:dyDescent="0.15">
      <c r="A142">
        <v>929</v>
      </c>
      <c r="B142" t="s">
        <v>439</v>
      </c>
      <c r="C142" t="s">
        <v>440</v>
      </c>
      <c r="D142" t="s">
        <v>60</v>
      </c>
      <c r="E142" t="b">
        <v>0</v>
      </c>
      <c r="F142" t="s">
        <v>635</v>
      </c>
      <c r="H142" s="1">
        <v>46000</v>
      </c>
      <c r="J142" s="1"/>
    </row>
    <row r="143" spans="1:10" x14ac:dyDescent="0.15">
      <c r="A143">
        <v>1349</v>
      </c>
      <c r="B143" t="s">
        <v>441</v>
      </c>
      <c r="C143" t="s">
        <v>442</v>
      </c>
      <c r="D143" t="s">
        <v>60</v>
      </c>
      <c r="E143" t="b">
        <v>0</v>
      </c>
      <c r="F143" t="s">
        <v>635</v>
      </c>
      <c r="H143" s="1">
        <v>46000</v>
      </c>
      <c r="J143" s="1"/>
    </row>
    <row r="144" spans="1:10" x14ac:dyDescent="0.15">
      <c r="A144">
        <v>1342</v>
      </c>
      <c r="B144" t="s">
        <v>443</v>
      </c>
      <c r="C144" t="s">
        <v>444</v>
      </c>
      <c r="D144" t="s">
        <v>60</v>
      </c>
      <c r="E144" t="b">
        <v>0</v>
      </c>
      <c r="F144" t="s">
        <v>634</v>
      </c>
      <c r="G144">
        <v>16</v>
      </c>
      <c r="H144" s="1">
        <v>46000</v>
      </c>
      <c r="J144" s="1"/>
    </row>
    <row r="145" spans="1:10" x14ac:dyDescent="0.15">
      <c r="A145">
        <v>771</v>
      </c>
      <c r="B145" t="s">
        <v>445</v>
      </c>
      <c r="C145" t="s">
        <v>446</v>
      </c>
      <c r="D145" t="s">
        <v>60</v>
      </c>
      <c r="E145" t="b">
        <v>0</v>
      </c>
      <c r="F145" t="s">
        <v>634</v>
      </c>
      <c r="G145">
        <v>14</v>
      </c>
      <c r="H145" s="1">
        <v>46000</v>
      </c>
      <c r="J145" s="1"/>
    </row>
    <row r="146" spans="1:10" x14ac:dyDescent="0.15">
      <c r="A146">
        <v>1265</v>
      </c>
      <c r="B146" t="s">
        <v>447</v>
      </c>
      <c r="C146" t="s">
        <v>448</v>
      </c>
      <c r="D146" t="s">
        <v>60</v>
      </c>
      <c r="E146" t="b">
        <v>0</v>
      </c>
      <c r="F146" t="s">
        <v>634</v>
      </c>
      <c r="G146">
        <v>20</v>
      </c>
      <c r="H146" s="1">
        <v>46000</v>
      </c>
      <c r="J146" s="1"/>
    </row>
    <row r="147" spans="1:10" x14ac:dyDescent="0.15">
      <c r="A147">
        <v>532</v>
      </c>
      <c r="B147" t="s">
        <v>449</v>
      </c>
      <c r="C147" t="s">
        <v>448</v>
      </c>
      <c r="D147" t="s">
        <v>60</v>
      </c>
      <c r="E147" t="b">
        <v>0</v>
      </c>
      <c r="F147" t="s">
        <v>634</v>
      </c>
      <c r="G147">
        <v>13</v>
      </c>
      <c r="H147" s="1">
        <v>46000</v>
      </c>
      <c r="J147" s="1"/>
    </row>
    <row r="148" spans="1:10" x14ac:dyDescent="0.15">
      <c r="A148">
        <v>1388</v>
      </c>
      <c r="B148" t="s">
        <v>403</v>
      </c>
      <c r="C148" t="s">
        <v>450</v>
      </c>
      <c r="D148" t="s">
        <v>60</v>
      </c>
      <c r="E148" t="b">
        <v>1</v>
      </c>
      <c r="F148" t="s">
        <v>635</v>
      </c>
      <c r="H148" s="1">
        <v>46000</v>
      </c>
      <c r="J148" s="1"/>
    </row>
    <row r="149" spans="1:10" x14ac:dyDescent="0.15">
      <c r="A149">
        <v>1282</v>
      </c>
      <c r="B149" t="s">
        <v>451</v>
      </c>
      <c r="C149" t="s">
        <v>81</v>
      </c>
      <c r="D149" t="s">
        <v>60</v>
      </c>
      <c r="E149" t="b">
        <v>0</v>
      </c>
      <c r="F149" t="s">
        <v>634</v>
      </c>
      <c r="G149">
        <v>15</v>
      </c>
      <c r="H149" s="1">
        <v>46000</v>
      </c>
      <c r="J149" s="1"/>
    </row>
    <row r="150" spans="1:10" x14ac:dyDescent="0.15">
      <c r="A150">
        <v>1386</v>
      </c>
      <c r="B150" t="s">
        <v>452</v>
      </c>
      <c r="C150" t="s">
        <v>453</v>
      </c>
      <c r="D150" t="s">
        <v>60</v>
      </c>
      <c r="E150" t="b">
        <v>1</v>
      </c>
      <c r="F150" t="s">
        <v>636</v>
      </c>
      <c r="H150" s="1">
        <v>46000</v>
      </c>
      <c r="J150" s="1"/>
    </row>
    <row r="151" spans="1:10" x14ac:dyDescent="0.15">
      <c r="A151">
        <v>747</v>
      </c>
      <c r="B151" t="s">
        <v>452</v>
      </c>
      <c r="C151" t="s">
        <v>51</v>
      </c>
      <c r="D151" t="s">
        <v>60</v>
      </c>
      <c r="E151" t="b">
        <v>0</v>
      </c>
      <c r="F151" t="s">
        <v>634</v>
      </c>
      <c r="G151">
        <v>1</v>
      </c>
      <c r="H151" s="1">
        <v>46000</v>
      </c>
      <c r="J151" s="1"/>
    </row>
    <row r="152" spans="1:10" x14ac:dyDescent="0.15">
      <c r="A152">
        <v>1298</v>
      </c>
      <c r="B152" t="s">
        <v>452</v>
      </c>
      <c r="C152" t="s">
        <v>342</v>
      </c>
      <c r="D152" t="s">
        <v>60</v>
      </c>
      <c r="E152" t="b">
        <v>1</v>
      </c>
      <c r="F152" t="s">
        <v>634</v>
      </c>
      <c r="G152">
        <v>13</v>
      </c>
      <c r="H152" s="1">
        <v>46000</v>
      </c>
      <c r="J152" s="1"/>
    </row>
    <row r="153" spans="1:10" x14ac:dyDescent="0.15">
      <c r="A153">
        <v>742</v>
      </c>
      <c r="B153" t="s">
        <v>452</v>
      </c>
      <c r="C153" t="s">
        <v>369</v>
      </c>
      <c r="D153" t="s">
        <v>60</v>
      </c>
      <c r="E153" t="b">
        <v>1</v>
      </c>
      <c r="F153" t="s">
        <v>634</v>
      </c>
      <c r="G153">
        <v>2</v>
      </c>
      <c r="H153" s="1">
        <v>46000</v>
      </c>
      <c r="J153" s="1"/>
    </row>
    <row r="154" spans="1:10" x14ac:dyDescent="0.15">
      <c r="A154">
        <v>741</v>
      </c>
      <c r="B154" t="s">
        <v>452</v>
      </c>
      <c r="C154" t="s">
        <v>454</v>
      </c>
      <c r="D154" t="s">
        <v>60</v>
      </c>
      <c r="E154" t="b">
        <v>0</v>
      </c>
      <c r="F154" t="s">
        <v>634</v>
      </c>
      <c r="G154">
        <v>4</v>
      </c>
      <c r="H154" s="1">
        <v>46000</v>
      </c>
      <c r="J154" s="1"/>
    </row>
    <row r="155" spans="1:10" x14ac:dyDescent="0.15">
      <c r="A155">
        <v>1221</v>
      </c>
      <c r="B155" t="s">
        <v>455</v>
      </c>
      <c r="C155" t="s">
        <v>53</v>
      </c>
      <c r="D155" t="s">
        <v>60</v>
      </c>
      <c r="E155" t="b">
        <v>0</v>
      </c>
      <c r="F155" t="s">
        <v>635</v>
      </c>
      <c r="H155" s="1">
        <v>46000</v>
      </c>
      <c r="J155" s="1"/>
    </row>
    <row r="156" spans="1:10" x14ac:dyDescent="0.15">
      <c r="A156">
        <v>900</v>
      </c>
      <c r="B156" t="s">
        <v>456</v>
      </c>
      <c r="C156" t="s">
        <v>96</v>
      </c>
      <c r="D156" t="s">
        <v>60</v>
      </c>
      <c r="E156" t="b">
        <v>0</v>
      </c>
      <c r="F156" t="s">
        <v>634</v>
      </c>
      <c r="G156">
        <v>17</v>
      </c>
      <c r="H156" s="1">
        <v>46000</v>
      </c>
      <c r="J156" s="1"/>
    </row>
    <row r="157" spans="1:10" x14ac:dyDescent="0.15">
      <c r="A157">
        <v>1165</v>
      </c>
      <c r="B157" t="s">
        <v>457</v>
      </c>
      <c r="C157" t="s">
        <v>389</v>
      </c>
      <c r="D157" t="s">
        <v>60</v>
      </c>
      <c r="E157" t="b">
        <v>0</v>
      </c>
      <c r="F157" t="s">
        <v>634</v>
      </c>
      <c r="G157">
        <v>10</v>
      </c>
      <c r="H157" s="1">
        <v>46000</v>
      </c>
      <c r="J157" s="1"/>
    </row>
    <row r="158" spans="1:10" x14ac:dyDescent="0.15">
      <c r="A158">
        <v>405</v>
      </c>
      <c r="B158" t="s">
        <v>458</v>
      </c>
      <c r="C158" t="s">
        <v>448</v>
      </c>
      <c r="D158" t="s">
        <v>60</v>
      </c>
      <c r="E158" t="b">
        <v>0</v>
      </c>
      <c r="F158" t="s">
        <v>634</v>
      </c>
      <c r="G158">
        <v>18</v>
      </c>
      <c r="H158" s="1">
        <v>46000</v>
      </c>
      <c r="J158" s="1"/>
    </row>
    <row r="159" spans="1:10" x14ac:dyDescent="0.15">
      <c r="A159">
        <v>1346</v>
      </c>
      <c r="B159" t="s">
        <v>459</v>
      </c>
      <c r="C159" t="s">
        <v>460</v>
      </c>
      <c r="D159" t="s">
        <v>60</v>
      </c>
      <c r="E159" t="b">
        <v>0</v>
      </c>
      <c r="F159" t="s">
        <v>634</v>
      </c>
      <c r="G159">
        <v>20</v>
      </c>
      <c r="H159" s="1">
        <v>46000</v>
      </c>
      <c r="J159" s="1"/>
    </row>
    <row r="160" spans="1:10" x14ac:dyDescent="0.15">
      <c r="A160">
        <v>1364</v>
      </c>
      <c r="B160" t="s">
        <v>461</v>
      </c>
      <c r="C160" t="s">
        <v>462</v>
      </c>
      <c r="D160" t="s">
        <v>60</v>
      </c>
      <c r="E160" t="b">
        <v>0</v>
      </c>
      <c r="F160" t="s">
        <v>634</v>
      </c>
      <c r="G160">
        <v>15</v>
      </c>
      <c r="H160" s="1">
        <v>46000</v>
      </c>
      <c r="J160" s="1"/>
    </row>
    <row r="161" spans="1:10" x14ac:dyDescent="0.15">
      <c r="A161">
        <v>1210</v>
      </c>
      <c r="B161" t="s">
        <v>463</v>
      </c>
      <c r="C161" t="s">
        <v>79</v>
      </c>
      <c r="D161" t="s">
        <v>60</v>
      </c>
      <c r="E161" t="b">
        <v>0</v>
      </c>
      <c r="F161" t="s">
        <v>634</v>
      </c>
      <c r="G161">
        <v>14</v>
      </c>
      <c r="H161" s="1">
        <v>46000</v>
      </c>
      <c r="J161" s="1"/>
    </row>
    <row r="162" spans="1:10" x14ac:dyDescent="0.15">
      <c r="A162">
        <v>1192</v>
      </c>
      <c r="B162" t="s">
        <v>464</v>
      </c>
      <c r="C162" t="s">
        <v>465</v>
      </c>
      <c r="D162" t="s">
        <v>60</v>
      </c>
      <c r="E162" t="b">
        <v>0</v>
      </c>
      <c r="F162" t="s">
        <v>634</v>
      </c>
      <c r="G162">
        <v>10</v>
      </c>
      <c r="H162" s="1">
        <v>46000</v>
      </c>
      <c r="J162" s="1"/>
    </row>
    <row r="163" spans="1:10" x14ac:dyDescent="0.15">
      <c r="A163">
        <v>1157</v>
      </c>
      <c r="B163" t="s">
        <v>466</v>
      </c>
      <c r="C163" t="s">
        <v>66</v>
      </c>
      <c r="D163" t="s">
        <v>60</v>
      </c>
      <c r="E163" t="b">
        <v>0</v>
      </c>
      <c r="F163" t="s">
        <v>635</v>
      </c>
      <c r="H163" s="1">
        <v>46000</v>
      </c>
      <c r="J163" s="1"/>
    </row>
    <row r="164" spans="1:10" x14ac:dyDescent="0.15">
      <c r="A164">
        <v>1357</v>
      </c>
      <c r="B164" t="s">
        <v>467</v>
      </c>
      <c r="C164" t="s">
        <v>62</v>
      </c>
      <c r="D164" t="s">
        <v>60</v>
      </c>
      <c r="E164" t="b">
        <v>0</v>
      </c>
      <c r="F164" t="s">
        <v>634</v>
      </c>
      <c r="G164">
        <v>5</v>
      </c>
      <c r="H164" s="1">
        <v>46000</v>
      </c>
      <c r="J164" s="1"/>
    </row>
    <row r="165" spans="1:10" x14ac:dyDescent="0.15">
      <c r="A165">
        <v>1358</v>
      </c>
      <c r="B165" t="s">
        <v>467</v>
      </c>
      <c r="C165" t="s">
        <v>468</v>
      </c>
      <c r="D165" t="s">
        <v>60</v>
      </c>
      <c r="E165" t="b">
        <v>1</v>
      </c>
      <c r="F165" t="s">
        <v>634</v>
      </c>
      <c r="G165">
        <v>7</v>
      </c>
      <c r="H165" s="1">
        <v>46000</v>
      </c>
      <c r="J165" s="1"/>
    </row>
    <row r="166" spans="1:10" x14ac:dyDescent="0.15">
      <c r="A166">
        <v>1359</v>
      </c>
      <c r="B166" t="s">
        <v>467</v>
      </c>
      <c r="C166" t="s">
        <v>79</v>
      </c>
      <c r="D166" t="s">
        <v>60</v>
      </c>
      <c r="E166" t="b">
        <v>0</v>
      </c>
      <c r="F166" t="s">
        <v>637</v>
      </c>
      <c r="H166" s="1">
        <v>46000</v>
      </c>
      <c r="J166" s="1"/>
    </row>
    <row r="167" spans="1:10" x14ac:dyDescent="0.15">
      <c r="A167">
        <v>1360</v>
      </c>
      <c r="B167" t="s">
        <v>467</v>
      </c>
      <c r="C167" t="s">
        <v>469</v>
      </c>
      <c r="D167" t="s">
        <v>60</v>
      </c>
      <c r="E167" t="b">
        <v>1</v>
      </c>
      <c r="F167" t="s">
        <v>636</v>
      </c>
      <c r="H167" s="1">
        <v>46000</v>
      </c>
      <c r="J167" s="1"/>
    </row>
    <row r="168" spans="1:10" x14ac:dyDescent="0.15">
      <c r="A168">
        <v>1093</v>
      </c>
      <c r="B168" t="s">
        <v>470</v>
      </c>
      <c r="C168" t="s">
        <v>96</v>
      </c>
      <c r="D168" t="s">
        <v>60</v>
      </c>
      <c r="E168" t="b">
        <v>0</v>
      </c>
      <c r="F168" t="s">
        <v>635</v>
      </c>
      <c r="H168" s="1">
        <v>46000</v>
      </c>
      <c r="J168" s="1"/>
    </row>
    <row r="169" spans="1:10" x14ac:dyDescent="0.15">
      <c r="A169">
        <v>1107</v>
      </c>
      <c r="B169" t="s">
        <v>471</v>
      </c>
      <c r="C169" t="s">
        <v>472</v>
      </c>
      <c r="D169" t="s">
        <v>60</v>
      </c>
      <c r="E169" t="b">
        <v>1</v>
      </c>
      <c r="F169" t="s">
        <v>635</v>
      </c>
      <c r="H169" s="1">
        <v>46000</v>
      </c>
      <c r="J169" s="1"/>
    </row>
    <row r="170" spans="1:10" x14ac:dyDescent="0.15">
      <c r="A170">
        <v>35</v>
      </c>
      <c r="B170" t="s">
        <v>473</v>
      </c>
      <c r="C170" t="s">
        <v>474</v>
      </c>
      <c r="D170" t="s">
        <v>60</v>
      </c>
      <c r="E170" t="b">
        <v>0</v>
      </c>
      <c r="F170" t="s">
        <v>634</v>
      </c>
      <c r="G170">
        <v>3</v>
      </c>
      <c r="H170" s="1">
        <v>46000</v>
      </c>
      <c r="J170" s="1"/>
    </row>
    <row r="171" spans="1:10" x14ac:dyDescent="0.15">
      <c r="A171">
        <v>1094</v>
      </c>
      <c r="B171" t="s">
        <v>475</v>
      </c>
      <c r="C171" t="s">
        <v>94</v>
      </c>
      <c r="D171" t="s">
        <v>60</v>
      </c>
      <c r="E171" t="b">
        <v>0</v>
      </c>
      <c r="F171" t="s">
        <v>634</v>
      </c>
      <c r="G171">
        <v>12</v>
      </c>
      <c r="H171" s="1">
        <v>46000</v>
      </c>
      <c r="J171" s="1"/>
    </row>
    <row r="172" spans="1:10" x14ac:dyDescent="0.15">
      <c r="A172">
        <v>1325</v>
      </c>
      <c r="B172" t="s">
        <v>476</v>
      </c>
      <c r="C172" t="s">
        <v>477</v>
      </c>
      <c r="D172" t="s">
        <v>60</v>
      </c>
      <c r="E172" t="b">
        <v>0</v>
      </c>
      <c r="F172" t="s">
        <v>634</v>
      </c>
      <c r="G172">
        <v>3</v>
      </c>
      <c r="H172" s="1">
        <v>46000</v>
      </c>
      <c r="J172" s="1"/>
    </row>
    <row r="173" spans="1:10" x14ac:dyDescent="0.15">
      <c r="A173">
        <v>1143</v>
      </c>
      <c r="B173" t="s">
        <v>478</v>
      </c>
      <c r="C173" t="s">
        <v>454</v>
      </c>
      <c r="D173" t="s">
        <v>60</v>
      </c>
      <c r="E173" t="b">
        <v>0</v>
      </c>
      <c r="F173" t="s">
        <v>634</v>
      </c>
      <c r="G173">
        <v>3</v>
      </c>
      <c r="H173" s="1">
        <v>46000</v>
      </c>
      <c r="J173" s="1"/>
    </row>
    <row r="174" spans="1:10" x14ac:dyDescent="0.15">
      <c r="A174">
        <v>576</v>
      </c>
      <c r="B174" t="s">
        <v>479</v>
      </c>
      <c r="C174" t="s">
        <v>446</v>
      </c>
      <c r="D174" t="s">
        <v>60</v>
      </c>
      <c r="E174" t="b">
        <v>0</v>
      </c>
      <c r="F174" t="s">
        <v>634</v>
      </c>
      <c r="G174">
        <v>4</v>
      </c>
      <c r="H174" s="1">
        <v>46000</v>
      </c>
      <c r="J174" s="1"/>
    </row>
    <row r="175" spans="1:10" x14ac:dyDescent="0.15">
      <c r="A175">
        <v>38</v>
      </c>
      <c r="B175" t="s">
        <v>480</v>
      </c>
      <c r="C175" t="s">
        <v>481</v>
      </c>
      <c r="D175" t="s">
        <v>60</v>
      </c>
      <c r="E175" t="b">
        <v>0</v>
      </c>
      <c r="F175" t="s">
        <v>634</v>
      </c>
      <c r="G175">
        <v>13</v>
      </c>
      <c r="H175" s="1">
        <v>46000</v>
      </c>
      <c r="J175" s="1"/>
    </row>
    <row r="176" spans="1:10" x14ac:dyDescent="0.15">
      <c r="A176">
        <v>245</v>
      </c>
      <c r="B176" t="s">
        <v>482</v>
      </c>
      <c r="C176" t="s">
        <v>53</v>
      </c>
      <c r="D176" t="s">
        <v>60</v>
      </c>
      <c r="E176" t="b">
        <v>0</v>
      </c>
      <c r="F176" t="s">
        <v>634</v>
      </c>
      <c r="G176">
        <v>10</v>
      </c>
      <c r="H176" s="1">
        <v>46000</v>
      </c>
      <c r="J176" s="1"/>
    </row>
    <row r="177" spans="1:10" x14ac:dyDescent="0.15">
      <c r="A177">
        <v>39</v>
      </c>
      <c r="B177" t="s">
        <v>482</v>
      </c>
      <c r="C177" t="s">
        <v>106</v>
      </c>
      <c r="D177" t="s">
        <v>60</v>
      </c>
      <c r="E177" t="b">
        <v>0</v>
      </c>
      <c r="F177" t="s">
        <v>634</v>
      </c>
      <c r="G177">
        <v>43</v>
      </c>
      <c r="H177" s="1">
        <v>46000</v>
      </c>
      <c r="J177" s="1"/>
    </row>
    <row r="178" spans="1:10" x14ac:dyDescent="0.15">
      <c r="A178">
        <v>508</v>
      </c>
      <c r="B178" t="s">
        <v>483</v>
      </c>
      <c r="C178" t="s">
        <v>87</v>
      </c>
      <c r="D178" t="s">
        <v>60</v>
      </c>
      <c r="E178" t="b">
        <v>0</v>
      </c>
      <c r="F178" t="s">
        <v>634</v>
      </c>
      <c r="G178">
        <v>31</v>
      </c>
      <c r="H178" s="1">
        <v>46000</v>
      </c>
      <c r="J178" s="1"/>
    </row>
    <row r="179" spans="1:10" x14ac:dyDescent="0.15">
      <c r="A179">
        <v>1025</v>
      </c>
      <c r="B179" t="s">
        <v>484</v>
      </c>
      <c r="C179" t="s">
        <v>485</v>
      </c>
      <c r="D179" t="s">
        <v>60</v>
      </c>
      <c r="E179" t="b">
        <v>0</v>
      </c>
      <c r="F179" t="s">
        <v>636</v>
      </c>
      <c r="H179" s="1">
        <v>46000</v>
      </c>
      <c r="J179" s="1"/>
    </row>
    <row r="180" spans="1:10" x14ac:dyDescent="0.15">
      <c r="A180">
        <v>1024</v>
      </c>
      <c r="B180" t="s">
        <v>484</v>
      </c>
      <c r="C180" t="s">
        <v>486</v>
      </c>
      <c r="D180" t="s">
        <v>60</v>
      </c>
      <c r="E180" t="b">
        <v>0</v>
      </c>
      <c r="F180" t="s">
        <v>637</v>
      </c>
      <c r="H180" s="1">
        <v>46000</v>
      </c>
      <c r="J180" s="1"/>
    </row>
    <row r="181" spans="1:10" x14ac:dyDescent="0.15">
      <c r="A181">
        <v>1023</v>
      </c>
      <c r="B181" t="s">
        <v>484</v>
      </c>
      <c r="C181" t="s">
        <v>69</v>
      </c>
      <c r="D181" t="s">
        <v>60</v>
      </c>
      <c r="E181" t="b">
        <v>0</v>
      </c>
      <c r="F181" t="s">
        <v>635</v>
      </c>
      <c r="H181" s="1">
        <v>46000</v>
      </c>
      <c r="J181" s="1"/>
    </row>
    <row r="182" spans="1:10" x14ac:dyDescent="0.15">
      <c r="A182">
        <v>1232</v>
      </c>
      <c r="B182" t="s">
        <v>484</v>
      </c>
      <c r="C182" t="s">
        <v>487</v>
      </c>
      <c r="D182" t="s">
        <v>60</v>
      </c>
      <c r="E182" t="b">
        <v>1</v>
      </c>
      <c r="F182" t="s">
        <v>634</v>
      </c>
      <c r="G182">
        <v>4</v>
      </c>
      <c r="H182" s="1">
        <v>46000</v>
      </c>
      <c r="J182" s="1"/>
    </row>
    <row r="183" spans="1:10" x14ac:dyDescent="0.15">
      <c r="A183">
        <v>1141</v>
      </c>
      <c r="B183" t="s">
        <v>488</v>
      </c>
      <c r="C183" t="s">
        <v>489</v>
      </c>
      <c r="D183" t="s">
        <v>60</v>
      </c>
      <c r="E183" t="b">
        <v>1</v>
      </c>
      <c r="F183" t="s">
        <v>634</v>
      </c>
      <c r="G183">
        <v>15</v>
      </c>
      <c r="H183" s="1">
        <v>46000</v>
      </c>
      <c r="J183" s="1"/>
    </row>
    <row r="184" spans="1:10" x14ac:dyDescent="0.15">
      <c r="A184">
        <v>891</v>
      </c>
      <c r="B184" t="s">
        <v>490</v>
      </c>
      <c r="C184" t="s">
        <v>491</v>
      </c>
      <c r="D184" t="s">
        <v>60</v>
      </c>
      <c r="E184" t="b">
        <v>1</v>
      </c>
      <c r="F184" t="s">
        <v>635</v>
      </c>
      <c r="H184" s="1">
        <v>46000</v>
      </c>
      <c r="J184" s="1"/>
    </row>
    <row r="185" spans="1:10" x14ac:dyDescent="0.15">
      <c r="A185">
        <v>1191</v>
      </c>
      <c r="B185" t="s">
        <v>492</v>
      </c>
      <c r="C185" t="s">
        <v>362</v>
      </c>
      <c r="D185" t="s">
        <v>60</v>
      </c>
      <c r="E185" t="b">
        <v>0</v>
      </c>
      <c r="F185" t="s">
        <v>634</v>
      </c>
      <c r="G185">
        <v>7</v>
      </c>
      <c r="H185" s="1">
        <v>46000</v>
      </c>
      <c r="J185" s="1"/>
    </row>
    <row r="186" spans="1:10" x14ac:dyDescent="0.15">
      <c r="A186">
        <v>1225</v>
      </c>
      <c r="B186" t="s">
        <v>492</v>
      </c>
      <c r="C186" t="s">
        <v>493</v>
      </c>
      <c r="D186" t="s">
        <v>60</v>
      </c>
      <c r="E186" t="b">
        <v>0</v>
      </c>
      <c r="F186" t="s">
        <v>635</v>
      </c>
      <c r="H186" s="1">
        <v>46000</v>
      </c>
      <c r="J186" s="1"/>
    </row>
    <row r="187" spans="1:10" x14ac:dyDescent="0.15">
      <c r="A187">
        <v>1350</v>
      </c>
      <c r="B187" t="s">
        <v>494</v>
      </c>
      <c r="C187" t="s">
        <v>495</v>
      </c>
      <c r="D187" t="s">
        <v>60</v>
      </c>
      <c r="E187" t="b">
        <v>0</v>
      </c>
      <c r="F187" t="s">
        <v>635</v>
      </c>
      <c r="H187" s="1">
        <v>46000</v>
      </c>
      <c r="J187" s="1"/>
    </row>
    <row r="188" spans="1:10" x14ac:dyDescent="0.15">
      <c r="A188">
        <v>1352</v>
      </c>
      <c r="B188" t="s">
        <v>496</v>
      </c>
      <c r="C188" t="s">
        <v>62</v>
      </c>
      <c r="D188" t="s">
        <v>60</v>
      </c>
      <c r="E188" t="b">
        <v>0</v>
      </c>
      <c r="F188" t="s">
        <v>634</v>
      </c>
      <c r="G188">
        <v>11</v>
      </c>
      <c r="H188" s="1">
        <v>46000</v>
      </c>
      <c r="J188" s="1"/>
    </row>
    <row r="189" spans="1:10" x14ac:dyDescent="0.15">
      <c r="A189">
        <v>597</v>
      </c>
      <c r="B189" t="s">
        <v>497</v>
      </c>
      <c r="C189" t="s">
        <v>498</v>
      </c>
      <c r="D189" t="s">
        <v>60</v>
      </c>
      <c r="E189" t="b">
        <v>0</v>
      </c>
      <c r="F189" t="s">
        <v>634</v>
      </c>
      <c r="G189">
        <v>36</v>
      </c>
      <c r="H189" s="1">
        <v>46000</v>
      </c>
      <c r="J189" s="1"/>
    </row>
    <row r="190" spans="1:10" x14ac:dyDescent="0.15">
      <c r="A190">
        <v>1339</v>
      </c>
      <c r="B190" t="s">
        <v>499</v>
      </c>
      <c r="C190" t="s">
        <v>500</v>
      </c>
      <c r="D190" t="s">
        <v>60</v>
      </c>
      <c r="E190" t="b">
        <v>0</v>
      </c>
      <c r="F190" t="s">
        <v>635</v>
      </c>
      <c r="H190" s="1">
        <v>46000</v>
      </c>
      <c r="J190" s="1"/>
    </row>
    <row r="191" spans="1:10" x14ac:dyDescent="0.15">
      <c r="A191">
        <v>914</v>
      </c>
      <c r="B191" t="s">
        <v>501</v>
      </c>
      <c r="C191" t="s">
        <v>361</v>
      </c>
      <c r="D191" t="s">
        <v>60</v>
      </c>
      <c r="E191" t="b">
        <v>0</v>
      </c>
      <c r="F191" t="s">
        <v>634</v>
      </c>
      <c r="G191">
        <v>14</v>
      </c>
      <c r="H191" s="1">
        <v>46000</v>
      </c>
      <c r="J191" s="1"/>
    </row>
    <row r="192" spans="1:10" x14ac:dyDescent="0.15">
      <c r="A192">
        <v>1038</v>
      </c>
      <c r="B192" t="s">
        <v>501</v>
      </c>
      <c r="C192" t="s">
        <v>81</v>
      </c>
      <c r="D192" t="s">
        <v>60</v>
      </c>
      <c r="E192" t="b">
        <v>0</v>
      </c>
      <c r="F192" t="s">
        <v>634</v>
      </c>
      <c r="G192">
        <v>12</v>
      </c>
      <c r="H192" s="1">
        <v>46000</v>
      </c>
      <c r="J192" s="1"/>
    </row>
    <row r="193" spans="1:10" x14ac:dyDescent="0.15">
      <c r="A193">
        <v>1347</v>
      </c>
      <c r="B193" t="s">
        <v>502</v>
      </c>
      <c r="C193" t="s">
        <v>316</v>
      </c>
      <c r="D193" t="s">
        <v>60</v>
      </c>
      <c r="E193" t="b">
        <v>0</v>
      </c>
      <c r="F193" t="s">
        <v>635</v>
      </c>
      <c r="H193" s="1">
        <v>46000</v>
      </c>
      <c r="J193" s="1"/>
    </row>
    <row r="194" spans="1:10" x14ac:dyDescent="0.15">
      <c r="A194">
        <v>1380</v>
      </c>
      <c r="B194" t="s">
        <v>503</v>
      </c>
      <c r="C194" t="s">
        <v>504</v>
      </c>
      <c r="D194" t="s">
        <v>60</v>
      </c>
      <c r="E194" t="b">
        <v>1</v>
      </c>
      <c r="F194" t="s">
        <v>634</v>
      </c>
      <c r="G194">
        <v>7</v>
      </c>
      <c r="H194" s="1">
        <v>46000</v>
      </c>
      <c r="J194" s="1"/>
    </row>
    <row r="195" spans="1:10" x14ac:dyDescent="0.15">
      <c r="A195">
        <v>1242</v>
      </c>
      <c r="B195" t="s">
        <v>505</v>
      </c>
      <c r="C195" t="s">
        <v>400</v>
      </c>
      <c r="D195" t="s">
        <v>60</v>
      </c>
      <c r="E195" t="b">
        <v>0</v>
      </c>
      <c r="F195" t="s">
        <v>634</v>
      </c>
      <c r="G195">
        <v>15</v>
      </c>
      <c r="H195" s="1">
        <v>46000</v>
      </c>
      <c r="J195" s="1"/>
    </row>
    <row r="196" spans="1:10" x14ac:dyDescent="0.15">
      <c r="A196">
        <v>1048</v>
      </c>
      <c r="B196" t="s">
        <v>506</v>
      </c>
      <c r="C196" t="s">
        <v>94</v>
      </c>
      <c r="D196" t="s">
        <v>60</v>
      </c>
      <c r="E196" t="b">
        <v>0</v>
      </c>
      <c r="F196" t="s">
        <v>634</v>
      </c>
      <c r="G196">
        <v>16</v>
      </c>
      <c r="H196" s="1">
        <v>46000</v>
      </c>
      <c r="J196" s="1"/>
    </row>
    <row r="197" spans="1:10" x14ac:dyDescent="0.15">
      <c r="A197">
        <v>1055</v>
      </c>
      <c r="B197" t="s">
        <v>506</v>
      </c>
      <c r="C197" t="s">
        <v>507</v>
      </c>
      <c r="D197" t="s">
        <v>60</v>
      </c>
      <c r="E197" t="b">
        <v>0</v>
      </c>
      <c r="F197" t="s">
        <v>634</v>
      </c>
      <c r="G197">
        <v>1</v>
      </c>
      <c r="H197" s="1">
        <v>46000</v>
      </c>
      <c r="J197" s="1"/>
    </row>
    <row r="198" spans="1:10" x14ac:dyDescent="0.15">
      <c r="A198">
        <v>1095</v>
      </c>
      <c r="B198" t="s">
        <v>506</v>
      </c>
      <c r="C198" t="s">
        <v>508</v>
      </c>
      <c r="D198" t="s">
        <v>60</v>
      </c>
      <c r="E198" t="b">
        <v>0</v>
      </c>
      <c r="F198" t="s">
        <v>634</v>
      </c>
      <c r="G198">
        <v>33</v>
      </c>
      <c r="H198" s="1">
        <v>46000</v>
      </c>
      <c r="J198" s="1"/>
    </row>
    <row r="199" spans="1:10" x14ac:dyDescent="0.15">
      <c r="A199">
        <v>820</v>
      </c>
      <c r="B199" t="s">
        <v>506</v>
      </c>
      <c r="C199" t="s">
        <v>346</v>
      </c>
      <c r="D199" t="s">
        <v>60</v>
      </c>
      <c r="E199" t="b">
        <v>1</v>
      </c>
      <c r="F199" t="s">
        <v>634</v>
      </c>
      <c r="G199">
        <v>6</v>
      </c>
      <c r="H199" s="1">
        <v>46000</v>
      </c>
      <c r="J199" s="1"/>
    </row>
    <row r="200" spans="1:10" x14ac:dyDescent="0.15">
      <c r="A200">
        <v>468</v>
      </c>
      <c r="B200" t="s">
        <v>506</v>
      </c>
      <c r="C200" t="s">
        <v>400</v>
      </c>
      <c r="D200" t="s">
        <v>60</v>
      </c>
      <c r="E200" t="b">
        <v>0</v>
      </c>
      <c r="F200" t="s">
        <v>634</v>
      </c>
      <c r="G200">
        <v>4</v>
      </c>
      <c r="H200" s="1">
        <v>46000</v>
      </c>
      <c r="J200" s="1"/>
    </row>
    <row r="201" spans="1:10" x14ac:dyDescent="0.15">
      <c r="A201">
        <v>687</v>
      </c>
      <c r="B201" t="s">
        <v>506</v>
      </c>
      <c r="C201" t="s">
        <v>509</v>
      </c>
      <c r="D201" t="s">
        <v>60</v>
      </c>
      <c r="E201" t="b">
        <v>0</v>
      </c>
      <c r="F201" t="s">
        <v>634</v>
      </c>
      <c r="G201">
        <v>7</v>
      </c>
      <c r="H201" s="1">
        <v>46000</v>
      </c>
      <c r="J201" s="1"/>
    </row>
    <row r="202" spans="1:10" x14ac:dyDescent="0.15">
      <c r="A202">
        <v>1375</v>
      </c>
      <c r="B202" t="s">
        <v>510</v>
      </c>
      <c r="C202" t="s">
        <v>511</v>
      </c>
      <c r="D202" t="s">
        <v>60</v>
      </c>
      <c r="E202" t="b">
        <v>0</v>
      </c>
      <c r="F202" t="s">
        <v>635</v>
      </c>
      <c r="H202" s="1">
        <v>46000</v>
      </c>
      <c r="J202" s="1"/>
    </row>
    <row r="203" spans="1:10" x14ac:dyDescent="0.15">
      <c r="A203">
        <v>1382</v>
      </c>
      <c r="B203" t="s">
        <v>512</v>
      </c>
      <c r="C203" t="s">
        <v>513</v>
      </c>
      <c r="D203" t="s">
        <v>60</v>
      </c>
      <c r="E203" t="b">
        <v>0</v>
      </c>
      <c r="F203" t="s">
        <v>635</v>
      </c>
      <c r="H203" s="1">
        <v>46000</v>
      </c>
      <c r="J203" s="1"/>
    </row>
    <row r="204" spans="1:10" x14ac:dyDescent="0.15">
      <c r="A204">
        <v>1161</v>
      </c>
      <c r="B204" t="s">
        <v>514</v>
      </c>
      <c r="C204" t="s">
        <v>515</v>
      </c>
      <c r="D204" t="s">
        <v>60</v>
      </c>
      <c r="E204" t="b">
        <v>0</v>
      </c>
      <c r="F204" t="s">
        <v>635</v>
      </c>
      <c r="H204" s="1">
        <v>46000</v>
      </c>
      <c r="J204" s="1"/>
    </row>
    <row r="205" spans="1:10" x14ac:dyDescent="0.15">
      <c r="A205">
        <v>890</v>
      </c>
      <c r="B205" t="s">
        <v>516</v>
      </c>
      <c r="C205" t="s">
        <v>517</v>
      </c>
      <c r="D205" t="s">
        <v>286</v>
      </c>
      <c r="E205" t="b">
        <v>0</v>
      </c>
      <c r="F205" t="s">
        <v>634</v>
      </c>
      <c r="G205">
        <v>23</v>
      </c>
      <c r="H205" s="1">
        <v>46000</v>
      </c>
      <c r="J205" s="1"/>
    </row>
    <row r="206" spans="1:10" x14ac:dyDescent="0.15">
      <c r="A206">
        <v>1238</v>
      </c>
      <c r="B206" t="s">
        <v>518</v>
      </c>
      <c r="C206" t="s">
        <v>519</v>
      </c>
      <c r="D206" t="s">
        <v>60</v>
      </c>
      <c r="E206" t="b">
        <v>1</v>
      </c>
      <c r="F206" t="s">
        <v>635</v>
      </c>
      <c r="H206" s="1">
        <v>46000</v>
      </c>
      <c r="J206" s="1"/>
    </row>
    <row r="207" spans="1:10" x14ac:dyDescent="0.15">
      <c r="A207">
        <v>780</v>
      </c>
      <c r="B207" t="s">
        <v>520</v>
      </c>
      <c r="C207" t="s">
        <v>53</v>
      </c>
      <c r="D207" t="s">
        <v>60</v>
      </c>
      <c r="E207" t="b">
        <v>0</v>
      </c>
      <c r="F207" t="s">
        <v>634</v>
      </c>
      <c r="G207">
        <v>6</v>
      </c>
      <c r="H207" s="1">
        <v>46000</v>
      </c>
      <c r="J207" s="1"/>
    </row>
    <row r="208" spans="1:10" x14ac:dyDescent="0.15">
      <c r="A208">
        <v>1166</v>
      </c>
      <c r="B208" t="s">
        <v>521</v>
      </c>
      <c r="C208" t="s">
        <v>352</v>
      </c>
      <c r="D208" t="s">
        <v>286</v>
      </c>
      <c r="E208" t="b">
        <v>0</v>
      </c>
      <c r="F208" t="s">
        <v>634</v>
      </c>
      <c r="G208">
        <v>5</v>
      </c>
      <c r="H208" s="1">
        <v>46000</v>
      </c>
      <c r="J208" s="1"/>
    </row>
    <row r="209" spans="1:10" x14ac:dyDescent="0.15">
      <c r="A209">
        <v>45</v>
      </c>
      <c r="B209" t="s">
        <v>522</v>
      </c>
      <c r="C209" t="s">
        <v>523</v>
      </c>
      <c r="D209" t="s">
        <v>60</v>
      </c>
      <c r="E209" t="b">
        <v>0</v>
      </c>
      <c r="F209" t="s">
        <v>634</v>
      </c>
      <c r="G209">
        <v>20</v>
      </c>
      <c r="H209" s="1">
        <v>46000</v>
      </c>
      <c r="J209" s="1"/>
    </row>
    <row r="210" spans="1:10" x14ac:dyDescent="0.15">
      <c r="A210">
        <v>1160</v>
      </c>
      <c r="B210" t="s">
        <v>440</v>
      </c>
      <c r="C210" t="s">
        <v>524</v>
      </c>
      <c r="D210" t="s">
        <v>60</v>
      </c>
      <c r="E210" t="b">
        <v>0</v>
      </c>
      <c r="F210" t="s">
        <v>635</v>
      </c>
      <c r="H210" s="1">
        <v>46000</v>
      </c>
      <c r="J210" s="1"/>
    </row>
    <row r="211" spans="1:10" x14ac:dyDescent="0.15">
      <c r="A211">
        <v>1341</v>
      </c>
      <c r="B211" t="s">
        <v>525</v>
      </c>
      <c r="C211" t="s">
        <v>96</v>
      </c>
      <c r="D211" t="s">
        <v>60</v>
      </c>
      <c r="E211" t="b">
        <v>0</v>
      </c>
      <c r="F211" t="s">
        <v>635</v>
      </c>
      <c r="H211" s="1">
        <v>46000</v>
      </c>
      <c r="J211" s="1"/>
    </row>
    <row r="212" spans="1:10" x14ac:dyDescent="0.15">
      <c r="A212">
        <v>945</v>
      </c>
      <c r="B212" t="s">
        <v>526</v>
      </c>
      <c r="C212" t="s">
        <v>79</v>
      </c>
      <c r="D212" t="s">
        <v>60</v>
      </c>
      <c r="E212" t="b">
        <v>0</v>
      </c>
      <c r="F212" t="s">
        <v>635</v>
      </c>
      <c r="H212" s="1">
        <v>46000</v>
      </c>
      <c r="J212" s="1"/>
    </row>
    <row r="213" spans="1:10" x14ac:dyDescent="0.15">
      <c r="A213">
        <v>813</v>
      </c>
      <c r="B213" t="s">
        <v>526</v>
      </c>
      <c r="C213" t="s">
        <v>491</v>
      </c>
      <c r="D213" t="s">
        <v>60</v>
      </c>
      <c r="E213" t="b">
        <v>1</v>
      </c>
      <c r="F213" t="s">
        <v>634</v>
      </c>
      <c r="G213">
        <v>7</v>
      </c>
      <c r="H213" s="1">
        <v>46000</v>
      </c>
      <c r="J213" s="1"/>
    </row>
    <row r="214" spans="1:10" x14ac:dyDescent="0.15">
      <c r="A214">
        <v>812</v>
      </c>
      <c r="B214" t="s">
        <v>526</v>
      </c>
      <c r="C214" t="s">
        <v>527</v>
      </c>
      <c r="D214" t="s">
        <v>60</v>
      </c>
      <c r="E214" t="b">
        <v>0</v>
      </c>
      <c r="F214" t="s">
        <v>634</v>
      </c>
      <c r="G214">
        <v>9</v>
      </c>
      <c r="H214" s="1">
        <v>46000</v>
      </c>
      <c r="J214" s="1"/>
    </row>
    <row r="215" spans="1:10" x14ac:dyDescent="0.15">
      <c r="A215">
        <v>1129</v>
      </c>
      <c r="B215" t="s">
        <v>528</v>
      </c>
      <c r="C215" t="s">
        <v>529</v>
      </c>
      <c r="D215" t="s">
        <v>60</v>
      </c>
      <c r="E215" t="b">
        <v>0</v>
      </c>
      <c r="F215" t="s">
        <v>634</v>
      </c>
      <c r="G215">
        <v>12</v>
      </c>
      <c r="H215" s="1">
        <v>46000</v>
      </c>
      <c r="J215" s="1"/>
    </row>
    <row r="216" spans="1:10" x14ac:dyDescent="0.15">
      <c r="A216">
        <v>808</v>
      </c>
      <c r="B216" t="s">
        <v>530</v>
      </c>
      <c r="C216" t="s">
        <v>531</v>
      </c>
      <c r="D216" t="s">
        <v>60</v>
      </c>
      <c r="E216" t="b">
        <v>1</v>
      </c>
      <c r="F216" t="s">
        <v>634</v>
      </c>
      <c r="G216">
        <v>5</v>
      </c>
      <c r="H216" s="1">
        <v>46000</v>
      </c>
      <c r="J216" s="1"/>
    </row>
    <row r="217" spans="1:10" x14ac:dyDescent="0.15">
      <c r="A217">
        <v>1290</v>
      </c>
      <c r="B217" t="s">
        <v>532</v>
      </c>
      <c r="C217" t="s">
        <v>367</v>
      </c>
      <c r="D217" t="s">
        <v>60</v>
      </c>
      <c r="E217" t="b">
        <v>0</v>
      </c>
      <c r="F217" t="s">
        <v>635</v>
      </c>
      <c r="H217" s="1">
        <v>46000</v>
      </c>
      <c r="J217" s="1"/>
    </row>
    <row r="218" spans="1:10" x14ac:dyDescent="0.15">
      <c r="A218">
        <v>1209</v>
      </c>
      <c r="B218" t="s">
        <v>533</v>
      </c>
      <c r="C218" t="s">
        <v>81</v>
      </c>
      <c r="D218" t="s">
        <v>286</v>
      </c>
      <c r="E218" t="b">
        <v>0</v>
      </c>
      <c r="F218" t="s">
        <v>634</v>
      </c>
      <c r="G218">
        <v>12</v>
      </c>
      <c r="H218" s="1">
        <v>46000</v>
      </c>
      <c r="J218" s="1"/>
    </row>
    <row r="219" spans="1:10" x14ac:dyDescent="0.15">
      <c r="A219">
        <v>1356</v>
      </c>
      <c r="B219" t="s">
        <v>536</v>
      </c>
      <c r="C219" t="s">
        <v>537</v>
      </c>
      <c r="D219" t="s">
        <v>286</v>
      </c>
      <c r="E219" t="b">
        <v>0</v>
      </c>
      <c r="F219" t="s">
        <v>634</v>
      </c>
      <c r="G219">
        <v>15</v>
      </c>
      <c r="H219" s="1">
        <v>46000</v>
      </c>
      <c r="J219" s="1"/>
    </row>
    <row r="220" spans="1:10" x14ac:dyDescent="0.15">
      <c r="A220">
        <v>860</v>
      </c>
      <c r="B220" t="s">
        <v>538</v>
      </c>
      <c r="C220" t="s">
        <v>539</v>
      </c>
      <c r="D220" t="s">
        <v>60</v>
      </c>
      <c r="E220" t="b">
        <v>1</v>
      </c>
      <c r="F220" t="s">
        <v>635</v>
      </c>
      <c r="H220" s="1">
        <v>46000</v>
      </c>
      <c r="J220" s="1"/>
    </row>
    <row r="221" spans="1:10" x14ac:dyDescent="0.15">
      <c r="A221">
        <v>756</v>
      </c>
      <c r="B221" t="s">
        <v>538</v>
      </c>
      <c r="C221" t="s">
        <v>540</v>
      </c>
      <c r="D221" t="s">
        <v>60</v>
      </c>
      <c r="E221" t="b">
        <v>0</v>
      </c>
      <c r="F221" t="s">
        <v>635</v>
      </c>
      <c r="H221" s="1">
        <v>46000</v>
      </c>
      <c r="J221" s="1"/>
    </row>
    <row r="222" spans="1:10" x14ac:dyDescent="0.15">
      <c r="A222">
        <v>407</v>
      </c>
      <c r="B222" t="s">
        <v>538</v>
      </c>
      <c r="C222" t="s">
        <v>541</v>
      </c>
      <c r="D222" t="s">
        <v>60</v>
      </c>
      <c r="E222" t="b">
        <v>0</v>
      </c>
      <c r="F222" t="s">
        <v>634</v>
      </c>
      <c r="G222">
        <v>5</v>
      </c>
      <c r="H222" s="1">
        <v>46000</v>
      </c>
      <c r="J222" s="1"/>
    </row>
    <row r="223" spans="1:10" x14ac:dyDescent="0.15">
      <c r="A223">
        <v>1312</v>
      </c>
      <c r="B223" t="s">
        <v>542</v>
      </c>
      <c r="C223" t="s">
        <v>489</v>
      </c>
      <c r="D223" t="s">
        <v>60</v>
      </c>
      <c r="E223" t="b">
        <v>1</v>
      </c>
      <c r="F223" t="s">
        <v>634</v>
      </c>
      <c r="G223">
        <v>35</v>
      </c>
      <c r="H223" s="1">
        <v>46000</v>
      </c>
      <c r="J223" s="1"/>
    </row>
    <row r="224" spans="1:10" x14ac:dyDescent="0.15">
      <c r="A224">
        <v>935</v>
      </c>
      <c r="B224" t="s">
        <v>543</v>
      </c>
      <c r="C224" t="s">
        <v>450</v>
      </c>
      <c r="D224" t="s">
        <v>60</v>
      </c>
      <c r="E224" t="b">
        <v>1</v>
      </c>
      <c r="F224" t="s">
        <v>635</v>
      </c>
      <c r="H224" s="1">
        <v>46000</v>
      </c>
      <c r="J224" s="1"/>
    </row>
    <row r="225" spans="1:10" x14ac:dyDescent="0.15">
      <c r="A225">
        <v>999</v>
      </c>
      <c r="B225" t="s">
        <v>543</v>
      </c>
      <c r="C225" t="s">
        <v>544</v>
      </c>
      <c r="D225" t="s">
        <v>60</v>
      </c>
      <c r="E225" t="b">
        <v>1</v>
      </c>
      <c r="F225" t="s">
        <v>635</v>
      </c>
      <c r="H225" s="1">
        <v>46000</v>
      </c>
      <c r="J225" s="1"/>
    </row>
    <row r="226" spans="1:10" x14ac:dyDescent="0.15">
      <c r="A226">
        <v>998</v>
      </c>
      <c r="B226" t="s">
        <v>543</v>
      </c>
      <c r="C226" t="s">
        <v>545</v>
      </c>
      <c r="D226" t="s">
        <v>60</v>
      </c>
      <c r="E226" t="b">
        <v>1</v>
      </c>
      <c r="F226" t="s">
        <v>634</v>
      </c>
      <c r="G226">
        <v>5</v>
      </c>
      <c r="H226" s="1">
        <v>46000</v>
      </c>
      <c r="J226" s="1"/>
    </row>
    <row r="227" spans="1:10" x14ac:dyDescent="0.15">
      <c r="A227">
        <v>616</v>
      </c>
      <c r="B227" t="s">
        <v>543</v>
      </c>
      <c r="C227" t="s">
        <v>71</v>
      </c>
      <c r="D227" t="s">
        <v>60</v>
      </c>
      <c r="E227" t="b">
        <v>0</v>
      </c>
      <c r="F227" t="s">
        <v>634</v>
      </c>
      <c r="G227">
        <v>7</v>
      </c>
      <c r="H227" s="1">
        <v>46000</v>
      </c>
      <c r="J227" s="1"/>
    </row>
    <row r="228" spans="1:10" x14ac:dyDescent="0.15">
      <c r="A228">
        <v>1111</v>
      </c>
      <c r="B228" t="s">
        <v>543</v>
      </c>
      <c r="C228" t="s">
        <v>546</v>
      </c>
      <c r="D228" t="s">
        <v>60</v>
      </c>
      <c r="E228" t="b">
        <v>1</v>
      </c>
      <c r="F228" t="s">
        <v>634</v>
      </c>
      <c r="G228">
        <v>4</v>
      </c>
      <c r="H228" s="1">
        <v>46000</v>
      </c>
      <c r="J228" s="1"/>
    </row>
    <row r="229" spans="1:10" x14ac:dyDescent="0.15">
      <c r="A229">
        <v>1120</v>
      </c>
      <c r="B229" t="s">
        <v>547</v>
      </c>
      <c r="C229" t="s">
        <v>548</v>
      </c>
      <c r="D229" t="s">
        <v>60</v>
      </c>
      <c r="E229" t="b">
        <v>1</v>
      </c>
      <c r="F229" t="s">
        <v>634</v>
      </c>
      <c r="G229">
        <v>3</v>
      </c>
      <c r="H229" s="1">
        <v>46000</v>
      </c>
      <c r="J229" s="1"/>
    </row>
    <row r="230" spans="1:10" x14ac:dyDescent="0.15">
      <c r="A230">
        <v>558</v>
      </c>
      <c r="B230" t="s">
        <v>549</v>
      </c>
      <c r="C230" t="s">
        <v>67</v>
      </c>
      <c r="D230" t="s">
        <v>60</v>
      </c>
      <c r="E230" t="b">
        <v>0</v>
      </c>
      <c r="F230" t="s">
        <v>634</v>
      </c>
      <c r="G230">
        <v>15</v>
      </c>
      <c r="H230" s="1">
        <v>46000</v>
      </c>
      <c r="J230" s="1"/>
    </row>
    <row r="231" spans="1:10" x14ac:dyDescent="0.15">
      <c r="A231">
        <v>991</v>
      </c>
      <c r="B231" t="s">
        <v>550</v>
      </c>
      <c r="C231" t="s">
        <v>395</v>
      </c>
      <c r="D231" t="s">
        <v>60</v>
      </c>
      <c r="E231" t="b">
        <v>1</v>
      </c>
      <c r="F231" t="s">
        <v>636</v>
      </c>
      <c r="H231" s="1">
        <v>46000</v>
      </c>
      <c r="J231" s="1"/>
    </row>
    <row r="232" spans="1:10" x14ac:dyDescent="0.15">
      <c r="A232">
        <v>707</v>
      </c>
      <c r="B232" t="s">
        <v>551</v>
      </c>
      <c r="C232" t="s">
        <v>314</v>
      </c>
      <c r="D232" t="s">
        <v>60</v>
      </c>
      <c r="E232" t="b">
        <v>0</v>
      </c>
      <c r="F232" t="s">
        <v>634</v>
      </c>
      <c r="G232">
        <v>13</v>
      </c>
      <c r="H232" s="1">
        <v>46000</v>
      </c>
      <c r="J232" s="1"/>
    </row>
    <row r="233" spans="1:10" x14ac:dyDescent="0.15">
      <c r="A233">
        <v>359</v>
      </c>
      <c r="B233" t="s">
        <v>552</v>
      </c>
      <c r="C233" t="s">
        <v>50</v>
      </c>
      <c r="D233" t="s">
        <v>60</v>
      </c>
      <c r="E233" t="b">
        <v>0</v>
      </c>
      <c r="F233" t="s">
        <v>634</v>
      </c>
      <c r="G233">
        <v>24</v>
      </c>
      <c r="H233" s="1">
        <v>46000</v>
      </c>
      <c r="J233" s="1"/>
    </row>
    <row r="234" spans="1:10" x14ac:dyDescent="0.15">
      <c r="A234">
        <v>1310</v>
      </c>
      <c r="B234" t="s">
        <v>553</v>
      </c>
      <c r="C234" t="s">
        <v>440</v>
      </c>
      <c r="D234" t="s">
        <v>60</v>
      </c>
      <c r="E234" t="b">
        <v>0</v>
      </c>
      <c r="F234" t="s">
        <v>635</v>
      </c>
      <c r="H234" s="1">
        <v>46000</v>
      </c>
      <c r="J234" s="1"/>
    </row>
    <row r="235" spans="1:10" x14ac:dyDescent="0.15">
      <c r="A235">
        <v>1378</v>
      </c>
      <c r="B235" t="s">
        <v>554</v>
      </c>
      <c r="C235" t="s">
        <v>555</v>
      </c>
      <c r="D235" t="s">
        <v>60</v>
      </c>
      <c r="E235" t="b">
        <v>0</v>
      </c>
      <c r="F235" t="s">
        <v>635</v>
      </c>
      <c r="H235" s="1">
        <v>46000</v>
      </c>
      <c r="J235" s="1"/>
    </row>
    <row r="236" spans="1:10" x14ac:dyDescent="0.15">
      <c r="A236">
        <v>1254</v>
      </c>
      <c r="B236" t="s">
        <v>556</v>
      </c>
      <c r="C236" t="s">
        <v>81</v>
      </c>
      <c r="D236" t="s">
        <v>60</v>
      </c>
      <c r="E236" t="b">
        <v>0</v>
      </c>
      <c r="F236" t="s">
        <v>634</v>
      </c>
      <c r="G236">
        <v>21</v>
      </c>
      <c r="H236" s="1">
        <v>46000</v>
      </c>
      <c r="J236" s="1"/>
    </row>
    <row r="237" spans="1:10" x14ac:dyDescent="0.15">
      <c r="A237">
        <v>1369</v>
      </c>
      <c r="B237" t="s">
        <v>557</v>
      </c>
      <c r="C237" t="s">
        <v>558</v>
      </c>
      <c r="D237" t="s">
        <v>60</v>
      </c>
      <c r="E237" t="b">
        <v>0</v>
      </c>
      <c r="F237" t="s">
        <v>636</v>
      </c>
      <c r="H237" s="1">
        <v>46000</v>
      </c>
      <c r="J237" s="1"/>
    </row>
    <row r="238" spans="1:10" x14ac:dyDescent="0.15">
      <c r="A238">
        <v>1200</v>
      </c>
      <c r="B238" t="s">
        <v>559</v>
      </c>
      <c r="C238" t="s">
        <v>560</v>
      </c>
      <c r="D238" t="s">
        <v>60</v>
      </c>
      <c r="E238" t="b">
        <v>0</v>
      </c>
      <c r="F238" t="s">
        <v>634</v>
      </c>
      <c r="G238">
        <v>6</v>
      </c>
      <c r="H238" s="1">
        <v>46000</v>
      </c>
      <c r="J238" s="1"/>
    </row>
    <row r="239" spans="1:10" x14ac:dyDescent="0.15">
      <c r="A239">
        <v>1376</v>
      </c>
      <c r="B239" t="s">
        <v>402</v>
      </c>
      <c r="C239" t="s">
        <v>344</v>
      </c>
      <c r="D239" t="s">
        <v>60</v>
      </c>
      <c r="E239" t="b">
        <v>1</v>
      </c>
      <c r="F239" t="s">
        <v>635</v>
      </c>
      <c r="H239" s="1">
        <v>46000</v>
      </c>
      <c r="J239" s="1"/>
    </row>
    <row r="240" spans="1:10" x14ac:dyDescent="0.15">
      <c r="A240">
        <v>1140</v>
      </c>
      <c r="B240" t="s">
        <v>561</v>
      </c>
      <c r="C240" t="s">
        <v>448</v>
      </c>
      <c r="D240" t="s">
        <v>60</v>
      </c>
      <c r="E240" t="b">
        <v>0</v>
      </c>
      <c r="F240" t="s">
        <v>635</v>
      </c>
      <c r="H240" s="1">
        <v>46000</v>
      </c>
      <c r="J240" s="1"/>
    </row>
    <row r="241" spans="1:10" x14ac:dyDescent="0.15">
      <c r="A241">
        <v>989</v>
      </c>
      <c r="B241" t="s">
        <v>562</v>
      </c>
      <c r="C241" t="s">
        <v>109</v>
      </c>
      <c r="D241" t="s">
        <v>60</v>
      </c>
      <c r="E241" t="b">
        <v>0</v>
      </c>
      <c r="F241" t="s">
        <v>634</v>
      </c>
      <c r="G241">
        <v>3</v>
      </c>
      <c r="H241" s="1">
        <v>46000</v>
      </c>
      <c r="J241" s="1"/>
    </row>
    <row r="242" spans="1:10" x14ac:dyDescent="0.15">
      <c r="A242">
        <v>1354</v>
      </c>
      <c r="B242" t="s">
        <v>563</v>
      </c>
      <c r="C242" t="s">
        <v>335</v>
      </c>
      <c r="D242" t="s">
        <v>60</v>
      </c>
      <c r="E242" t="b">
        <v>0</v>
      </c>
      <c r="F242" t="s">
        <v>635</v>
      </c>
      <c r="H242" s="1">
        <v>46000</v>
      </c>
      <c r="J242" s="1"/>
    </row>
    <row r="243" spans="1:10" x14ac:dyDescent="0.15">
      <c r="A243">
        <v>875</v>
      </c>
      <c r="B243" t="s">
        <v>563</v>
      </c>
      <c r="C243" t="s">
        <v>564</v>
      </c>
      <c r="D243" t="s">
        <v>60</v>
      </c>
      <c r="E243" t="b">
        <v>0</v>
      </c>
      <c r="F243" t="s">
        <v>635</v>
      </c>
      <c r="H243" s="1">
        <v>46000</v>
      </c>
      <c r="J243" s="1"/>
    </row>
    <row r="244" spans="1:10" x14ac:dyDescent="0.15">
      <c r="A244">
        <v>62</v>
      </c>
      <c r="B244" t="s">
        <v>563</v>
      </c>
      <c r="C244" t="s">
        <v>53</v>
      </c>
      <c r="D244" t="s">
        <v>60</v>
      </c>
      <c r="E244" t="b">
        <v>0</v>
      </c>
      <c r="F244" t="s">
        <v>634</v>
      </c>
      <c r="G244">
        <v>4</v>
      </c>
      <c r="H244" s="1">
        <v>46000</v>
      </c>
      <c r="J244" s="1"/>
    </row>
    <row r="245" spans="1:10" x14ac:dyDescent="0.15">
      <c r="A245">
        <v>930</v>
      </c>
      <c r="B245" t="s">
        <v>565</v>
      </c>
      <c r="C245" t="s">
        <v>566</v>
      </c>
      <c r="D245" t="s">
        <v>60</v>
      </c>
      <c r="E245" t="b">
        <v>1</v>
      </c>
      <c r="F245" t="s">
        <v>634</v>
      </c>
      <c r="G245">
        <v>6</v>
      </c>
      <c r="H245" s="1">
        <v>46000</v>
      </c>
      <c r="J245" s="1"/>
    </row>
    <row r="246" spans="1:10" x14ac:dyDescent="0.15">
      <c r="A246">
        <v>52</v>
      </c>
      <c r="B246" t="s">
        <v>567</v>
      </c>
      <c r="C246" t="s">
        <v>402</v>
      </c>
      <c r="D246" t="s">
        <v>60</v>
      </c>
      <c r="E246" t="b">
        <v>0</v>
      </c>
      <c r="F246" t="s">
        <v>635</v>
      </c>
      <c r="H246" s="1">
        <v>46000</v>
      </c>
      <c r="J246" s="1"/>
    </row>
    <row r="247" spans="1:10" x14ac:dyDescent="0.15">
      <c r="A247">
        <v>744</v>
      </c>
      <c r="B247" t="s">
        <v>568</v>
      </c>
      <c r="C247" t="s">
        <v>569</v>
      </c>
      <c r="D247" t="s">
        <v>60</v>
      </c>
      <c r="E247" t="b">
        <v>0</v>
      </c>
      <c r="F247" t="s">
        <v>634</v>
      </c>
      <c r="G247">
        <v>28</v>
      </c>
      <c r="H247" s="1">
        <v>46000</v>
      </c>
      <c r="J247" s="1"/>
    </row>
    <row r="248" spans="1:10" x14ac:dyDescent="0.15">
      <c r="A248">
        <v>337</v>
      </c>
      <c r="B248" t="s">
        <v>570</v>
      </c>
      <c r="C248" t="s">
        <v>392</v>
      </c>
      <c r="D248" t="s">
        <v>60</v>
      </c>
      <c r="E248" t="b">
        <v>1</v>
      </c>
      <c r="F248" t="s">
        <v>634</v>
      </c>
      <c r="G248">
        <v>21</v>
      </c>
      <c r="H248" s="1">
        <v>46000</v>
      </c>
      <c r="J248" s="1"/>
    </row>
    <row r="249" spans="1:10" x14ac:dyDescent="0.15">
      <c r="A249">
        <v>1371</v>
      </c>
      <c r="B249" t="s">
        <v>571</v>
      </c>
      <c r="C249" t="s">
        <v>51</v>
      </c>
      <c r="D249" t="s">
        <v>60</v>
      </c>
      <c r="E249" t="b">
        <v>0</v>
      </c>
      <c r="F249" t="s">
        <v>635</v>
      </c>
      <c r="H249" s="1">
        <v>46000</v>
      </c>
      <c r="J249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9E01-AB2A-46B1-991F-F5070B32C963}">
  <sheetPr codeName="Sheet5"/>
  <dimension ref="A1:B402"/>
  <sheetViews>
    <sheetView topLeftCell="G1" workbookViewId="0">
      <selection activeCell="B112" sqref="B112"/>
    </sheetView>
  </sheetViews>
  <sheetFormatPr defaultRowHeight="12.75" x14ac:dyDescent="0.15"/>
  <cols>
    <col min="2" max="2" width="18.47265625" bestFit="1" customWidth="1"/>
  </cols>
  <sheetData>
    <row r="1" spans="1:2" x14ac:dyDescent="0.15">
      <c r="A1" t="s">
        <v>628</v>
      </c>
      <c r="B1" t="s">
        <v>629</v>
      </c>
    </row>
    <row r="2" spans="1:2" x14ac:dyDescent="0.15">
      <c r="A2">
        <f>IF(ISNUMBER(Competitors!A2),Competitors!A2,"")</f>
        <v>1237</v>
      </c>
      <c r="B2" t="str">
        <f>IF(A2="","",CONCATENATE(VLOOKUP(A2,Competitors!$A$2:$I$650,3,FALSE)," ",VLOOKUP(A2,Competitors!$A$2:$I$650,2,FALSE)))</f>
        <v>John Abbott</v>
      </c>
    </row>
    <row r="3" spans="1:2" x14ac:dyDescent="0.15">
      <c r="A3">
        <f>IF(ISNUMBER(Competitors!A3),Competitors!A3,"")</f>
        <v>1327</v>
      </c>
      <c r="B3" t="str">
        <f>IF(A3="","",CONCATENATE(VLOOKUP(A3,Competitors!$A$2:$I$650,3,FALSE)," ",VLOOKUP(A3,Competitors!$A$2:$I$650,2,FALSE)))</f>
        <v>James Abbott</v>
      </c>
    </row>
    <row r="4" spans="1:2" x14ac:dyDescent="0.15">
      <c r="A4">
        <f>IF(ISNUMBER(Competitors!A4),Competitors!A4,"")</f>
        <v>1197</v>
      </c>
      <c r="B4" t="str">
        <f>IF(A4="","",CONCATENATE(VLOOKUP(A4,Competitors!$A$2:$I$650,3,FALSE)," ",VLOOKUP(A4,Competitors!$A$2:$I$650,2,FALSE)))</f>
        <v>David Adcock</v>
      </c>
    </row>
    <row r="5" spans="1:2" x14ac:dyDescent="0.15">
      <c r="A5">
        <f>IF(ISNUMBER(Competitors!A5),Competitors!A5,"")</f>
        <v>1353</v>
      </c>
      <c r="B5" t="str">
        <f>IF(A5="","",CONCATENATE(VLOOKUP(A5,Competitors!$A$2:$I$650,3,FALSE)," ",VLOOKUP(A5,Competitors!$A$2:$I$650,2,FALSE)))</f>
        <v>Emma Ainsley</v>
      </c>
    </row>
    <row r="6" spans="1:2" x14ac:dyDescent="0.15">
      <c r="A6">
        <f>IF(ISNUMBER(Competitors!A6),Competitors!A6,"")</f>
        <v>819</v>
      </c>
      <c r="B6" t="str">
        <f>IF(A6="","",CONCATENATE(VLOOKUP(A6,Competitors!$A$2:$I$650,3,FALSE)," ",VLOOKUP(A6,Competitors!$A$2:$I$650,2,FALSE)))</f>
        <v>Kath Akoslovski</v>
      </c>
    </row>
    <row r="7" spans="1:2" x14ac:dyDescent="0.15">
      <c r="A7">
        <f>IF(ISNUMBER(Competitors!A7),Competitors!A7,"")</f>
        <v>2</v>
      </c>
      <c r="B7" t="str">
        <f>IF(A7="","",CONCATENATE(VLOOKUP(A7,Competitors!$A$2:$I$650,3,FALSE)," ",VLOOKUP(A7,Competitors!$A$2:$I$650,2,FALSE)))</f>
        <v>Steve Alden</v>
      </c>
    </row>
    <row r="8" spans="1:2" x14ac:dyDescent="0.15">
      <c r="A8">
        <f>IF(ISNUMBER(Competitors!A8),Competitors!A8,"")</f>
        <v>1370</v>
      </c>
      <c r="B8" t="str">
        <f>IF(A8="","",CONCATENATE(VLOOKUP(A8,Competitors!$A$2:$I$650,3,FALSE)," ",VLOOKUP(A8,Competitors!$A$2:$I$650,2,FALSE)))</f>
        <v>Ian Aldridge</v>
      </c>
    </row>
    <row r="9" spans="1:2" x14ac:dyDescent="0.15">
      <c r="A9">
        <f>IF(ISNUMBER(Competitors!A9),Competitors!A9,"")</f>
        <v>1286</v>
      </c>
      <c r="B9" t="str">
        <f>IF(A9="","",CONCATENATE(VLOOKUP(A9,Competitors!$A$2:$I$650,3,FALSE)," ",VLOOKUP(A9,Competitors!$A$2:$I$650,2,FALSE)))</f>
        <v>Ian Allen</v>
      </c>
    </row>
    <row r="10" spans="1:2" x14ac:dyDescent="0.15">
      <c r="A10">
        <f>IF(ISNUMBER(Competitors!A10),Competitors!A10,"")</f>
        <v>1381</v>
      </c>
      <c r="B10" t="str">
        <f>IF(A10="","",CONCATENATE(VLOOKUP(A10,Competitors!$A$2:$I$650,3,FALSE)," ",VLOOKUP(A10,Competitors!$A$2:$I$650,2,FALSE)))</f>
        <v>Roland Allen</v>
      </c>
    </row>
    <row r="11" spans="1:2" x14ac:dyDescent="0.15">
      <c r="A11">
        <f>IF(ISNUMBER(Competitors!A11),Competitors!A11,"")</f>
        <v>1153</v>
      </c>
      <c r="B11" t="str">
        <f>IF(A11="","",CONCATENATE(VLOOKUP(A11,Competitors!$A$2:$I$650,3,FALSE)," ",VLOOKUP(A11,Competitors!$A$2:$I$650,2,FALSE)))</f>
        <v>Chris Allitt</v>
      </c>
    </row>
    <row r="12" spans="1:2" x14ac:dyDescent="0.15">
      <c r="A12">
        <f>IF(ISNUMBER(Competitors!A12),Competitors!A12,"")</f>
        <v>1372</v>
      </c>
      <c r="B12" t="str">
        <f>IF(A12="","",CONCATENATE(VLOOKUP(A12,Competitors!$A$2:$I$650,3,FALSE)," ",VLOOKUP(A12,Competitors!$A$2:$I$650,2,FALSE)))</f>
        <v>Dan Andrew</v>
      </c>
    </row>
    <row r="13" spans="1:2" x14ac:dyDescent="0.15">
      <c r="A13">
        <f>IF(ISNUMBER(Competitors!A13),Competitors!A13,"")</f>
        <v>1112</v>
      </c>
      <c r="B13" t="str">
        <f>IF(A13="","",CONCATENATE(VLOOKUP(A13,Competitors!$A$2:$I$650,3,FALSE)," ",VLOOKUP(A13,Competitors!$A$2:$I$650,2,FALSE)))</f>
        <v>Gary Ashwell</v>
      </c>
    </row>
    <row r="14" spans="1:2" x14ac:dyDescent="0.15">
      <c r="A14">
        <f>IF(ISNUMBER(Competitors!A14),Competitors!A14,"")</f>
        <v>1135</v>
      </c>
      <c r="B14" t="str">
        <f>IF(A14="","",CONCATENATE(VLOOKUP(A14,Competitors!$A$2:$I$650,3,FALSE)," ",VLOOKUP(A14,Competitors!$A$2:$I$650,2,FALSE)))</f>
        <v>Simon Askham</v>
      </c>
    </row>
    <row r="15" spans="1:2" x14ac:dyDescent="0.15">
      <c r="A15">
        <f>IF(ISNUMBER(Competitors!A15),Competitors!A15,"")</f>
        <v>1368</v>
      </c>
      <c r="B15" t="str">
        <f>IF(A15="","",CONCATENATE(VLOOKUP(A15,Competitors!$A$2:$I$650,3,FALSE)," ",VLOOKUP(A15,Competitors!$A$2:$I$650,2,FALSE)))</f>
        <v>Ollie Awdry</v>
      </c>
    </row>
    <row r="16" spans="1:2" x14ac:dyDescent="0.15">
      <c r="A16">
        <f>IF(ISNUMBER(Competitors!A16),Competitors!A16,"")</f>
        <v>1328</v>
      </c>
      <c r="B16" t="str">
        <f>IF(A16="","",CONCATENATE(VLOOKUP(A16,Competitors!$A$2:$I$650,3,FALSE)," ",VLOOKUP(A16,Competitors!$A$2:$I$650,2,FALSE)))</f>
        <v>Shaun Bailey</v>
      </c>
    </row>
    <row r="17" spans="1:2" x14ac:dyDescent="0.15">
      <c r="A17">
        <f>IF(ISNUMBER(Competitors!A17),Competitors!A17,"")</f>
        <v>369</v>
      </c>
      <c r="B17" t="str">
        <f>IF(A17="","",CONCATENATE(VLOOKUP(A17,Competitors!$A$2:$I$650,3,FALSE)," ",VLOOKUP(A17,Competitors!$A$2:$I$650,2,FALSE)))</f>
        <v>Dean Barnett</v>
      </c>
    </row>
    <row r="18" spans="1:2" x14ac:dyDescent="0.15">
      <c r="A18">
        <f>IF(ISNUMBER(Competitors!A18),Competitors!A18,"")</f>
        <v>7</v>
      </c>
      <c r="B18" t="str">
        <f>IF(A18="","",CONCATENATE(VLOOKUP(A18,Competitors!$A$2:$I$650,3,FALSE)," ",VLOOKUP(A18,Competitors!$A$2:$I$650,2,FALSE)))</f>
        <v>Vic Barnett</v>
      </c>
    </row>
    <row r="19" spans="1:2" x14ac:dyDescent="0.15">
      <c r="A19">
        <f>IF(ISNUMBER(Competitors!A19),Competitors!A19,"")</f>
        <v>473</v>
      </c>
      <c r="B19" t="str">
        <f>IF(A19="","",CONCATENATE(VLOOKUP(A19,Competitors!$A$2:$I$650,3,FALSE)," ",VLOOKUP(A19,Competitors!$A$2:$I$650,2,FALSE)))</f>
        <v>George Barnett</v>
      </c>
    </row>
    <row r="20" spans="1:2" x14ac:dyDescent="0.15">
      <c r="A20">
        <f>IF(ISNUMBER(Competitors!A20),Competitors!A20,"")</f>
        <v>1384</v>
      </c>
      <c r="B20" t="str">
        <f>IF(A20="","",CONCATENATE(VLOOKUP(A20,Competitors!$A$2:$I$650,3,FALSE)," ",VLOOKUP(A20,Competitors!$A$2:$I$650,2,FALSE)))</f>
        <v>Paul Barrett</v>
      </c>
    </row>
    <row r="21" spans="1:2" x14ac:dyDescent="0.15">
      <c r="A21">
        <f>IF(ISNUMBER(Competitors!A21),Competitors!A21,"")</f>
        <v>1348</v>
      </c>
      <c r="B21" t="str">
        <f>IF(A21="","",CONCATENATE(VLOOKUP(A21,Competitors!$A$2:$I$650,3,FALSE)," ",VLOOKUP(A21,Competitors!$A$2:$I$650,2,FALSE)))</f>
        <v>Lydia Baxter</v>
      </c>
    </row>
    <row r="22" spans="1:2" x14ac:dyDescent="0.15">
      <c r="A22">
        <f>IF(ISNUMBER(Competitors!A22),Competitors!A22,"")</f>
        <v>1275</v>
      </c>
      <c r="B22" t="str">
        <f>IF(A22="","",CONCATENATE(VLOOKUP(A22,Competitors!$A$2:$I$650,3,FALSE)," ",VLOOKUP(A22,Competitors!$A$2:$I$650,2,FALSE)))</f>
        <v>Sylvia Baxter</v>
      </c>
    </row>
    <row r="23" spans="1:2" x14ac:dyDescent="0.15">
      <c r="A23">
        <f>IF(ISNUMBER(Competitors!A23),Competitors!A23,"")</f>
        <v>68</v>
      </c>
      <c r="B23" t="str">
        <f>IF(A23="","",CONCATENATE(VLOOKUP(A23,Competitors!$A$2:$I$650,3,FALSE)," ",VLOOKUP(A23,Competitors!$A$2:$I$650,2,FALSE)))</f>
        <v>Ronald Beach</v>
      </c>
    </row>
    <row r="24" spans="1:2" x14ac:dyDescent="0.15">
      <c r="A24">
        <f>IF(ISNUMBER(Competitors!A24),Competitors!A24,"")</f>
        <v>1035</v>
      </c>
      <c r="B24" t="str">
        <f>IF(A24="","",CONCATENATE(VLOOKUP(A24,Competitors!$A$2:$I$650,3,FALSE)," ",VLOOKUP(A24,Competitors!$A$2:$I$650,2,FALSE)))</f>
        <v>Peter Bell</v>
      </c>
    </row>
    <row r="25" spans="1:2" x14ac:dyDescent="0.15">
      <c r="A25">
        <f>IF(ISNUMBER(Competitors!A25),Competitors!A25,"")</f>
        <v>1326</v>
      </c>
      <c r="B25" t="str">
        <f>IF(A25="","",CONCATENATE(VLOOKUP(A25,Competitors!$A$2:$I$650,3,FALSE)," ",VLOOKUP(A25,Competitors!$A$2:$I$650,2,FALSE)))</f>
        <v>Laoise Bennis</v>
      </c>
    </row>
    <row r="26" spans="1:2" x14ac:dyDescent="0.15">
      <c r="A26">
        <f>IF(ISNUMBER(Competitors!A26),Competitors!A26,"")</f>
        <v>10</v>
      </c>
      <c r="B26" t="str">
        <f>IF(A26="","",CONCATENATE(VLOOKUP(A26,Competitors!$A$2:$I$650,3,FALSE)," ",VLOOKUP(A26,Competitors!$A$2:$I$650,2,FALSE)))</f>
        <v>Dave Birch</v>
      </c>
    </row>
    <row r="27" spans="1:2" x14ac:dyDescent="0.15">
      <c r="A27">
        <f>IF(ISNUMBER(Competitors!A27),Competitors!A27,"")</f>
        <v>477</v>
      </c>
      <c r="B27" t="str">
        <f>IF(A27="","",CONCATENATE(VLOOKUP(A27,Competitors!$A$2:$I$650,3,FALSE)," ",VLOOKUP(A27,Competitors!$A$2:$I$650,2,FALSE)))</f>
        <v>Carol Birch</v>
      </c>
    </row>
    <row r="28" spans="1:2" x14ac:dyDescent="0.15">
      <c r="A28">
        <f>IF(ISNUMBER(Competitors!A28),Competitors!A28,"")</f>
        <v>1318</v>
      </c>
      <c r="B28" t="str">
        <f>IF(A28="","",CONCATENATE(VLOOKUP(A28,Competitors!$A$2:$I$650,3,FALSE)," ",VLOOKUP(A28,Competitors!$A$2:$I$650,2,FALSE)))</f>
        <v>Andy Blake</v>
      </c>
    </row>
    <row r="29" spans="1:2" x14ac:dyDescent="0.15">
      <c r="A29">
        <f>IF(ISNUMBER(Competitors!A29),Competitors!A29,"")</f>
        <v>779</v>
      </c>
      <c r="B29" t="str">
        <f>IF(A29="","",CONCATENATE(VLOOKUP(A29,Competitors!$A$2:$I$650,3,FALSE)," ",VLOOKUP(A29,Competitors!$A$2:$I$650,2,FALSE)))</f>
        <v>Mark Bosence</v>
      </c>
    </row>
    <row r="30" spans="1:2" x14ac:dyDescent="0.15">
      <c r="A30">
        <f>IF(ISNUMBER(Competitors!A30),Competitors!A30,"")</f>
        <v>1029</v>
      </c>
      <c r="B30" t="str">
        <f>IF(A30="","",CONCATENATE(VLOOKUP(A30,Competitors!$A$2:$I$650,3,FALSE)," ",VLOOKUP(A30,Competitors!$A$2:$I$650,2,FALSE)))</f>
        <v>Victor Bowie</v>
      </c>
    </row>
    <row r="31" spans="1:2" x14ac:dyDescent="0.15">
      <c r="A31">
        <f>IF(ISNUMBER(Competitors!A31),Competitors!A31,"")</f>
        <v>13</v>
      </c>
      <c r="B31" t="str">
        <f>IF(A31="","",CONCATENATE(VLOOKUP(A31,Competitors!$A$2:$I$650,3,FALSE)," ",VLOOKUP(A31,Competitors!$A$2:$I$650,2,FALSE)))</f>
        <v>Paul Bramford</v>
      </c>
    </row>
    <row r="32" spans="1:2" x14ac:dyDescent="0.15">
      <c r="A32">
        <f>IF(ISNUMBER(Competitors!A32),Competitors!A32,"")</f>
        <v>1255</v>
      </c>
      <c r="B32" t="str">
        <f>IF(A32="","",CONCATENATE(VLOOKUP(A32,Competitors!$A$2:$I$650,3,FALSE)," ",VLOOKUP(A32,Competitors!$A$2:$I$650,2,FALSE)))</f>
        <v>Anne Bridgstock</v>
      </c>
    </row>
    <row r="33" spans="1:2" x14ac:dyDescent="0.15">
      <c r="A33">
        <f>IF(ISNUMBER(Competitors!A33),Competitors!A33,"")</f>
        <v>919</v>
      </c>
      <c r="B33" t="str">
        <f>IF(A33="","",CONCATENATE(VLOOKUP(A33,Competitors!$A$2:$I$650,3,FALSE)," ",VLOOKUP(A33,Competitors!$A$2:$I$650,2,FALSE)))</f>
        <v>Paul Brundell</v>
      </c>
    </row>
    <row r="34" spans="1:2" x14ac:dyDescent="0.15">
      <c r="A34">
        <f>IF(ISNUMBER(Competitors!A34),Competitors!A34,"")</f>
        <v>1190</v>
      </c>
      <c r="B34" t="str">
        <f>IF(A34="","",CONCATENATE(VLOOKUP(A34,Competitors!$A$2:$I$650,3,FALSE)," ",VLOOKUP(A34,Competitors!$A$2:$I$650,2,FALSE)))</f>
        <v>Jacob Burke</v>
      </c>
    </row>
    <row r="35" spans="1:2" x14ac:dyDescent="0.15">
      <c r="A35">
        <f>IF(ISNUMBER(Competitors!A35),Competitors!A35,"")</f>
        <v>1189</v>
      </c>
      <c r="B35" t="str">
        <f>IF(A35="","",CONCATENATE(VLOOKUP(A35,Competitors!$A$2:$I$650,3,FALSE)," ",VLOOKUP(A35,Competitors!$A$2:$I$650,2,FALSE)))</f>
        <v>Max Burke</v>
      </c>
    </row>
    <row r="36" spans="1:2" x14ac:dyDescent="0.15">
      <c r="A36">
        <f>IF(ISNUMBER(Competitors!A36),Competitors!A36,"")</f>
        <v>735</v>
      </c>
      <c r="B36" t="str">
        <f>IF(A36="","",CONCATENATE(VLOOKUP(A36,Competitors!$A$2:$I$650,3,FALSE)," ",VLOOKUP(A36,Competitors!$A$2:$I$650,2,FALSE)))</f>
        <v>Michael Burke</v>
      </c>
    </row>
    <row r="37" spans="1:2" x14ac:dyDescent="0.15">
      <c r="A37">
        <f>IF(ISNUMBER(Competitors!A37),Competitors!A37,"")</f>
        <v>1319</v>
      </c>
      <c r="B37" t="str">
        <f>IF(A37="","",CONCATENATE(VLOOKUP(A37,Competitors!$A$2:$I$650,3,FALSE)," ",VLOOKUP(A37,Competitors!$A$2:$I$650,2,FALSE)))</f>
        <v>Steve Burgess</v>
      </c>
    </row>
    <row r="38" spans="1:2" x14ac:dyDescent="0.15">
      <c r="A38">
        <f>IF(ISNUMBER(Competitors!A38),Competitors!A38,"")</f>
        <v>1389</v>
      </c>
      <c r="B38" t="str">
        <f>IF(A38="","",CONCATENATE(VLOOKUP(A38,Competitors!$A$2:$I$650,3,FALSE)," ",VLOOKUP(A38,Competitors!$A$2:$I$650,2,FALSE)))</f>
        <v>Billy Campbell</v>
      </c>
    </row>
    <row r="39" spans="1:2" x14ac:dyDescent="0.15">
      <c r="A39">
        <f>IF(ISNUMBER(Competitors!A39),Competitors!A39,"")</f>
        <v>1291</v>
      </c>
      <c r="B39" t="str">
        <f>IF(A39="","",CONCATENATE(VLOOKUP(A39,Competitors!$A$2:$I$650,3,FALSE)," ",VLOOKUP(A39,Competitors!$A$2:$I$650,2,FALSE)))</f>
        <v>Jason Carter</v>
      </c>
    </row>
    <row r="40" spans="1:2" x14ac:dyDescent="0.15">
      <c r="A40">
        <f>IF(ISNUMBER(Competitors!A40),Competitors!A40,"")</f>
        <v>940</v>
      </c>
      <c r="B40" t="str">
        <f>IF(A40="","",CONCATENATE(VLOOKUP(A40,Competitors!$A$2:$I$650,3,FALSE)," ",VLOOKUP(A40,Competitors!$A$2:$I$650,2,FALSE)))</f>
        <v>Alison Chapman</v>
      </c>
    </row>
    <row r="41" spans="1:2" x14ac:dyDescent="0.15">
      <c r="A41">
        <f>IF(ISNUMBER(Competitors!A41),Competitors!A41,"")</f>
        <v>806</v>
      </c>
      <c r="B41" t="str">
        <f>IF(A41="","",CONCATENATE(VLOOKUP(A41,Competitors!$A$2:$I$650,3,FALSE)," ",VLOOKUP(A41,Competitors!$A$2:$I$650,2,FALSE)))</f>
        <v>Mark Chapman</v>
      </c>
    </row>
    <row r="42" spans="1:2" x14ac:dyDescent="0.15">
      <c r="A42">
        <f>IF(ISNUMBER(Competitors!A42),Competitors!A42,"")</f>
        <v>1306</v>
      </c>
      <c r="B42" t="str">
        <f>IF(A42="","",CONCATENATE(VLOOKUP(A42,Competitors!$A$2:$I$650,3,FALSE)," ",VLOOKUP(A42,Competitors!$A$2:$I$650,2,FALSE)))</f>
        <v>Steve Clanfield</v>
      </c>
    </row>
    <row r="43" spans="1:2" x14ac:dyDescent="0.15">
      <c r="A43">
        <f>IF(ISNUMBER(Competitors!A43),Competitors!A43,"")</f>
        <v>361</v>
      </c>
      <c r="B43" t="str">
        <f>IF(A43="","",CONCATENATE(VLOOKUP(A43,Competitors!$A$2:$I$650,3,FALSE)," ",VLOOKUP(A43,Competitors!$A$2:$I$650,2,FALSE)))</f>
        <v>David Clarke</v>
      </c>
    </row>
    <row r="44" spans="1:2" x14ac:dyDescent="0.15">
      <c r="A44">
        <f>IF(ISNUMBER(Competitors!A44),Competitors!A44,"")</f>
        <v>482</v>
      </c>
      <c r="B44" t="str">
        <f>IF(A44="","",CONCATENATE(VLOOKUP(A44,Competitors!$A$2:$I$650,3,FALSE)," ",VLOOKUP(A44,Competitors!$A$2:$I$650,2,FALSE)))</f>
        <v>Nick Clarke</v>
      </c>
    </row>
    <row r="45" spans="1:2" x14ac:dyDescent="0.15">
      <c r="A45">
        <f>IF(ISNUMBER(Competitors!A45),Competitors!A45,"")</f>
        <v>674</v>
      </c>
      <c r="B45" t="str">
        <f>IF(A45="","",CONCATENATE(VLOOKUP(A45,Competitors!$A$2:$I$650,3,FALSE)," ",VLOOKUP(A45,Competitors!$A$2:$I$650,2,FALSE)))</f>
        <v>Jennifer Clegg</v>
      </c>
    </row>
    <row r="46" spans="1:2" x14ac:dyDescent="0.15">
      <c r="A46">
        <f>IF(ISNUMBER(Competitors!A46),Competitors!A46,"")</f>
        <v>1383</v>
      </c>
      <c r="B46" t="str">
        <f>IF(A46="","",CONCATENATE(VLOOKUP(A46,Competitors!$A$2:$I$650,3,FALSE)," ",VLOOKUP(A46,Competitors!$A$2:$I$650,2,FALSE)))</f>
        <v>Evan Collett</v>
      </c>
    </row>
    <row r="47" spans="1:2" x14ac:dyDescent="0.15">
      <c r="A47">
        <f>IF(ISNUMBER(Competitors!A47),Competitors!A47,"")</f>
        <v>1061</v>
      </c>
      <c r="B47" t="str">
        <f>IF(A47="","",CONCATENATE(VLOOKUP(A47,Competitors!$A$2:$I$650,3,FALSE)," ",VLOOKUP(A47,Competitors!$A$2:$I$650,2,FALSE)))</f>
        <v>Daryl Collis</v>
      </c>
    </row>
    <row r="48" spans="1:2" x14ac:dyDescent="0.15">
      <c r="A48">
        <f>IF(ISNUMBER(Competitors!A48),Competitors!A48,"")</f>
        <v>763</v>
      </c>
      <c r="B48" t="str">
        <f>IF(A48="","",CONCATENATE(VLOOKUP(A48,Competitors!$A$2:$I$650,3,FALSE)," ",VLOOKUP(A48,Competitors!$A$2:$I$650,2,FALSE)))</f>
        <v>Peter Condon</v>
      </c>
    </row>
    <row r="49" spans="1:2" x14ac:dyDescent="0.15">
      <c r="A49">
        <f>IF(ISNUMBER(Competitors!A49),Competitors!A49,"")</f>
        <v>1227</v>
      </c>
      <c r="B49" t="str">
        <f>IF(A49="","",CONCATENATE(VLOOKUP(A49,Competitors!$A$2:$I$650,3,FALSE)," ",VLOOKUP(A49,Competitors!$A$2:$I$650,2,FALSE)))</f>
        <v>Yvonne Copson</v>
      </c>
    </row>
    <row r="50" spans="1:2" x14ac:dyDescent="0.15">
      <c r="A50">
        <f>IF(ISNUMBER(Competitors!A50),Competitors!A50,"")</f>
        <v>715</v>
      </c>
      <c r="B50" t="str">
        <f>IF(A50="","",CONCATENATE(VLOOKUP(A50,Competitors!$A$2:$I$650,3,FALSE)," ",VLOOKUP(A50,Competitors!$A$2:$I$650,2,FALSE)))</f>
        <v>Steven Coulam</v>
      </c>
    </row>
    <row r="51" spans="1:2" x14ac:dyDescent="0.15">
      <c r="A51">
        <f>IF(ISNUMBER(Competitors!A51),Competitors!A51,"")</f>
        <v>567</v>
      </c>
      <c r="B51" t="str">
        <f>IF(A51="","",CONCATENATE(VLOOKUP(A51,Competitors!$A$2:$I$650,3,FALSE)," ",VLOOKUP(A51,Competitors!$A$2:$I$650,2,FALSE)))</f>
        <v>Lawrence Cox</v>
      </c>
    </row>
    <row r="52" spans="1:2" x14ac:dyDescent="0.15">
      <c r="A52">
        <f>IF(ISNUMBER(Competitors!A52),Competitors!A52,"")</f>
        <v>1295</v>
      </c>
      <c r="B52" t="str">
        <f>IF(A52="","",CONCATENATE(VLOOKUP(A52,Competitors!$A$2:$I$650,3,FALSE)," ",VLOOKUP(A52,Competitors!$A$2:$I$650,2,FALSE)))</f>
        <v>Fiona Coyle</v>
      </c>
    </row>
    <row r="53" spans="1:2" x14ac:dyDescent="0.15">
      <c r="A53">
        <f>IF(ISNUMBER(Competitors!A53),Competitors!A53,"")</f>
        <v>704</v>
      </c>
      <c r="B53" t="str">
        <f>IF(A53="","",CONCATENATE(VLOOKUP(A53,Competitors!$A$2:$I$650,3,FALSE)," ",VLOOKUP(A53,Competitors!$A$2:$I$650,2,FALSE)))</f>
        <v>Chris Dainty</v>
      </c>
    </row>
    <row r="54" spans="1:2" x14ac:dyDescent="0.15">
      <c r="A54">
        <f>IF(ISNUMBER(Competitors!A54),Competitors!A54,"")</f>
        <v>1283</v>
      </c>
      <c r="B54" t="str">
        <f>IF(A54="","",CONCATENATE(VLOOKUP(A54,Competitors!$A$2:$I$650,3,FALSE)," ",VLOOKUP(A54,Competitors!$A$2:$I$650,2,FALSE)))</f>
        <v>Martin Dare</v>
      </c>
    </row>
    <row r="55" spans="1:2" x14ac:dyDescent="0.15">
      <c r="A55">
        <f>IF(ISNUMBER(Competitors!A55),Competitors!A55,"")</f>
        <v>295</v>
      </c>
      <c r="B55" t="str">
        <f>IF(A55="","",CONCATENATE(VLOOKUP(A55,Competitors!$A$2:$I$650,3,FALSE)," ",VLOOKUP(A55,Competitors!$A$2:$I$650,2,FALSE)))</f>
        <v>Stuart Dawkins</v>
      </c>
    </row>
    <row r="56" spans="1:2" x14ac:dyDescent="0.15">
      <c r="A56">
        <f>IF(ISNUMBER(Competitors!A56),Competitors!A56,"")</f>
        <v>1169</v>
      </c>
      <c r="B56" t="str">
        <f>IF(A56="","",CONCATENATE(VLOOKUP(A56,Competitors!$A$2:$I$650,3,FALSE)," ",VLOOKUP(A56,Competitors!$A$2:$I$650,2,FALSE)))</f>
        <v>Andy Deeks</v>
      </c>
    </row>
    <row r="57" spans="1:2" x14ac:dyDescent="0.15">
      <c r="A57">
        <f>IF(ISNUMBER(Competitors!A57),Competitors!A57,"")</f>
        <v>1226</v>
      </c>
      <c r="B57" t="str">
        <f>IF(A57="","",CONCATENATE(VLOOKUP(A57,Competitors!$A$2:$I$650,3,FALSE)," ",VLOOKUP(A57,Competitors!$A$2:$I$650,2,FALSE)))</f>
        <v>Navpreet Dhillon</v>
      </c>
    </row>
    <row r="58" spans="1:2" x14ac:dyDescent="0.15">
      <c r="A58">
        <f>IF(ISNUMBER(Competitors!A58),Competitors!A58,"")</f>
        <v>1333</v>
      </c>
      <c r="B58" t="str">
        <f>IF(A58="","",CONCATENATE(VLOOKUP(A58,Competitors!$A$2:$I$650,3,FALSE)," ",VLOOKUP(A58,Competitors!$A$2:$I$650,2,FALSE)))</f>
        <v>Graham Dickens</v>
      </c>
    </row>
    <row r="59" spans="1:2" x14ac:dyDescent="0.15">
      <c r="A59">
        <f>IF(ISNUMBER(Competitors!A59),Competitors!A59,"")</f>
        <v>1185</v>
      </c>
      <c r="B59" t="str">
        <f>IF(A59="","",CONCATENATE(VLOOKUP(A59,Competitors!$A$2:$I$650,3,FALSE)," ",VLOOKUP(A59,Competitors!$A$2:$I$650,2,FALSE)))</f>
        <v>Isabelle Dixey</v>
      </c>
    </row>
    <row r="60" spans="1:2" x14ac:dyDescent="0.15">
      <c r="A60">
        <f>IF(ISNUMBER(Competitors!A60),Competitors!A60,"")</f>
        <v>1065</v>
      </c>
      <c r="B60" t="str">
        <f>IF(A60="","",CONCATENATE(VLOOKUP(A60,Competitors!$A$2:$I$650,3,FALSE)," ",VLOOKUP(A60,Competitors!$A$2:$I$650,2,FALSE)))</f>
        <v>Simon Dixey</v>
      </c>
    </row>
    <row r="61" spans="1:2" x14ac:dyDescent="0.15">
      <c r="A61">
        <f>IF(ISNUMBER(Competitors!A61),Competitors!A61,"")</f>
        <v>1137</v>
      </c>
      <c r="B61" t="str">
        <f>IF(A61="","",CONCATENATE(VLOOKUP(A61,Competitors!$A$2:$I$650,3,FALSE)," ",VLOOKUP(A61,Competitors!$A$2:$I$650,2,FALSE)))</f>
        <v>Graham Doe</v>
      </c>
    </row>
    <row r="62" spans="1:2" x14ac:dyDescent="0.15">
      <c r="A62">
        <f>IF(ISNUMBER(Competitors!A62),Competitors!A62,"")</f>
        <v>701</v>
      </c>
      <c r="B62" t="str">
        <f>IF(A62="","",CONCATENATE(VLOOKUP(A62,Competitors!$A$2:$I$650,3,FALSE)," ",VLOOKUP(A62,Competitors!$A$2:$I$650,2,FALSE)))</f>
        <v>Neil Doherty</v>
      </c>
    </row>
    <row r="63" spans="1:2" x14ac:dyDescent="0.15">
      <c r="A63">
        <f>IF(ISNUMBER(Competitors!A63),Competitors!A63,"")</f>
        <v>1316</v>
      </c>
      <c r="B63" t="str">
        <f>IF(A63="","",CONCATENATE(VLOOKUP(A63,Competitors!$A$2:$I$650,3,FALSE)," ",VLOOKUP(A63,Competitors!$A$2:$I$650,2,FALSE)))</f>
        <v>Andrew Dumbill</v>
      </c>
    </row>
    <row r="64" spans="1:2" x14ac:dyDescent="0.15">
      <c r="A64">
        <f>IF(ISNUMBER(Competitors!A64),Competitors!A64,"")</f>
        <v>1096</v>
      </c>
      <c r="B64" t="str">
        <f>IF(A64="","",CONCATENATE(VLOOKUP(A64,Competitors!$A$2:$I$650,3,FALSE)," ",VLOOKUP(A64,Competitors!$A$2:$I$650,2,FALSE)))</f>
        <v>Nathan Durnin</v>
      </c>
    </row>
    <row r="65" spans="1:2" x14ac:dyDescent="0.15">
      <c r="A65">
        <f>IF(ISNUMBER(Competitors!A65),Competitors!A65,"")</f>
        <v>1236</v>
      </c>
      <c r="B65" t="str">
        <f>IF(A65="","",CONCATENATE(VLOOKUP(A65,Competitors!$A$2:$I$650,3,FALSE)," ",VLOOKUP(A65,Competitors!$A$2:$I$650,2,FALSE)))</f>
        <v>Clare Durnin</v>
      </c>
    </row>
    <row r="66" spans="1:2" x14ac:dyDescent="0.15">
      <c r="A66">
        <f>IF(ISNUMBER(Competitors!A66),Competitors!A66,"")</f>
        <v>699</v>
      </c>
      <c r="B66" t="str">
        <f>IF(A66="","",CONCATENATE(VLOOKUP(A66,Competitors!$A$2:$I$650,3,FALSE)," ",VLOOKUP(A66,Competitors!$A$2:$I$650,2,FALSE)))</f>
        <v>Jonathan Durnin</v>
      </c>
    </row>
    <row r="67" spans="1:2" x14ac:dyDescent="0.15">
      <c r="A67">
        <f>IF(ISNUMBER(Competitors!A67),Competitors!A67,"")</f>
        <v>682</v>
      </c>
      <c r="B67" t="str">
        <f>IF(A67="","",CONCATENATE(VLOOKUP(A67,Competitors!$A$2:$I$650,3,FALSE)," ",VLOOKUP(A67,Competitors!$A$2:$I$650,2,FALSE)))</f>
        <v>Lee Edmonds</v>
      </c>
    </row>
    <row r="68" spans="1:2" x14ac:dyDescent="0.15">
      <c r="A68">
        <f>IF(ISNUMBER(Competitors!A68),Competitors!A68,"")</f>
        <v>1000</v>
      </c>
      <c r="B68" t="str">
        <f>IF(A68="","",CONCATENATE(VLOOKUP(A68,Competitors!$A$2:$I$650,3,FALSE)," ",VLOOKUP(A68,Competitors!$A$2:$I$650,2,FALSE)))</f>
        <v>Ashley Easton</v>
      </c>
    </row>
    <row r="69" spans="1:2" x14ac:dyDescent="0.15">
      <c r="A69">
        <f>IF(ISNUMBER(Competitors!A69),Competitors!A69,"")</f>
        <v>1332</v>
      </c>
      <c r="B69" t="str">
        <f>IF(A69="","",CONCATENATE(VLOOKUP(A69,Competitors!$A$2:$I$650,3,FALSE)," ",VLOOKUP(A69,Competitors!$A$2:$I$650,2,FALSE)))</f>
        <v>Jo Eaton</v>
      </c>
    </row>
    <row r="70" spans="1:2" x14ac:dyDescent="0.15">
      <c r="A70">
        <f>IF(ISNUMBER(Competitors!A70),Competitors!A70,"")</f>
        <v>1355</v>
      </c>
      <c r="B70" t="str">
        <f>IF(A70="","",CONCATENATE(VLOOKUP(A70,Competitors!$A$2:$I$650,3,FALSE)," ",VLOOKUP(A70,Competitors!$A$2:$I$650,2,FALSE)))</f>
        <v>Aubrey Elmer</v>
      </c>
    </row>
    <row r="71" spans="1:2" x14ac:dyDescent="0.15">
      <c r="A71">
        <f>IF(ISNUMBER(Competitors!A71),Competitors!A71,"")</f>
        <v>1164</v>
      </c>
      <c r="B71" t="str">
        <f>IF(A71="","",CONCATENATE(VLOOKUP(A71,Competitors!$A$2:$I$650,3,FALSE)," ",VLOOKUP(A71,Competitors!$A$2:$I$650,2,FALSE)))</f>
        <v>Harriet Evans</v>
      </c>
    </row>
    <row r="72" spans="1:2" x14ac:dyDescent="0.15">
      <c r="A72">
        <f>IF(ISNUMBER(Competitors!A72),Competitors!A72,"")</f>
        <v>1062</v>
      </c>
      <c r="B72" t="str">
        <f>IF(A72="","",CONCATENATE(VLOOKUP(A72,Competitors!$A$2:$I$650,3,FALSE)," ",VLOOKUP(A72,Competitors!$A$2:$I$650,2,FALSE)))</f>
        <v>Mark Evans</v>
      </c>
    </row>
    <row r="73" spans="1:2" x14ac:dyDescent="0.15">
      <c r="A73">
        <f>IF(ISNUMBER(Competitors!A73),Competitors!A73,"")</f>
        <v>938</v>
      </c>
      <c r="B73" t="str">
        <f>IF(A73="","",CONCATENATE(VLOOKUP(A73,Competitors!$A$2:$I$650,3,FALSE)," ",VLOOKUP(A73,Competitors!$A$2:$I$650,2,FALSE)))</f>
        <v>Jane Evans</v>
      </c>
    </row>
    <row r="74" spans="1:2" x14ac:dyDescent="0.15">
      <c r="A74">
        <f>IF(ISNUMBER(Competitors!A74),Competitors!A74,"")</f>
        <v>939</v>
      </c>
      <c r="B74" t="str">
        <f>IF(A74="","",CONCATENATE(VLOOKUP(A74,Competitors!$A$2:$I$650,3,FALSE)," ",VLOOKUP(A74,Competitors!$A$2:$I$650,2,FALSE)))</f>
        <v>Sally Foreman</v>
      </c>
    </row>
    <row r="75" spans="1:2" x14ac:dyDescent="0.15">
      <c r="A75">
        <f>IF(ISNUMBER(Competitors!A75),Competitors!A75,"")</f>
        <v>1377</v>
      </c>
      <c r="B75" t="str">
        <f>IF(A75="","",CONCATENATE(VLOOKUP(A75,Competitors!$A$2:$I$650,3,FALSE)," ",VLOOKUP(A75,Competitors!$A$2:$I$650,2,FALSE)))</f>
        <v>Lucy Fraser</v>
      </c>
    </row>
    <row r="76" spans="1:2" x14ac:dyDescent="0.15">
      <c r="A76">
        <f>IF(ISNUMBER(Competitors!A76),Competitors!A76,"")</f>
        <v>1281</v>
      </c>
      <c r="B76" t="str">
        <f>IF(A76="","",CONCATENATE(VLOOKUP(A76,Competitors!$A$2:$I$650,3,FALSE)," ",VLOOKUP(A76,Competitors!$A$2:$I$650,2,FALSE)))</f>
        <v>Gerald Garner</v>
      </c>
    </row>
    <row r="77" spans="1:2" x14ac:dyDescent="0.15">
      <c r="A77">
        <f>IF(ISNUMBER(Competitors!A77),Competitors!A77,"")</f>
        <v>1274</v>
      </c>
      <c r="B77" t="str">
        <f>IF(A77="","",CONCATENATE(VLOOKUP(A77,Competitors!$A$2:$I$650,3,FALSE)," ",VLOOKUP(A77,Competitors!$A$2:$I$650,2,FALSE)))</f>
        <v>Sophia Gowers</v>
      </c>
    </row>
    <row r="78" spans="1:2" x14ac:dyDescent="0.15">
      <c r="A78">
        <f>IF(ISNUMBER(Competitors!A78),Competitors!A78,"")</f>
        <v>933</v>
      </c>
      <c r="B78" t="str">
        <f>IF(A78="","",CONCATENATE(VLOOKUP(A78,Competitors!$A$2:$I$650,3,FALSE)," ",VLOOKUP(A78,Competitors!$A$2:$I$650,2,FALSE)))</f>
        <v>Ed Grandidge</v>
      </c>
    </row>
    <row r="79" spans="1:2" x14ac:dyDescent="0.15">
      <c r="A79">
        <f>IF(ISNUMBER(Competitors!A79),Competitors!A79,"")</f>
        <v>1317</v>
      </c>
      <c r="B79" t="str">
        <f>IF(A79="","",CONCATENATE(VLOOKUP(A79,Competitors!$A$2:$I$650,3,FALSE)," ",VLOOKUP(A79,Competitors!$A$2:$I$650,2,FALSE)))</f>
        <v>Lawrence Gray</v>
      </c>
    </row>
    <row r="80" spans="1:2" x14ac:dyDescent="0.15">
      <c r="A80">
        <f>IF(ISNUMBER(Competitors!A80),Competitors!A80,"")</f>
        <v>493</v>
      </c>
      <c r="B80" t="str">
        <f>IF(A80="","",CONCATENATE(VLOOKUP(A80,Competitors!$A$2:$I$650,3,FALSE)," ",VLOOKUP(A80,Competitors!$A$2:$I$650,2,FALSE)))</f>
        <v>George Halls</v>
      </c>
    </row>
    <row r="81" spans="1:2" x14ac:dyDescent="0.15">
      <c r="A81">
        <f>IF(ISNUMBER(Competitors!A81),Competitors!A81,"")</f>
        <v>1287</v>
      </c>
      <c r="B81" t="str">
        <f>IF(A81="","",CONCATENATE(VLOOKUP(A81,Competitors!$A$2:$I$650,3,FALSE)," ",VLOOKUP(A81,Competitors!$A$2:$I$650,2,FALSE)))</f>
        <v>Sandra Hamilton-Fox</v>
      </c>
    </row>
    <row r="82" spans="1:2" x14ac:dyDescent="0.15">
      <c r="A82">
        <f>IF(ISNUMBER(Competitors!A82),Competitors!A82,"")</f>
        <v>1279</v>
      </c>
      <c r="B82" t="str">
        <f>IF(A82="","",CONCATENATE(VLOOKUP(A82,Competitors!$A$2:$I$650,3,FALSE)," ",VLOOKUP(A82,Competitors!$A$2:$I$650,2,FALSE)))</f>
        <v>Jeffrey Hanner</v>
      </c>
    </row>
    <row r="83" spans="1:2" x14ac:dyDescent="0.15">
      <c r="A83">
        <f>IF(ISNUMBER(Competitors!A83),Competitors!A83,"")</f>
        <v>1196</v>
      </c>
      <c r="B83" t="str">
        <f>IF(A83="","",CONCATENATE(VLOOKUP(A83,Competitors!$A$2:$I$650,3,FALSE)," ",VLOOKUP(A83,Competitors!$A$2:$I$650,2,FALSE)))</f>
        <v>Daniel Hardwicke</v>
      </c>
    </row>
    <row r="84" spans="1:2" x14ac:dyDescent="0.15">
      <c r="A84">
        <f>IF(ISNUMBER(Competitors!A84),Competitors!A84,"")</f>
        <v>1195</v>
      </c>
      <c r="B84" t="str">
        <f>IF(A84="","",CONCATENATE(VLOOKUP(A84,Competitors!$A$2:$I$650,3,FALSE)," ",VLOOKUP(A84,Competitors!$A$2:$I$650,2,FALSE)))</f>
        <v>Charlie Hardwicke</v>
      </c>
    </row>
    <row r="85" spans="1:2" x14ac:dyDescent="0.15">
      <c r="A85">
        <f>IF(ISNUMBER(Competitors!A85),Competitors!A85,"")</f>
        <v>1193</v>
      </c>
      <c r="B85" t="str">
        <f>IF(A85="","",CONCATENATE(VLOOKUP(A85,Competitors!$A$2:$I$650,3,FALSE)," ",VLOOKUP(A85,Competitors!$A$2:$I$650,2,FALSE)))</f>
        <v>Richard Hardwicke</v>
      </c>
    </row>
    <row r="86" spans="1:2" x14ac:dyDescent="0.15">
      <c r="A86">
        <f>IF(ISNUMBER(Competitors!A86),Competitors!A86,"")</f>
        <v>1194</v>
      </c>
      <c r="B86" t="str">
        <f>IF(A86="","",CONCATENATE(VLOOKUP(A86,Competitors!$A$2:$I$650,3,FALSE)," ",VLOOKUP(A86,Competitors!$A$2:$I$650,2,FALSE)))</f>
        <v>Alex Hardwicke</v>
      </c>
    </row>
    <row r="87" spans="1:2" x14ac:dyDescent="0.15">
      <c r="A87">
        <f>IF(ISNUMBER(Competitors!A87),Competitors!A87,"")</f>
        <v>936</v>
      </c>
      <c r="B87" t="str">
        <f>IF(A87="","",CONCATENATE(VLOOKUP(A87,Competitors!$A$2:$I$650,3,FALSE)," ",VLOOKUP(A87,Competitors!$A$2:$I$650,2,FALSE)))</f>
        <v>Tim Harris</v>
      </c>
    </row>
    <row r="88" spans="1:2" x14ac:dyDescent="0.15">
      <c r="A88">
        <f>IF(ISNUMBER(Competitors!A88),Competitors!A88,"")</f>
        <v>1351</v>
      </c>
      <c r="B88" t="str">
        <f>IF(A88="","",CONCATENATE(VLOOKUP(A88,Competitors!$A$2:$I$650,3,FALSE)," ",VLOOKUP(A88,Competitors!$A$2:$I$650,2,FALSE)))</f>
        <v>Scott Harrison</v>
      </c>
    </row>
    <row r="89" spans="1:2" x14ac:dyDescent="0.15">
      <c r="A89">
        <f>IF(ISNUMBER(Competitors!A89),Competitors!A89,"")</f>
        <v>1176</v>
      </c>
      <c r="B89" t="str">
        <f>IF(A89="","",CONCATENATE(VLOOKUP(A89,Competitors!$A$2:$I$650,3,FALSE)," ",VLOOKUP(A89,Competitors!$A$2:$I$650,2,FALSE)))</f>
        <v>Rory Harrison</v>
      </c>
    </row>
    <row r="90" spans="1:2" x14ac:dyDescent="0.15">
      <c r="A90">
        <f>IF(ISNUMBER(Competitors!A90),Competitors!A90,"")</f>
        <v>1174</v>
      </c>
      <c r="B90" t="str">
        <f>IF(A90="","",CONCATENATE(VLOOKUP(A90,Competitors!$A$2:$I$650,3,FALSE)," ",VLOOKUP(A90,Competitors!$A$2:$I$650,2,FALSE)))</f>
        <v>Claire Harrison</v>
      </c>
    </row>
    <row r="91" spans="1:2" x14ac:dyDescent="0.15">
      <c r="A91">
        <f>IF(ISNUMBER(Competitors!A91),Competitors!A91,"")</f>
        <v>1175</v>
      </c>
      <c r="B91" t="str">
        <f>IF(A91="","",CONCATENATE(VLOOKUP(A91,Competitors!$A$2:$I$650,3,FALSE)," ",VLOOKUP(A91,Competitors!$A$2:$I$650,2,FALSE)))</f>
        <v>Richard Harrison</v>
      </c>
    </row>
    <row r="92" spans="1:2" x14ac:dyDescent="0.15">
      <c r="A92">
        <f>IF(ISNUMBER(Competitors!A92),Competitors!A92,"")</f>
        <v>1109</v>
      </c>
      <c r="B92" t="str">
        <f>IF(A92="","",CONCATENATE(VLOOKUP(A92,Competitors!$A$2:$I$650,3,FALSE)," ",VLOOKUP(A92,Competitors!$A$2:$I$650,2,FALSE)))</f>
        <v>Stuart Haycox</v>
      </c>
    </row>
    <row r="93" spans="1:2" x14ac:dyDescent="0.15">
      <c r="A93">
        <f>IF(ISNUMBER(Competitors!A93),Competitors!A93,"")</f>
        <v>1073</v>
      </c>
      <c r="B93" t="str">
        <f>IF(A93="","",CONCATENATE(VLOOKUP(A93,Competitors!$A$2:$I$650,3,FALSE)," ",VLOOKUP(A93,Competitors!$A$2:$I$650,2,FALSE)))</f>
        <v>Richard Heald</v>
      </c>
    </row>
    <row r="94" spans="1:2" x14ac:dyDescent="0.15">
      <c r="A94">
        <f>IF(ISNUMBER(Competitors!A94),Competitors!A94,"")</f>
        <v>897</v>
      </c>
      <c r="B94" t="str">
        <f>IF(A94="","",CONCATENATE(VLOOKUP(A94,Competitors!$A$2:$I$650,3,FALSE)," ",VLOOKUP(A94,Competitors!$A$2:$I$650,2,FALSE)))</f>
        <v>Marc Henderson</v>
      </c>
    </row>
    <row r="95" spans="1:2" x14ac:dyDescent="0.15">
      <c r="A95">
        <f>IF(ISNUMBER(Competitors!A95),Competitors!A95,"")</f>
        <v>1365</v>
      </c>
      <c r="B95" t="str">
        <f>IF(A95="","",CONCATENATE(VLOOKUP(A95,Competitors!$A$2:$I$650,3,FALSE)," ",VLOOKUP(A95,Competitors!$A$2:$I$650,2,FALSE)))</f>
        <v>Helen Henderson</v>
      </c>
    </row>
    <row r="96" spans="1:2" x14ac:dyDescent="0.15">
      <c r="A96">
        <f>IF(ISNUMBER(Competitors!A96),Competitors!A96,"")</f>
        <v>1366</v>
      </c>
      <c r="B96" t="str">
        <f>IF(A96="","",CONCATENATE(VLOOKUP(A96,Competitors!$A$2:$I$650,3,FALSE)," ",VLOOKUP(A96,Competitors!$A$2:$I$650,2,FALSE)))</f>
        <v>Hannah Henderson</v>
      </c>
    </row>
    <row r="97" spans="1:2" x14ac:dyDescent="0.15">
      <c r="A97">
        <f>IF(ISNUMBER(Competitors!A97),Competitors!A97,"")</f>
        <v>1367</v>
      </c>
      <c r="B97" t="str">
        <f>IF(A97="","",CONCATENATE(VLOOKUP(A97,Competitors!$A$2:$I$650,3,FALSE)," ",VLOOKUP(A97,Competitors!$A$2:$I$650,2,FALSE)))</f>
        <v>Daniel Henderson</v>
      </c>
    </row>
    <row r="98" spans="1:2" x14ac:dyDescent="0.15">
      <c r="A98">
        <f>IF(ISNUMBER(Competitors!A98),Competitors!A98,"")</f>
        <v>1387</v>
      </c>
      <c r="B98" t="str">
        <f>IF(A98="","",CONCATENATE(VLOOKUP(A98,Competitors!$A$2:$I$650,3,FALSE)," ",VLOOKUP(A98,Competitors!$A$2:$I$650,2,FALSE)))</f>
        <v>Estelle Herbert</v>
      </c>
    </row>
    <row r="99" spans="1:2" x14ac:dyDescent="0.15">
      <c r="A99">
        <f>IF(ISNUMBER(Competitors!A99),Competitors!A99,"")</f>
        <v>1308</v>
      </c>
      <c r="B99" t="str">
        <f>IF(A99="","",CONCATENATE(VLOOKUP(A99,Competitors!$A$2:$I$650,3,FALSE)," ",VLOOKUP(A99,Competitors!$A$2:$I$650,2,FALSE)))</f>
        <v>Alice Herring</v>
      </c>
    </row>
    <row r="100" spans="1:2" x14ac:dyDescent="0.15">
      <c r="A100">
        <f>IF(ISNUMBER(Competitors!A100),Competitors!A100,"")</f>
        <v>1206</v>
      </c>
      <c r="B100" t="str">
        <f>IF(A100="","",CONCATENATE(VLOOKUP(A100,Competitors!$A$2:$I$650,3,FALSE)," ",VLOOKUP(A100,Competitors!$A$2:$I$650,2,FALSE)))</f>
        <v>Joy Hill</v>
      </c>
    </row>
    <row r="101" spans="1:2" x14ac:dyDescent="0.15">
      <c r="A101">
        <f>IF(ISNUMBER(Competitors!A101),Competitors!A101,"")</f>
        <v>1205</v>
      </c>
      <c r="B101" t="str">
        <f>IF(A101="","",CONCATENATE(VLOOKUP(A101,Competitors!$A$2:$I$650,3,FALSE)," ",VLOOKUP(A101,Competitors!$A$2:$I$650,2,FALSE)))</f>
        <v>Dave Hill</v>
      </c>
    </row>
    <row r="102" spans="1:2" x14ac:dyDescent="0.15">
      <c r="A102">
        <f>IF(ISNUMBER(Competitors!A102),Competitors!A102,"")</f>
        <v>1182</v>
      </c>
      <c r="B102" t="str">
        <f>IF(A102="","",CONCATENATE(VLOOKUP(A102,Competitors!$A$2:$I$650,3,FALSE)," ",VLOOKUP(A102,Competitors!$A$2:$I$650,2,FALSE)))</f>
        <v>Neil Holman</v>
      </c>
    </row>
    <row r="103" spans="1:2" x14ac:dyDescent="0.15">
      <c r="A103">
        <f>IF(ISNUMBER(Competitors!A103),Competitors!A103,"")</f>
        <v>1340</v>
      </c>
      <c r="B103" t="str">
        <f>IF(A103="","",CONCATENATE(VLOOKUP(A103,Competitors!$A$2:$I$650,3,FALSE)," ",VLOOKUP(A103,Competitors!$A$2:$I$650,2,FALSE)))</f>
        <v>Cristian Holmes</v>
      </c>
    </row>
    <row r="104" spans="1:2" x14ac:dyDescent="0.15">
      <c r="A104">
        <f>IF(ISNUMBER(Competitors!A104),Competitors!A104,"")</f>
        <v>913</v>
      </c>
      <c r="B104" t="str">
        <f>IF(A104="","",CONCATENATE(VLOOKUP(A104,Competitors!$A$2:$I$650,3,FALSE)," ",VLOOKUP(A104,Competitors!$A$2:$I$650,2,FALSE)))</f>
        <v>Charlie Holton</v>
      </c>
    </row>
    <row r="105" spans="1:2" x14ac:dyDescent="0.15">
      <c r="A105">
        <f>IF(ISNUMBER(Competitors!A105),Competitors!A105,"")</f>
        <v>21</v>
      </c>
      <c r="B105" t="str">
        <f>IF(A105="","",CONCATENATE(VLOOKUP(A105,Competitors!$A$2:$I$650,3,FALSE)," ",VLOOKUP(A105,Competitors!$A$2:$I$650,2,FALSE)))</f>
        <v>Wayne Holton</v>
      </c>
    </row>
    <row r="106" spans="1:2" x14ac:dyDescent="0.15">
      <c r="A106">
        <f>IF(ISNUMBER(Competitors!A106),Competitors!A106,"")</f>
        <v>746</v>
      </c>
      <c r="B106" t="str">
        <f>IF(A106="","",CONCATENATE(VLOOKUP(A106,Competitors!$A$2:$I$650,3,FALSE)," ",VLOOKUP(A106,Competitors!$A$2:$I$650,2,FALSE)))</f>
        <v>Simon Hopkins</v>
      </c>
    </row>
    <row r="107" spans="1:2" x14ac:dyDescent="0.15">
      <c r="A107">
        <f>IF(ISNUMBER(Competitors!A107),Competitors!A107,"")</f>
        <v>1049</v>
      </c>
      <c r="B107" t="str">
        <f>IF(A107="","",CONCATENATE(VLOOKUP(A107,Competitors!$A$2:$I$650,3,FALSE)," ",VLOOKUP(A107,Competitors!$A$2:$I$650,2,FALSE)))</f>
        <v>Duncan Hopwood</v>
      </c>
    </row>
    <row r="108" spans="1:2" x14ac:dyDescent="0.15">
      <c r="A108">
        <f>IF(ISNUMBER(Competitors!A108),Competitors!A108,"")</f>
        <v>547</v>
      </c>
      <c r="B108" t="str">
        <f>IF(A108="","",CONCATENATE(VLOOKUP(A108,Competitors!$A$2:$I$650,3,FALSE)," ",VLOOKUP(A108,Competitors!$A$2:$I$650,2,FALSE)))</f>
        <v>Nick Horder</v>
      </c>
    </row>
    <row r="109" spans="1:2" x14ac:dyDescent="0.15">
      <c r="A109">
        <f>IF(ISNUMBER(Competitors!A109),Competitors!A109,"")</f>
        <v>120</v>
      </c>
      <c r="B109" t="str">
        <f>IF(A109="","",CONCATENATE(VLOOKUP(A109,Competitors!$A$2:$I$650,3,FALSE)," ",VLOOKUP(A109,Competitors!$A$2:$I$650,2,FALSE)))</f>
        <v>Linda Hubbard</v>
      </c>
    </row>
    <row r="110" spans="1:2" x14ac:dyDescent="0.15">
      <c r="A110">
        <f>IF(ISNUMBER(Competitors!A110),Competitors!A110,"")</f>
        <v>990</v>
      </c>
      <c r="B110" t="str">
        <f>IF(A110="","",CONCATENATE(VLOOKUP(A110,Competitors!$A$2:$I$650,3,FALSE)," ",VLOOKUP(A110,Competitors!$A$2:$I$650,2,FALSE)))</f>
        <v>Jennifer Hulme</v>
      </c>
    </row>
    <row r="111" spans="1:2" x14ac:dyDescent="0.15">
      <c r="A111">
        <f>IF(ISNUMBER(Competitors!A111),Competitors!A111,"")</f>
        <v>1158</v>
      </c>
      <c r="B111" t="str">
        <f>IF(A111="","",CONCATENATE(VLOOKUP(A111,Competitors!$A$2:$I$650,3,FALSE)," ",VLOOKUP(A111,Competitors!$A$2:$I$650,2,FALSE)))</f>
        <v>Eleanor Humphries</v>
      </c>
    </row>
    <row r="112" spans="1:2" x14ac:dyDescent="0.15">
      <c r="A112">
        <f>IF(ISNUMBER(Competitors!A112),Competitors!A112,"")</f>
        <v>23</v>
      </c>
      <c r="B112" t="str">
        <f>IF(A112="","",CONCATENATE(VLOOKUP(A112,Competitors!$A$2:$I$650,3,FALSE)," ",VLOOKUP(A112,Competitors!$A$2:$I$650,2,FALSE)))</f>
        <v>Chris Hyde</v>
      </c>
    </row>
    <row r="113" spans="1:2" x14ac:dyDescent="0.15">
      <c r="A113">
        <f>IF(ISNUMBER(Competitors!A113),Competitors!A113,"")</f>
        <v>1152</v>
      </c>
      <c r="B113" t="str">
        <f>IF(A113="","",CONCATENATE(VLOOKUP(A113,Competitors!$A$2:$I$650,3,FALSE)," ",VLOOKUP(A113,Competitors!$A$2:$I$650,2,FALSE)))</f>
        <v>Ruby Isaac</v>
      </c>
    </row>
    <row r="114" spans="1:2" x14ac:dyDescent="0.15">
      <c r="A114">
        <f>IF(ISNUMBER(Competitors!A114),Competitors!A114,"")</f>
        <v>581</v>
      </c>
      <c r="B114" t="str">
        <f>IF(A114="","",CONCATENATE(VLOOKUP(A114,Competitors!$A$2:$I$650,3,FALSE)," ",VLOOKUP(A114,Competitors!$A$2:$I$650,2,FALSE)))</f>
        <v>Mike Ives</v>
      </c>
    </row>
    <row r="115" spans="1:2" x14ac:dyDescent="0.15">
      <c r="A115">
        <f>IF(ISNUMBER(Competitors!A115),Competitors!A115,"")</f>
        <v>1374</v>
      </c>
      <c r="B115" t="str">
        <f>IF(A115="","",CONCATENATE(VLOOKUP(A115,Competitors!$A$2:$I$650,3,FALSE)," ",VLOOKUP(A115,Competitors!$A$2:$I$650,2,FALSE)))</f>
        <v>Will Jackson-Bream</v>
      </c>
    </row>
    <row r="116" spans="1:2" x14ac:dyDescent="0.15">
      <c r="A116">
        <f>IF(ISNUMBER(Competitors!A116),Competitors!A116,"")</f>
        <v>25</v>
      </c>
      <c r="B116" t="str">
        <f>IF(A116="","",CONCATENATE(VLOOKUP(A116,Competitors!$A$2:$I$650,3,FALSE)," ",VLOOKUP(A116,Competitors!$A$2:$I$650,2,FALSE)))</f>
        <v>Mitchell James</v>
      </c>
    </row>
    <row r="117" spans="1:2" x14ac:dyDescent="0.15">
      <c r="A117">
        <f>IF(ISNUMBER(Competitors!A117),Competitors!A117,"")</f>
        <v>1257</v>
      </c>
      <c r="B117" t="str">
        <f>IF(A117="","",CONCATENATE(VLOOKUP(A117,Competitors!$A$2:$I$650,3,FALSE)," ",VLOOKUP(A117,Competitors!$A$2:$I$650,2,FALSE)))</f>
        <v>Richard Kendrick</v>
      </c>
    </row>
    <row r="118" spans="1:2" x14ac:dyDescent="0.15">
      <c r="A118">
        <f>IF(ISNUMBER(Competitors!A118),Competitors!A118,"")</f>
        <v>1144</v>
      </c>
      <c r="B118" t="str">
        <f>IF(A118="","",CONCATENATE(VLOOKUP(A118,Competitors!$A$2:$I$650,3,FALSE)," ",VLOOKUP(A118,Competitors!$A$2:$I$650,2,FALSE)))</f>
        <v>Jamie Kershaw</v>
      </c>
    </row>
    <row r="119" spans="1:2" x14ac:dyDescent="0.15">
      <c r="A119">
        <f>IF(ISNUMBER(Competitors!A119),Competitors!A119,"")</f>
        <v>415</v>
      </c>
      <c r="B119" t="str">
        <f>IF(A119="","",CONCATENATE(VLOOKUP(A119,Competitors!$A$2:$I$650,3,FALSE)," ",VLOOKUP(A119,Competitors!$A$2:$I$650,2,FALSE)))</f>
        <v>Nik Kershaw</v>
      </c>
    </row>
    <row r="120" spans="1:2" x14ac:dyDescent="0.15">
      <c r="A120">
        <f>IF(ISNUMBER(Competitors!A120),Competitors!A120,"")</f>
        <v>203</v>
      </c>
      <c r="B120" t="str">
        <f>IF(A120="","",CONCATENATE(VLOOKUP(A120,Competitors!$A$2:$I$650,3,FALSE)," ",VLOOKUP(A120,Competitors!$A$2:$I$650,2,FALSE)))</f>
        <v>Adrian Killworth</v>
      </c>
    </row>
    <row r="121" spans="1:2" x14ac:dyDescent="0.15">
      <c r="A121">
        <f>IF(ISNUMBER(Competitors!A121),Competitors!A121,"")</f>
        <v>956</v>
      </c>
      <c r="B121" t="str">
        <f>IF(A121="","",CONCATENATE(VLOOKUP(A121,Competitors!$A$2:$I$650,3,FALSE)," ",VLOOKUP(A121,Competitors!$A$2:$I$650,2,FALSE)))</f>
        <v>Steven King</v>
      </c>
    </row>
    <row r="122" spans="1:2" x14ac:dyDescent="0.15">
      <c r="A122">
        <f>IF(ISNUMBER(Competitors!A122),Competitors!A122,"")</f>
        <v>1273</v>
      </c>
      <c r="B122" t="str">
        <f>IF(A122="","",CONCATENATE(VLOOKUP(A122,Competitors!$A$2:$I$650,3,FALSE)," ",VLOOKUP(A122,Competitors!$A$2:$I$650,2,FALSE)))</f>
        <v>Ros Knight</v>
      </c>
    </row>
    <row r="123" spans="1:2" x14ac:dyDescent="0.15">
      <c r="A123">
        <f>IF(ISNUMBER(Competitors!A123),Competitors!A123,"")</f>
        <v>1272</v>
      </c>
      <c r="B123" t="str">
        <f>IF(A123="","",CONCATENATE(VLOOKUP(A123,Competitors!$A$2:$I$650,3,FALSE)," ",VLOOKUP(A123,Competitors!$A$2:$I$650,2,FALSE)))</f>
        <v>Tim Knight</v>
      </c>
    </row>
    <row r="124" spans="1:2" x14ac:dyDescent="0.15">
      <c r="A124">
        <f>IF(ISNUMBER(Competitors!A124),Competitors!A124,"")</f>
        <v>846</v>
      </c>
      <c r="B124" t="str">
        <f>IF(A124="","",CONCATENATE(VLOOKUP(A124,Competitors!$A$2:$I$650,3,FALSE)," ",VLOOKUP(A124,Competitors!$A$2:$I$650,2,FALSE)))</f>
        <v>Roger Kockelbergh</v>
      </c>
    </row>
    <row r="125" spans="1:2" x14ac:dyDescent="0.15">
      <c r="A125">
        <f>IF(ISNUMBER(Competitors!A125),Competitors!A125,"")</f>
        <v>1162</v>
      </c>
      <c r="B125" t="str">
        <f>IF(A125="","",CONCATENATE(VLOOKUP(A125,Competitors!$A$2:$I$650,3,FALSE)," ",VLOOKUP(A125,Competitors!$A$2:$I$650,2,FALSE)))</f>
        <v>Richard Krause</v>
      </c>
    </row>
    <row r="126" spans="1:2" x14ac:dyDescent="0.15">
      <c r="A126">
        <f>IF(ISNUMBER(Competitors!A126),Competitors!A126,"")</f>
        <v>1244</v>
      </c>
      <c r="B126" t="str">
        <f>IF(A126="","",CONCATENATE(VLOOKUP(A126,Competitors!$A$2:$I$650,3,FALSE)," ",VLOOKUP(A126,Competitors!$A$2:$I$650,2,FALSE)))</f>
        <v>Steven Latham</v>
      </c>
    </row>
    <row r="127" spans="1:2" x14ac:dyDescent="0.15">
      <c r="A127">
        <f>IF(ISNUMBER(Competitors!A127),Competitors!A127,"")</f>
        <v>1379</v>
      </c>
      <c r="B127" t="str">
        <f>IF(A127="","",CONCATENATE(VLOOKUP(A127,Competitors!$A$2:$I$650,3,FALSE)," ",VLOOKUP(A127,Competitors!$A$2:$I$650,2,FALSE)))</f>
        <v>Michaela Latham</v>
      </c>
    </row>
    <row r="128" spans="1:2" x14ac:dyDescent="0.15">
      <c r="A128">
        <f>IF(ISNUMBER(Competitors!A128),Competitors!A128,"")</f>
        <v>1296</v>
      </c>
      <c r="B128" t="str">
        <f>IF(A128="","",CONCATENATE(VLOOKUP(A128,Competitors!$A$2:$I$650,3,FALSE)," ",VLOOKUP(A128,Competitors!$A$2:$I$650,2,FALSE)))</f>
        <v>Richard Latimer</v>
      </c>
    </row>
    <row r="129" spans="1:2" x14ac:dyDescent="0.15">
      <c r="A129">
        <f>IF(ISNUMBER(Competitors!A129),Competitors!A129,"")</f>
        <v>1362</v>
      </c>
      <c r="B129" t="str">
        <f>IF(A129="","",CONCATENATE(VLOOKUP(A129,Competitors!$A$2:$I$650,3,FALSE)," ",VLOOKUP(A129,Competitors!$A$2:$I$650,2,FALSE)))</f>
        <v>Paula Laws</v>
      </c>
    </row>
    <row r="130" spans="1:2" x14ac:dyDescent="0.15">
      <c r="A130">
        <f>IF(ISNUMBER(Competitors!A130),Competitors!A130,"")</f>
        <v>1229</v>
      </c>
      <c r="B130" t="str">
        <f>IF(A130="","",CONCATENATE(VLOOKUP(A130,Competitors!$A$2:$I$650,3,FALSE)," ",VLOOKUP(A130,Competitors!$A$2:$I$650,2,FALSE)))</f>
        <v>Kamila Leska</v>
      </c>
    </row>
    <row r="131" spans="1:2" x14ac:dyDescent="0.15">
      <c r="A131">
        <f>IF(ISNUMBER(Competitors!A131),Competitors!A131,"")</f>
        <v>1198</v>
      </c>
      <c r="B131" t="str">
        <f>IF(A131="","",CONCATENATE(VLOOKUP(A131,Competitors!$A$2:$I$650,3,FALSE)," ",VLOOKUP(A131,Competitors!$A$2:$I$650,2,FALSE)))</f>
        <v>Anthony Liot</v>
      </c>
    </row>
    <row r="132" spans="1:2" x14ac:dyDescent="0.15">
      <c r="A132">
        <f>IF(ISNUMBER(Competitors!A132),Competitors!A132,"")</f>
        <v>1260</v>
      </c>
      <c r="B132" t="str">
        <f>IF(A132="","",CONCATENATE(VLOOKUP(A132,Competitors!$A$2:$I$650,3,FALSE)," ",VLOOKUP(A132,Competitors!$A$2:$I$650,2,FALSE)))</f>
        <v>Alison Lucas</v>
      </c>
    </row>
    <row r="133" spans="1:2" x14ac:dyDescent="0.15">
      <c r="A133">
        <f>IF(ISNUMBER(Competitors!A133),Competitors!A133,"")</f>
        <v>1361</v>
      </c>
      <c r="B133" t="str">
        <f>IF(A133="","",CONCATENATE(VLOOKUP(A133,Competitors!$A$2:$I$650,3,FALSE)," ",VLOOKUP(A133,Competitors!$A$2:$I$650,2,FALSE)))</f>
        <v>Bruce Main</v>
      </c>
    </row>
    <row r="134" spans="1:2" x14ac:dyDescent="0.15">
      <c r="A134">
        <f>IF(ISNUMBER(Competitors!A134),Competitors!A134,"")</f>
        <v>1100</v>
      </c>
      <c r="B134" t="str">
        <f>IF(A134="","",CONCATENATE(VLOOKUP(A134,Competitors!$A$2:$I$650,3,FALSE)," ",VLOOKUP(A134,Competitors!$A$2:$I$650,2,FALSE)))</f>
        <v>Ian Mansfield</v>
      </c>
    </row>
    <row r="135" spans="1:2" x14ac:dyDescent="0.15">
      <c r="A135">
        <f>IF(ISNUMBER(Competitors!A135),Competitors!A135,"")</f>
        <v>1385</v>
      </c>
      <c r="B135" t="str">
        <f>IF(A135="","",CONCATENATE(VLOOKUP(A135,Competitors!$A$2:$I$650,3,FALSE)," ",VLOOKUP(A135,Competitors!$A$2:$I$650,2,FALSE)))</f>
        <v>Miles Marr</v>
      </c>
    </row>
    <row r="136" spans="1:2" x14ac:dyDescent="0.15">
      <c r="A136">
        <f>IF(ISNUMBER(Competitors!A136),Competitors!A136,"")</f>
        <v>1373</v>
      </c>
      <c r="B136" t="str">
        <f>IF(A136="","",CONCATENATE(VLOOKUP(A136,Competitors!$A$2:$I$650,3,FALSE)," ",VLOOKUP(A136,Competitors!$A$2:$I$650,2,FALSE)))</f>
        <v>David McGraw</v>
      </c>
    </row>
    <row r="137" spans="1:2" x14ac:dyDescent="0.15">
      <c r="A137">
        <f>IF(ISNUMBER(Competitors!A137),Competitors!A137,"")</f>
        <v>1252</v>
      </c>
      <c r="B137" t="str">
        <f>IF(A137="","",CONCATENATE(VLOOKUP(A137,Competitors!$A$2:$I$650,3,FALSE)," ",VLOOKUP(A137,Competitors!$A$2:$I$650,2,FALSE)))</f>
        <v>Philip McLeod</v>
      </c>
    </row>
    <row r="138" spans="1:2" x14ac:dyDescent="0.15">
      <c r="A138">
        <f>IF(ISNUMBER(Competitors!A138),Competitors!A138,"")</f>
        <v>1363</v>
      </c>
      <c r="B138" t="str">
        <f>IF(A138="","",CONCATENATE(VLOOKUP(A138,Competitors!$A$2:$I$650,3,FALSE)," ",VLOOKUP(A138,Competitors!$A$2:$I$650,2,FALSE)))</f>
        <v>Alisa McDonald</v>
      </c>
    </row>
    <row r="139" spans="1:2" x14ac:dyDescent="0.15">
      <c r="A139">
        <f>IF(ISNUMBER(Competitors!A139),Competitors!A139,"")</f>
        <v>967</v>
      </c>
      <c r="B139" t="str">
        <f>IF(A139="","",CONCATENATE(VLOOKUP(A139,Competitors!$A$2:$I$650,3,FALSE)," ",VLOOKUP(A139,Competitors!$A$2:$I$650,2,FALSE)))</f>
        <v>Daniel McDonnell</v>
      </c>
    </row>
    <row r="140" spans="1:2" x14ac:dyDescent="0.15">
      <c r="A140">
        <f>IF(ISNUMBER(Competitors!A140),Competitors!A140,"")</f>
        <v>1045</v>
      </c>
      <c r="B140" t="str">
        <f>IF(A140="","",CONCATENATE(VLOOKUP(A140,Competitors!$A$2:$I$650,3,FALSE)," ",VLOOKUP(A140,Competitors!$A$2:$I$650,2,FALSE)))</f>
        <v>Amanda McPherson</v>
      </c>
    </row>
    <row r="141" spans="1:2" x14ac:dyDescent="0.15">
      <c r="A141">
        <f>IF(ISNUMBER(Competitors!A141),Competitors!A141,"")</f>
        <v>1046</v>
      </c>
      <c r="B141" t="str">
        <f>IF(A141="","",CONCATENATE(VLOOKUP(A141,Competitors!$A$2:$I$650,3,FALSE)," ",VLOOKUP(A141,Competitors!$A$2:$I$650,2,FALSE)))</f>
        <v>Jim McPherson</v>
      </c>
    </row>
    <row r="142" spans="1:2" x14ac:dyDescent="0.15">
      <c r="A142">
        <f>IF(ISNUMBER(Competitors!A142),Competitors!A142,"")</f>
        <v>929</v>
      </c>
      <c r="B142" t="str">
        <f>IF(A142="","",CONCATENATE(VLOOKUP(A142,Competitors!$A$2:$I$650,3,FALSE)," ",VLOOKUP(A142,Competitors!$A$2:$I$650,2,FALSE)))</f>
        <v>Thomas Medley</v>
      </c>
    </row>
    <row r="143" spans="1:2" x14ac:dyDescent="0.15">
      <c r="A143">
        <f>IF(ISNUMBER(Competitors!A143),Competitors!A143,"")</f>
        <v>1349</v>
      </c>
      <c r="B143" t="str">
        <f>IF(A143="","",CONCATENATE(VLOOKUP(A143,Competitors!$A$2:$I$650,3,FALSE)," ",VLOOKUP(A143,Competitors!$A$2:$I$650,2,FALSE)))</f>
        <v>Theo Mercer</v>
      </c>
    </row>
    <row r="144" spans="1:2" x14ac:dyDescent="0.15">
      <c r="A144">
        <f>IF(ISNUMBER(Competitors!A144),Competitors!A144,"")</f>
        <v>1342</v>
      </c>
      <c r="B144" t="str">
        <f>IF(A144="","",CONCATENATE(VLOOKUP(A144,Competitors!$A$2:$I$650,3,FALSE)," ",VLOOKUP(A144,Competitors!$A$2:$I$650,2,FALSE)))</f>
        <v>Danny Meyer</v>
      </c>
    </row>
    <row r="145" spans="1:2" x14ac:dyDescent="0.15">
      <c r="A145">
        <f>IF(ISNUMBER(Competitors!A145),Competitors!A145,"")</f>
        <v>771</v>
      </c>
      <c r="B145" t="str">
        <f>IF(A145="","",CONCATENATE(VLOOKUP(A145,Competitors!$A$2:$I$650,3,FALSE)," ",VLOOKUP(A145,Competitors!$A$2:$I$650,2,FALSE)))</f>
        <v>Julian Middleton</v>
      </c>
    </row>
    <row r="146" spans="1:2" x14ac:dyDescent="0.15">
      <c r="A146">
        <f>IF(ISNUMBER(Competitors!A146),Competitors!A146,"")</f>
        <v>1265</v>
      </c>
      <c r="B146" t="str">
        <f>IF(A146="","",CONCATENATE(VLOOKUP(A146,Competitors!$A$2:$I$650,3,FALSE)," ",VLOOKUP(A146,Competitors!$A$2:$I$650,2,FALSE)))</f>
        <v>Kevin Millard</v>
      </c>
    </row>
    <row r="147" spans="1:2" x14ac:dyDescent="0.15">
      <c r="A147">
        <f>IF(ISNUMBER(Competitors!A147),Competitors!A147,"")</f>
        <v>532</v>
      </c>
      <c r="B147" t="str">
        <f>IF(A147="","",CONCATENATE(VLOOKUP(A147,Competitors!$A$2:$I$650,3,FALSE)," ",VLOOKUP(A147,Competitors!$A$2:$I$650,2,FALSE)))</f>
        <v>Kevin Mills</v>
      </c>
    </row>
    <row r="148" spans="1:2" x14ac:dyDescent="0.15">
      <c r="A148">
        <f>IF(ISNUMBER(Competitors!A148),Competitors!A148,"")</f>
        <v>1388</v>
      </c>
      <c r="B148" t="str">
        <f>IF(A148="","",CONCATENATE(VLOOKUP(A148,Competitors!$A$2:$I$650,3,FALSE)," ",VLOOKUP(A148,Competitors!$A$2:$I$650,2,FALSE)))</f>
        <v>Sophie Mitchell</v>
      </c>
    </row>
    <row r="149" spans="1:2" x14ac:dyDescent="0.15">
      <c r="A149">
        <f>IF(ISNUMBER(Competitors!A149),Competitors!A149,"")</f>
        <v>1282</v>
      </c>
      <c r="B149" t="str">
        <f>IF(A149="","",CONCATENATE(VLOOKUP(A149,Competitors!$A$2:$I$650,3,FALSE)," ",VLOOKUP(A149,Competitors!$A$2:$I$650,2,FALSE)))</f>
        <v>Paul Molyneux</v>
      </c>
    </row>
    <row r="150" spans="1:2" x14ac:dyDescent="0.15">
      <c r="A150">
        <f>IF(ISNUMBER(Competitors!A150),Competitors!A150,"")</f>
        <v>1386</v>
      </c>
      <c r="B150" t="str">
        <f>IF(A150="","",CONCATENATE(VLOOKUP(A150,Competitors!$A$2:$I$650,3,FALSE)," ",VLOOKUP(A150,Competitors!$A$2:$I$650,2,FALSE)))</f>
        <v>Mea Moore</v>
      </c>
    </row>
    <row r="151" spans="1:2" x14ac:dyDescent="0.15">
      <c r="A151">
        <f>IF(ISNUMBER(Competitors!A151),Competitors!A151,"")</f>
        <v>747</v>
      </c>
      <c r="B151" t="str">
        <f>IF(A151="","",CONCATENATE(VLOOKUP(A151,Competitors!$A$2:$I$650,3,FALSE)," ",VLOOKUP(A151,Competitors!$A$2:$I$650,2,FALSE)))</f>
        <v>James Moore</v>
      </c>
    </row>
    <row r="152" spans="1:2" x14ac:dyDescent="0.15">
      <c r="A152">
        <f>IF(ISNUMBER(Competitors!A152),Competitors!A152,"")</f>
        <v>1298</v>
      </c>
      <c r="B152" t="str">
        <f>IF(A152="","",CONCATENATE(VLOOKUP(A152,Competitors!$A$2:$I$650,3,FALSE)," ",VLOOKUP(A152,Competitors!$A$2:$I$650,2,FALSE)))</f>
        <v>Jane Moore</v>
      </c>
    </row>
    <row r="153" spans="1:2" x14ac:dyDescent="0.15">
      <c r="A153">
        <f>IF(ISNUMBER(Competitors!A153),Competitors!A153,"")</f>
        <v>742</v>
      </c>
      <c r="B153" t="str">
        <f>IF(A153="","",CONCATENATE(VLOOKUP(A153,Competitors!$A$2:$I$650,3,FALSE)," ",VLOOKUP(A153,Competitors!$A$2:$I$650,2,FALSE)))</f>
        <v>Claire Moore</v>
      </c>
    </row>
    <row r="154" spans="1:2" x14ac:dyDescent="0.15">
      <c r="A154">
        <f>IF(ISNUMBER(Competitors!A154),Competitors!A154,"")</f>
        <v>741</v>
      </c>
      <c r="B154" t="str">
        <f>IF(A154="","",CONCATENATE(VLOOKUP(A154,Competitors!$A$2:$I$650,3,FALSE)," ",VLOOKUP(A154,Competitors!$A$2:$I$650,2,FALSE)))</f>
        <v>Rob Moore</v>
      </c>
    </row>
    <row r="155" spans="1:2" x14ac:dyDescent="0.15">
      <c r="A155">
        <f>IF(ISNUMBER(Competitors!A155),Competitors!A155,"")</f>
        <v>1221</v>
      </c>
      <c r="B155" t="str">
        <f>IF(A155="","",CONCATENATE(VLOOKUP(A155,Competitors!$A$2:$I$650,3,FALSE)," ",VLOOKUP(A155,Competitors!$A$2:$I$650,2,FALSE)))</f>
        <v>David Morgan</v>
      </c>
    </row>
    <row r="156" spans="1:2" x14ac:dyDescent="0.15">
      <c r="A156">
        <f>IF(ISNUMBER(Competitors!A156),Competitors!A156,"")</f>
        <v>900</v>
      </c>
      <c r="B156" t="str">
        <f>IF(A156="","",CONCATENATE(VLOOKUP(A156,Competitors!$A$2:$I$650,3,FALSE)," ",VLOOKUP(A156,Competitors!$A$2:$I$650,2,FALSE)))</f>
        <v>Mark Morris</v>
      </c>
    </row>
    <row r="157" spans="1:2" x14ac:dyDescent="0.15">
      <c r="A157">
        <f>IF(ISNUMBER(Competitors!A157),Competitors!A157,"")</f>
        <v>1165</v>
      </c>
      <c r="B157" t="str">
        <f>IF(A157="","",CONCATENATE(VLOOKUP(A157,Competitors!$A$2:$I$650,3,FALSE)," ",VLOOKUP(A157,Competitors!$A$2:$I$650,2,FALSE)))</f>
        <v>Duncan Murray</v>
      </c>
    </row>
    <row r="158" spans="1:2" x14ac:dyDescent="0.15">
      <c r="A158">
        <f>IF(ISNUMBER(Competitors!A158),Competitors!A158,"")</f>
        <v>405</v>
      </c>
      <c r="B158" t="str">
        <f>IF(A158="","",CONCATENATE(VLOOKUP(A158,Competitors!$A$2:$I$650,3,FALSE)," ",VLOOKUP(A158,Competitors!$A$2:$I$650,2,FALSE)))</f>
        <v>Kevin Nicholls</v>
      </c>
    </row>
    <row r="159" spans="1:2" x14ac:dyDescent="0.15">
      <c r="A159">
        <f>IF(ISNUMBER(Competitors!A159),Competitors!A159,"")</f>
        <v>1346</v>
      </c>
      <c r="B159" t="str">
        <f>IF(A159="","",CONCATENATE(VLOOKUP(A159,Competitors!$A$2:$I$650,3,FALSE)," ",VLOOKUP(A159,Competitors!$A$2:$I$650,2,FALSE)))</f>
        <v>Stephen Nixon</v>
      </c>
    </row>
    <row r="160" spans="1:2" x14ac:dyDescent="0.15">
      <c r="A160">
        <f>IF(ISNUMBER(Competitors!A160),Competitors!A160,"")</f>
        <v>1364</v>
      </c>
      <c r="B160" t="str">
        <f>IF(A160="","",CONCATENATE(VLOOKUP(A160,Competitors!$A$2:$I$650,3,FALSE)," ",VLOOKUP(A160,Competitors!$A$2:$I$650,2,FALSE)))</f>
        <v>Laurence Noble</v>
      </c>
    </row>
    <row r="161" spans="1:2" x14ac:dyDescent="0.15">
      <c r="A161">
        <f>IF(ISNUMBER(Competitors!A161),Competitors!A161,"")</f>
        <v>1210</v>
      </c>
      <c r="B161" t="str">
        <f>IF(A161="","",CONCATENATE(VLOOKUP(A161,Competitors!$A$2:$I$650,3,FALSE)," ",VLOOKUP(A161,Competitors!$A$2:$I$650,2,FALSE)))</f>
        <v>George Nolan</v>
      </c>
    </row>
    <row r="162" spans="1:2" x14ac:dyDescent="0.15">
      <c r="A162">
        <f>IF(ISNUMBER(Competitors!A162),Competitors!A162,"")</f>
        <v>1192</v>
      </c>
      <c r="B162" t="str">
        <f>IF(A162="","",CONCATENATE(VLOOKUP(A162,Competitors!$A$2:$I$650,3,FALSE)," ",VLOOKUP(A162,Competitors!$A$2:$I$650,2,FALSE)))</f>
        <v>Dale Norris</v>
      </c>
    </row>
    <row r="163" spans="1:2" x14ac:dyDescent="0.15">
      <c r="A163">
        <f>IF(ISNUMBER(Competitors!A163),Competitors!A163,"")</f>
        <v>1157</v>
      </c>
      <c r="B163" t="str">
        <f>IF(A163="","",CONCATENATE(VLOOKUP(A163,Competitors!$A$2:$I$650,3,FALSE)," ",VLOOKUP(A163,Competitors!$A$2:$I$650,2,FALSE)))</f>
        <v>Chris Orfeur</v>
      </c>
    </row>
    <row r="164" spans="1:2" x14ac:dyDescent="0.15">
      <c r="A164">
        <f>IF(ISNUMBER(Competitors!A164),Competitors!A164,"")</f>
        <v>1357</v>
      </c>
      <c r="B164" t="str">
        <f>IF(A164="","",CONCATENATE(VLOOKUP(A164,Competitors!$A$2:$I$650,3,FALSE)," ",VLOOKUP(A164,Competitors!$A$2:$I$650,2,FALSE)))</f>
        <v>Ian Parker</v>
      </c>
    </row>
    <row r="165" spans="1:2" x14ac:dyDescent="0.15">
      <c r="A165">
        <f>IF(ISNUMBER(Competitors!A165),Competitors!A165,"")</f>
        <v>1358</v>
      </c>
      <c r="B165" t="str">
        <f>IF(A165="","",CONCATENATE(VLOOKUP(A165,Competitors!$A$2:$I$650,3,FALSE)," ",VLOOKUP(A165,Competitors!$A$2:$I$650,2,FALSE)))</f>
        <v>Mandy Parker</v>
      </c>
    </row>
    <row r="166" spans="1:2" x14ac:dyDescent="0.15">
      <c r="A166">
        <f>IF(ISNUMBER(Competitors!A166),Competitors!A166,"")</f>
        <v>1359</v>
      </c>
      <c r="B166" t="str">
        <f>IF(A166="","",CONCATENATE(VLOOKUP(A166,Competitors!$A$2:$I$650,3,FALSE)," ",VLOOKUP(A166,Competitors!$A$2:$I$650,2,FALSE)))</f>
        <v>George Parker</v>
      </c>
    </row>
    <row r="167" spans="1:2" x14ac:dyDescent="0.15">
      <c r="A167">
        <f>IF(ISNUMBER(Competitors!A167),Competitors!A167,"")</f>
        <v>1360</v>
      </c>
      <c r="B167" t="str">
        <f>IF(A167="","",CONCATENATE(VLOOKUP(A167,Competitors!$A$2:$I$650,3,FALSE)," ",VLOOKUP(A167,Competitors!$A$2:$I$650,2,FALSE)))</f>
        <v>Charlotte Parker</v>
      </c>
    </row>
    <row r="168" spans="1:2" x14ac:dyDescent="0.15">
      <c r="A168">
        <f>IF(ISNUMBER(Competitors!A168),Competitors!A168,"")</f>
        <v>1093</v>
      </c>
      <c r="B168" t="str">
        <f>IF(A168="","",CONCATENATE(VLOOKUP(A168,Competitors!$A$2:$I$650,3,FALSE)," ",VLOOKUP(A168,Competitors!$A$2:$I$650,2,FALSE)))</f>
        <v>Mark Pattrick</v>
      </c>
    </row>
    <row r="169" spans="1:2" x14ac:dyDescent="0.15">
      <c r="A169">
        <f>IF(ISNUMBER(Competitors!A169),Competitors!A169,"")</f>
        <v>1107</v>
      </c>
      <c r="B169" t="str">
        <f>IF(A169="","",CONCATENATE(VLOOKUP(A169,Competitors!$A$2:$I$650,3,FALSE)," ",VLOOKUP(A169,Competitors!$A$2:$I$650,2,FALSE)))</f>
        <v>Milly Pinnock</v>
      </c>
    </row>
    <row r="170" spans="1:2" x14ac:dyDescent="0.15">
      <c r="A170">
        <f>IF(ISNUMBER(Competitors!A170),Competitors!A170,"")</f>
        <v>35</v>
      </c>
      <c r="B170" t="str">
        <f>IF(A170="","",CONCATENATE(VLOOKUP(A170,Competitors!$A$2:$I$650,3,FALSE)," ",VLOOKUP(A170,Competitors!$A$2:$I$650,2,FALSE)))</f>
        <v>Matt Plews</v>
      </c>
    </row>
    <row r="171" spans="1:2" x14ac:dyDescent="0.15">
      <c r="A171">
        <f>IF(ISNUMBER(Competitors!A171),Competitors!A171,"")</f>
        <v>1094</v>
      </c>
      <c r="B171" t="str">
        <f>IF(A171="","",CONCATENATE(VLOOKUP(A171,Competitors!$A$2:$I$650,3,FALSE)," ",VLOOKUP(A171,Competitors!$A$2:$I$650,2,FALSE)))</f>
        <v>Andy Poulton</v>
      </c>
    </row>
    <row r="172" spans="1:2" x14ac:dyDescent="0.15">
      <c r="A172">
        <f>IF(ISNUMBER(Competitors!A172),Competitors!A172,"")</f>
        <v>1325</v>
      </c>
      <c r="B172" t="str">
        <f>IF(A172="","",CONCATENATE(VLOOKUP(A172,Competitors!$A$2:$I$650,3,FALSE)," ",VLOOKUP(A172,Competitors!$A$2:$I$650,2,FALSE)))</f>
        <v>Greg Prangnell</v>
      </c>
    </row>
    <row r="173" spans="1:2" x14ac:dyDescent="0.15">
      <c r="A173">
        <f>IF(ISNUMBER(Competitors!A173),Competitors!A173,"")</f>
        <v>1143</v>
      </c>
      <c r="B173" t="str">
        <f>IF(A173="","",CONCATENATE(VLOOKUP(A173,Competitors!$A$2:$I$650,3,FALSE)," ",VLOOKUP(A173,Competitors!$A$2:$I$650,2,FALSE)))</f>
        <v>Rob Pullen</v>
      </c>
    </row>
    <row r="174" spans="1:2" x14ac:dyDescent="0.15">
      <c r="A174">
        <f>IF(ISNUMBER(Competitors!A174),Competitors!A174,"")</f>
        <v>576</v>
      </c>
      <c r="B174" t="str">
        <f>IF(A174="","",CONCATENATE(VLOOKUP(A174,Competitors!$A$2:$I$650,3,FALSE)," ",VLOOKUP(A174,Competitors!$A$2:$I$650,2,FALSE)))</f>
        <v>Julian Rathbone</v>
      </c>
    </row>
    <row r="175" spans="1:2" x14ac:dyDescent="0.15">
      <c r="A175">
        <f>IF(ISNUMBER(Competitors!A175),Competitors!A175,"")</f>
        <v>38</v>
      </c>
      <c r="B175" t="str">
        <f>IF(A175="","",CONCATENATE(VLOOKUP(A175,Competitors!$A$2:$I$650,3,FALSE)," ",VLOOKUP(A175,Competitors!$A$2:$I$650,2,FALSE)))</f>
        <v>Phil Rayner</v>
      </c>
    </row>
    <row r="176" spans="1:2" x14ac:dyDescent="0.15">
      <c r="A176">
        <f>IF(ISNUMBER(Competitors!A176),Competitors!A176,"")</f>
        <v>245</v>
      </c>
      <c r="B176" t="str">
        <f>IF(A176="","",CONCATENATE(VLOOKUP(A176,Competitors!$A$2:$I$650,3,FALSE)," ",VLOOKUP(A176,Competitors!$A$2:$I$650,2,FALSE)))</f>
        <v>David Reay</v>
      </c>
    </row>
    <row r="177" spans="1:2" x14ac:dyDescent="0.15">
      <c r="A177">
        <f>IF(ISNUMBER(Competitors!A177),Competitors!A177,"")</f>
        <v>39</v>
      </c>
      <c r="B177" t="str">
        <f>IF(A177="","",CONCATENATE(VLOOKUP(A177,Competitors!$A$2:$I$650,3,FALSE)," ",VLOOKUP(A177,Competitors!$A$2:$I$650,2,FALSE)))</f>
        <v>Michael Reay</v>
      </c>
    </row>
    <row r="178" spans="1:2" x14ac:dyDescent="0.15">
      <c r="A178">
        <f>IF(ISNUMBER(Competitors!A178),Competitors!A178,"")</f>
        <v>508</v>
      </c>
      <c r="B178" t="str">
        <f>IF(A178="","",CONCATENATE(VLOOKUP(A178,Competitors!$A$2:$I$650,3,FALSE)," ",VLOOKUP(A178,Competitors!$A$2:$I$650,2,FALSE)))</f>
        <v>Peter Riley</v>
      </c>
    </row>
    <row r="179" spans="1:2" x14ac:dyDescent="0.15">
      <c r="A179">
        <f>IF(ISNUMBER(Competitors!A179),Competitors!A179,"")</f>
        <v>1025</v>
      </c>
      <c r="B179" t="str">
        <f>IF(A179="","",CONCATENATE(VLOOKUP(A179,Competitors!$A$2:$I$650,3,FALSE)," ",VLOOKUP(A179,Competitors!$A$2:$I$650,2,FALSE)))</f>
        <v>Leo Roberts</v>
      </c>
    </row>
    <row r="180" spans="1:2" x14ac:dyDescent="0.15">
      <c r="A180">
        <f>IF(ISNUMBER(Competitors!A180),Competitors!A180,"")</f>
        <v>1024</v>
      </c>
      <c r="B180" t="str">
        <f>IF(A180="","",CONCATENATE(VLOOKUP(A180,Competitors!$A$2:$I$650,3,FALSE)," ",VLOOKUP(A180,Competitors!$A$2:$I$650,2,FALSE)))</f>
        <v>Jax Roberts</v>
      </c>
    </row>
    <row r="181" spans="1:2" x14ac:dyDescent="0.15">
      <c r="A181">
        <f>IF(ISNUMBER(Competitors!A181),Competitors!A181,"")</f>
        <v>1023</v>
      </c>
      <c r="B181" t="str">
        <f>IF(A181="","",CONCATENATE(VLOOKUP(A181,Competitors!$A$2:$I$650,3,FALSE)," ",VLOOKUP(A181,Competitors!$A$2:$I$650,2,FALSE)))</f>
        <v>Gary Roberts</v>
      </c>
    </row>
    <row r="182" spans="1:2" x14ac:dyDescent="0.15">
      <c r="A182">
        <f>IF(ISNUMBER(Competitors!A182),Competitors!A182,"")</f>
        <v>1232</v>
      </c>
      <c r="B182" t="str">
        <f>IF(A182="","",CONCATENATE(VLOOKUP(A182,Competitors!$A$2:$I$650,3,FALSE)," ",VLOOKUP(A182,Competitors!$A$2:$I$650,2,FALSE)))</f>
        <v>Anna Roberts</v>
      </c>
    </row>
    <row r="183" spans="1:2" x14ac:dyDescent="0.15">
      <c r="A183">
        <f>IF(ISNUMBER(Competitors!A183),Competitors!A183,"")</f>
        <v>1141</v>
      </c>
      <c r="B183" t="str">
        <f>IF(A183="","",CONCATENATE(VLOOKUP(A183,Competitors!$A$2:$I$650,3,FALSE)," ",VLOOKUP(A183,Competitors!$A$2:$I$650,2,FALSE)))</f>
        <v>Judith Rout</v>
      </c>
    </row>
    <row r="184" spans="1:2" x14ac:dyDescent="0.15">
      <c r="A184">
        <f>IF(ISNUMBER(Competitors!A184),Competitors!A184,"")</f>
        <v>891</v>
      </c>
      <c r="B184" t="str">
        <f>IF(A184="","",CONCATENATE(VLOOKUP(A184,Competitors!$A$2:$I$650,3,FALSE)," ",VLOOKUP(A184,Competitors!$A$2:$I$650,2,FALSE)))</f>
        <v>Dawn Russell</v>
      </c>
    </row>
    <row r="185" spans="1:2" x14ac:dyDescent="0.15">
      <c r="A185">
        <f>IF(ISNUMBER(Competitors!A185),Competitors!A185,"")</f>
        <v>1191</v>
      </c>
      <c r="B185" t="str">
        <f>IF(A185="","",CONCATENATE(VLOOKUP(A185,Competitors!$A$2:$I$650,3,FALSE)," ",VLOOKUP(A185,Competitors!$A$2:$I$650,2,FALSE)))</f>
        <v>Richard Sangster</v>
      </c>
    </row>
    <row r="186" spans="1:2" x14ac:dyDescent="0.15">
      <c r="A186">
        <f>IF(ISNUMBER(Competitors!A186),Competitors!A186,"")</f>
        <v>1225</v>
      </c>
      <c r="B186" t="str">
        <f>IF(A186="","",CONCATENATE(VLOOKUP(A186,Competitors!$A$2:$I$650,3,FALSE)," ",VLOOKUP(A186,Competitors!$A$2:$I$650,2,FALSE)))</f>
        <v>Joshua Sangster</v>
      </c>
    </row>
    <row r="187" spans="1:2" x14ac:dyDescent="0.15">
      <c r="A187">
        <f>IF(ISNUMBER(Competitors!A187),Competitors!A187,"")</f>
        <v>1350</v>
      </c>
      <c r="B187" t="str">
        <f>IF(A187="","",CONCATENATE(VLOOKUP(A187,Competitors!$A$2:$I$650,3,FALSE)," ",VLOOKUP(A187,Competitors!$A$2:$I$650,2,FALSE)))</f>
        <v>Ben Savage</v>
      </c>
    </row>
    <row r="188" spans="1:2" x14ac:dyDescent="0.15">
      <c r="A188">
        <f>IF(ISNUMBER(Competitors!A188),Competitors!A188,"")</f>
        <v>1352</v>
      </c>
      <c r="B188" t="str">
        <f>IF(A188="","",CONCATENATE(VLOOKUP(A188,Competitors!$A$2:$I$650,3,FALSE)," ",VLOOKUP(A188,Competitors!$A$2:$I$650,2,FALSE)))</f>
        <v>Ian Scoley</v>
      </c>
    </row>
    <row r="189" spans="1:2" x14ac:dyDescent="0.15">
      <c r="A189">
        <f>IF(ISNUMBER(Competitors!A189),Competitors!A189,"")</f>
        <v>597</v>
      </c>
      <c r="B189" t="str">
        <f>IF(A189="","",CONCATENATE(VLOOKUP(A189,Competitors!$A$2:$I$650,3,FALSE)," ",VLOOKUP(A189,Competitors!$A$2:$I$650,2,FALSE)))</f>
        <v>Trevor Shelley</v>
      </c>
    </row>
    <row r="190" spans="1:2" x14ac:dyDescent="0.15">
      <c r="A190">
        <f>IF(ISNUMBER(Competitors!A190),Competitors!A190,"")</f>
        <v>1339</v>
      </c>
      <c r="B190" t="str">
        <f>IF(A190="","",CONCATENATE(VLOOKUP(A190,Competitors!$A$2:$I$650,3,FALSE)," ",VLOOKUP(A190,Competitors!$A$2:$I$650,2,FALSE)))</f>
        <v>Jack Shewring</v>
      </c>
    </row>
    <row r="191" spans="1:2" x14ac:dyDescent="0.15">
      <c r="A191">
        <f>IF(ISNUMBER(Competitors!A191),Competitors!A191,"")</f>
        <v>914</v>
      </c>
      <c r="B191" t="str">
        <f>IF(A191="","",CONCATENATE(VLOOKUP(A191,Competitors!$A$2:$I$650,3,FALSE)," ",VLOOKUP(A191,Competitors!$A$2:$I$650,2,FALSE)))</f>
        <v>Charlie Simpson</v>
      </c>
    </row>
    <row r="192" spans="1:2" x14ac:dyDescent="0.15">
      <c r="A192">
        <f>IF(ISNUMBER(Competitors!A192),Competitors!A192,"")</f>
        <v>1038</v>
      </c>
      <c r="B192" t="str">
        <f>IF(A192="","",CONCATENATE(VLOOKUP(A192,Competitors!$A$2:$I$650,3,FALSE)," ",VLOOKUP(A192,Competitors!$A$2:$I$650,2,FALSE)))</f>
        <v>Paul Simpson</v>
      </c>
    </row>
    <row r="193" spans="1:2" x14ac:dyDescent="0.15">
      <c r="A193">
        <f>IF(ISNUMBER(Competitors!A193),Competitors!A193,"")</f>
        <v>1347</v>
      </c>
      <c r="B193" t="str">
        <f>IF(A193="","",CONCATENATE(VLOOKUP(A193,Competitors!$A$2:$I$650,3,FALSE)," ",VLOOKUP(A193,Competitors!$A$2:$I$650,2,FALSE)))</f>
        <v>Stuart Simpson-Smith</v>
      </c>
    </row>
    <row r="194" spans="1:2" x14ac:dyDescent="0.15">
      <c r="A194">
        <f>IF(ISNUMBER(Competitors!A194),Competitors!A194,"")</f>
        <v>1380</v>
      </c>
      <c r="B194" t="str">
        <f>IF(A194="","",CONCATENATE(VLOOKUP(A194,Competitors!$A$2:$I$650,3,FALSE)," ",VLOOKUP(A194,Competitors!$A$2:$I$650,2,FALSE)))</f>
        <v>Julie Singlehurst</v>
      </c>
    </row>
    <row r="195" spans="1:2" x14ac:dyDescent="0.15">
      <c r="A195">
        <f>IF(ISNUMBER(Competitors!A195),Competitors!A195,"")</f>
        <v>1242</v>
      </c>
      <c r="B195" t="str">
        <f>IF(A195="","",CONCATENATE(VLOOKUP(A195,Competitors!$A$2:$I$650,3,FALSE)," ",VLOOKUP(A195,Competitors!$A$2:$I$650,2,FALSE)))</f>
        <v>Mike Sirett</v>
      </c>
    </row>
    <row r="196" spans="1:2" x14ac:dyDescent="0.15">
      <c r="A196">
        <f>IF(ISNUMBER(Competitors!A196),Competitors!A196,"")</f>
        <v>1048</v>
      </c>
      <c r="B196" t="str">
        <f>IF(A196="","",CONCATENATE(VLOOKUP(A196,Competitors!$A$2:$I$650,3,FALSE)," ",VLOOKUP(A196,Competitors!$A$2:$I$650,2,FALSE)))</f>
        <v>Andy Smith</v>
      </c>
    </row>
    <row r="197" spans="1:2" x14ac:dyDescent="0.15">
      <c r="A197">
        <f>IF(ISNUMBER(Competitors!A197),Competitors!A197,"")</f>
        <v>1055</v>
      </c>
      <c r="B197" t="str">
        <f>IF(A197="","",CONCATENATE(VLOOKUP(A197,Competitors!$A$2:$I$650,3,FALSE)," ",VLOOKUP(A197,Competitors!$A$2:$I$650,2,FALSE)))</f>
        <v>Austin Smith</v>
      </c>
    </row>
    <row r="198" spans="1:2" x14ac:dyDescent="0.15">
      <c r="A198">
        <f>IF(ISNUMBER(Competitors!A198),Competitors!A198,"")</f>
        <v>1095</v>
      </c>
      <c r="B198" t="str">
        <f>IF(A198="","",CONCATENATE(VLOOKUP(A198,Competitors!$A$2:$I$650,3,FALSE)," ",VLOOKUP(A198,Competitors!$A$2:$I$650,2,FALSE)))</f>
        <v>Denis Smith</v>
      </c>
    </row>
    <row r="199" spans="1:2" x14ac:dyDescent="0.15">
      <c r="A199">
        <f>IF(ISNUMBER(Competitors!A199),Competitors!A199,"")</f>
        <v>820</v>
      </c>
      <c r="B199" t="str">
        <f>IF(A199="","",CONCATENATE(VLOOKUP(A199,Competitors!$A$2:$I$650,3,FALSE)," ",VLOOKUP(A199,Competitors!$A$2:$I$650,2,FALSE)))</f>
        <v>Lucy Smith</v>
      </c>
    </row>
    <row r="200" spans="1:2" x14ac:dyDescent="0.15">
      <c r="A200">
        <f>IF(ISNUMBER(Competitors!A200),Competitors!A200,"")</f>
        <v>468</v>
      </c>
      <c r="B200" t="str">
        <f>IF(A200="","",CONCATENATE(VLOOKUP(A200,Competitors!$A$2:$I$650,3,FALSE)," ",VLOOKUP(A200,Competitors!$A$2:$I$650,2,FALSE)))</f>
        <v>Mike Smith</v>
      </c>
    </row>
    <row r="201" spans="1:2" x14ac:dyDescent="0.15">
      <c r="A201">
        <f>IF(ISNUMBER(Competitors!A201),Competitors!A201,"")</f>
        <v>687</v>
      </c>
      <c r="B201" t="str">
        <f>IF(A201="","",CONCATENATE(VLOOKUP(A201,Competitors!$A$2:$I$650,3,FALSE)," ",VLOOKUP(A201,Competitors!$A$2:$I$650,2,FALSE)))</f>
        <v>Timothy Smith</v>
      </c>
    </row>
    <row r="202" spans="1:2" x14ac:dyDescent="0.15">
      <c r="A202">
        <f>IF(ISNUMBER(Competitors!A202),Competitors!A202,"")</f>
        <v>1375</v>
      </c>
      <c r="B202" t="str">
        <f>IF(A202="","",CONCATENATE(VLOOKUP(A202,Competitors!$A$2:$I$650,3,FALSE)," ",VLOOKUP(A202,Competitors!$A$2:$I$650,2,FALSE)))</f>
        <v>Tom Spencer</v>
      </c>
    </row>
    <row r="203" spans="1:2" x14ac:dyDescent="0.15">
      <c r="A203">
        <f>IF(ISNUMBER(Competitors!A203),Competitors!A203,"")</f>
        <v>1382</v>
      </c>
      <c r="B203" t="str">
        <f>IF(A203="","",CONCATENATE(VLOOKUP(A203,Competitors!$A$2:$I$650,3,FALSE)," ",VLOOKUP(A203,Competitors!$A$2:$I$650,2,FALSE)))</f>
        <v>Stan Stevens</v>
      </c>
    </row>
    <row r="204" spans="1:2" x14ac:dyDescent="0.15">
      <c r="A204">
        <f>IF(ISNUMBER(Competitors!A204),Competitors!A204,"")</f>
        <v>1161</v>
      </c>
      <c r="B204" t="str">
        <f>IF(A204="","",CONCATENATE(VLOOKUP(A204,Competitors!$A$2:$I$650,3,FALSE)," ",VLOOKUP(A204,Competitors!$A$2:$I$650,2,FALSE)))</f>
        <v>Maciej Suchocki</v>
      </c>
    </row>
    <row r="205" spans="1:2" x14ac:dyDescent="0.15">
      <c r="A205">
        <f>IF(ISNUMBER(Competitors!A205),Competitors!A205,"")</f>
        <v>890</v>
      </c>
      <c r="B205" t="str">
        <f>IF(A205="","",CONCATENATE(VLOOKUP(A205,Competitors!$A$2:$I$650,3,FALSE)," ",VLOOKUP(A205,Competitors!$A$2:$I$650,2,FALSE)))</f>
        <v>Rowland Summerlin</v>
      </c>
    </row>
    <row r="206" spans="1:2" x14ac:dyDescent="0.15">
      <c r="A206">
        <f>IF(ISNUMBER(Competitors!A206),Competitors!A206,"")</f>
        <v>1238</v>
      </c>
      <c r="B206" t="str">
        <f>IF(A206="","",CONCATENATE(VLOOKUP(A206,Competitors!$A$2:$I$650,3,FALSE)," ",VLOOKUP(A206,Competitors!$A$2:$I$650,2,FALSE)))</f>
        <v>Caitlin Sweet</v>
      </c>
    </row>
    <row r="207" spans="1:2" x14ac:dyDescent="0.15">
      <c r="A207">
        <f>IF(ISNUMBER(Competitors!A207),Competitors!A207,"")</f>
        <v>780</v>
      </c>
      <c r="B207" t="str">
        <f>IF(A207="","",CONCATENATE(VLOOKUP(A207,Competitors!$A$2:$I$650,3,FALSE)," ",VLOOKUP(A207,Competitors!$A$2:$I$650,2,FALSE)))</f>
        <v>David Sweetman</v>
      </c>
    </row>
    <row r="208" spans="1:2" x14ac:dyDescent="0.15">
      <c r="A208">
        <f>IF(ISNUMBER(Competitors!A208),Competitors!A208,"")</f>
        <v>1166</v>
      </c>
      <c r="B208" t="str">
        <f>IF(A208="","",CONCATENATE(VLOOKUP(A208,Competitors!$A$2:$I$650,3,FALSE)," ",VLOOKUP(A208,Competitors!$A$2:$I$650,2,FALSE)))</f>
        <v>Ed Tarelli</v>
      </c>
    </row>
    <row r="209" spans="1:2" x14ac:dyDescent="0.15">
      <c r="A209">
        <f>IF(ISNUMBER(Competitors!A209),Competitors!A209,"")</f>
        <v>45</v>
      </c>
      <c r="B209" t="str">
        <f>IF(A209="","",CONCATENATE(VLOOKUP(A209,Competitors!$A$2:$I$650,3,FALSE)," ",VLOOKUP(A209,Competitors!$A$2:$I$650,2,FALSE)))</f>
        <v>Ray Taylor</v>
      </c>
    </row>
    <row r="210" spans="1:2" x14ac:dyDescent="0.15">
      <c r="A210">
        <f>IF(ISNUMBER(Competitors!A210),Competitors!A210,"")</f>
        <v>1160</v>
      </c>
      <c r="B210" t="str">
        <f>IF(A210="","",CONCATENATE(VLOOKUP(A210,Competitors!$A$2:$I$650,3,FALSE)," ",VLOOKUP(A210,Competitors!$A$2:$I$650,2,FALSE)))</f>
        <v>Rhys Thomas</v>
      </c>
    </row>
    <row r="211" spans="1:2" x14ac:dyDescent="0.15">
      <c r="A211">
        <f>IF(ISNUMBER(Competitors!A211),Competitors!A211,"")</f>
        <v>1341</v>
      </c>
      <c r="B211" t="str">
        <f>IF(A211="","",CONCATENATE(VLOOKUP(A211,Competitors!$A$2:$I$650,3,FALSE)," ",VLOOKUP(A211,Competitors!$A$2:$I$650,2,FALSE)))</f>
        <v>Mark Thompson</v>
      </c>
    </row>
    <row r="212" spans="1:2" x14ac:dyDescent="0.15">
      <c r="A212">
        <f>IF(ISNUMBER(Competitors!A212),Competitors!A212,"")</f>
        <v>945</v>
      </c>
      <c r="B212" t="str">
        <f>IF(A212="","",CONCATENATE(VLOOKUP(A212,Competitors!$A$2:$I$650,3,FALSE)," ",VLOOKUP(A212,Competitors!$A$2:$I$650,2,FALSE)))</f>
        <v>George Timmins</v>
      </c>
    </row>
    <row r="213" spans="1:2" x14ac:dyDescent="0.15">
      <c r="A213">
        <f>IF(ISNUMBER(Competitors!A213),Competitors!A213,"")</f>
        <v>813</v>
      </c>
      <c r="B213" t="str">
        <f>IF(A213="","",CONCATENATE(VLOOKUP(A213,Competitors!$A$2:$I$650,3,FALSE)," ",VLOOKUP(A213,Competitors!$A$2:$I$650,2,FALSE)))</f>
        <v>Dawn Timmins</v>
      </c>
    </row>
    <row r="214" spans="1:2" x14ac:dyDescent="0.15">
      <c r="A214">
        <f>IF(ISNUMBER(Competitors!A214),Competitors!A214,"")</f>
        <v>812</v>
      </c>
      <c r="B214" t="str">
        <f>IF(A214="","",CONCATENATE(VLOOKUP(A214,Competitors!$A$2:$I$650,3,FALSE)," ",VLOOKUP(A214,Competitors!$A$2:$I$650,2,FALSE)))</f>
        <v>Gavin Timmins</v>
      </c>
    </row>
    <row r="215" spans="1:2" x14ac:dyDescent="0.15">
      <c r="A215">
        <f>IF(ISNUMBER(Competitors!A215),Competitors!A215,"")</f>
        <v>1129</v>
      </c>
      <c r="B215" t="str">
        <f>IF(A215="","",CONCATENATE(VLOOKUP(A215,Competitors!$A$2:$I$650,3,FALSE)," ",VLOOKUP(A215,Competitors!$A$2:$I$650,2,FALSE)))</f>
        <v>Doug Tincello</v>
      </c>
    </row>
    <row r="216" spans="1:2" x14ac:dyDescent="0.15">
      <c r="A216">
        <f>IF(ISNUMBER(Competitors!A216),Competitors!A216,"")</f>
        <v>808</v>
      </c>
      <c r="B216" t="str">
        <f>IF(A216="","",CONCATENATE(VLOOKUP(A216,Competitors!$A$2:$I$650,3,FALSE)," ",VLOOKUP(A216,Competitors!$A$2:$I$650,2,FALSE)))</f>
        <v>Nicola Traynor</v>
      </c>
    </row>
    <row r="217" spans="1:2" x14ac:dyDescent="0.15">
      <c r="A217">
        <f>IF(ISNUMBER(Competitors!A217),Competitors!A217,"")</f>
        <v>1290</v>
      </c>
      <c r="B217" t="str">
        <f>IF(A217="","",CONCATENATE(VLOOKUP(A217,Competitors!$A$2:$I$650,3,FALSE)," ",VLOOKUP(A217,Competitors!$A$2:$I$650,2,FALSE)))</f>
        <v>Scott Tucker</v>
      </c>
    </row>
    <row r="218" spans="1:2" x14ac:dyDescent="0.15">
      <c r="A218">
        <f>IF(ISNUMBER(Competitors!A218),Competitors!A218,"")</f>
        <v>1209</v>
      </c>
      <c r="B218" t="str">
        <f>IF(A218="","",CONCATENATE(VLOOKUP(A218,Competitors!$A$2:$I$650,3,FALSE)," ",VLOOKUP(A218,Competitors!$A$2:$I$650,2,FALSE)))</f>
        <v>Paul Turner</v>
      </c>
    </row>
    <row r="219" spans="1:2" x14ac:dyDescent="0.15">
      <c r="A219">
        <f>IF(ISNUMBER(Competitors!A219),Competitors!A219,"")</f>
        <v>1356</v>
      </c>
      <c r="B219" t="str">
        <f>IF(A219="","",CONCATENATE(VLOOKUP(A219,Competitors!$A$2:$I$650,3,FALSE)," ",VLOOKUP(A219,Competitors!$A$2:$I$650,2,FALSE)))</f>
        <v>Michiel Vaal</v>
      </c>
    </row>
    <row r="220" spans="1:2" x14ac:dyDescent="0.15">
      <c r="A220">
        <f>IF(ISNUMBER(Competitors!A220),Competitors!A220,"")</f>
        <v>860</v>
      </c>
      <c r="B220" t="str">
        <f>IF(A220="","",CONCATENATE(VLOOKUP(A220,Competitors!$A$2:$I$650,3,FALSE)," ",VLOOKUP(A220,Competitors!$A$2:$I$650,2,FALSE)))</f>
        <v>Millie van Nierop</v>
      </c>
    </row>
    <row r="221" spans="1:2" x14ac:dyDescent="0.15">
      <c r="A221">
        <f>IF(ISNUMBER(Competitors!A221),Competitors!A221,"")</f>
        <v>756</v>
      </c>
      <c r="B221" t="str">
        <f>IF(A221="","",CONCATENATE(VLOOKUP(A221,Competitors!$A$2:$I$650,3,FALSE)," ",VLOOKUP(A221,Competitors!$A$2:$I$650,2,FALSE)))</f>
        <v>Josh van Nierop</v>
      </c>
    </row>
    <row r="222" spans="1:2" x14ac:dyDescent="0.15">
      <c r="A222">
        <f>IF(ISNUMBER(Competitors!A222),Competitors!A222,"")</f>
        <v>407</v>
      </c>
      <c r="B222" t="str">
        <f>IF(A222="","",CONCATENATE(VLOOKUP(A222,Competitors!$A$2:$I$650,3,FALSE)," ",VLOOKUP(A222,Competitors!$A$2:$I$650,2,FALSE)))</f>
        <v>Hans van Nierop</v>
      </c>
    </row>
    <row r="223" spans="1:2" x14ac:dyDescent="0.15">
      <c r="A223">
        <f>IF(ISNUMBER(Competitors!A223),Competitors!A223,"")</f>
        <v>1312</v>
      </c>
      <c r="B223" t="str">
        <f>IF(A223="","",CONCATENATE(VLOOKUP(A223,Competitors!$A$2:$I$650,3,FALSE)," ",VLOOKUP(A223,Competitors!$A$2:$I$650,2,FALSE)))</f>
        <v>Judith Waddington</v>
      </c>
    </row>
    <row r="224" spans="1:2" x14ac:dyDescent="0.15">
      <c r="A224">
        <f>IF(ISNUMBER(Competitors!A224),Competitors!A224,"")</f>
        <v>935</v>
      </c>
      <c r="B224" t="str">
        <f>IF(A224="","",CONCATENATE(VLOOKUP(A224,Competitors!$A$2:$I$650,3,FALSE)," ",VLOOKUP(A224,Competitors!$A$2:$I$650,2,FALSE)))</f>
        <v>Sophie Ward</v>
      </c>
    </row>
    <row r="225" spans="1:2" x14ac:dyDescent="0.15">
      <c r="A225">
        <f>IF(ISNUMBER(Competitors!A225),Competitors!A225,"")</f>
        <v>999</v>
      </c>
      <c r="B225" t="str">
        <f>IF(A225="","",CONCATENATE(VLOOKUP(A225,Competitors!$A$2:$I$650,3,FALSE)," ",VLOOKUP(A225,Competitors!$A$2:$I$650,2,FALSE)))</f>
        <v>Abigail Ward</v>
      </c>
    </row>
    <row r="226" spans="1:2" x14ac:dyDescent="0.15">
      <c r="A226">
        <f>IF(ISNUMBER(Competitors!A226),Competitors!A226,"")</f>
        <v>998</v>
      </c>
      <c r="B226" t="str">
        <f>IF(A226="","",CONCATENATE(VLOOKUP(A226,Competitors!$A$2:$I$650,3,FALSE)," ",VLOOKUP(A226,Competitors!$A$2:$I$650,2,FALSE)))</f>
        <v>Debbie Ward</v>
      </c>
    </row>
    <row r="227" spans="1:2" x14ac:dyDescent="0.15">
      <c r="A227">
        <f>IF(ISNUMBER(Competitors!A227),Competitors!A227,"")</f>
        <v>616</v>
      </c>
      <c r="B227" t="str">
        <f>IF(A227="","",CONCATENATE(VLOOKUP(A227,Competitors!$A$2:$I$650,3,FALSE)," ",VLOOKUP(A227,Competitors!$A$2:$I$650,2,FALSE)))</f>
        <v>Simon Ward</v>
      </c>
    </row>
    <row r="228" spans="1:2" x14ac:dyDescent="0.15">
      <c r="A228">
        <f>IF(ISNUMBER(Competitors!A228),Competitors!A228,"")</f>
        <v>1111</v>
      </c>
      <c r="B228" t="str">
        <f>IF(A228="","",CONCATENATE(VLOOKUP(A228,Competitors!$A$2:$I$650,3,FALSE)," ",VLOOKUP(A228,Competitors!$A$2:$I$650,2,FALSE)))</f>
        <v>Kathryn Ward</v>
      </c>
    </row>
    <row r="229" spans="1:2" x14ac:dyDescent="0.15">
      <c r="A229">
        <f>IF(ISNUMBER(Competitors!A229),Competitors!A229,"")</f>
        <v>1120</v>
      </c>
      <c r="B229" t="str">
        <f>IF(A229="","",CONCATENATE(VLOOKUP(A229,Competitors!$A$2:$I$650,3,FALSE)," ",VLOOKUP(A229,Competitors!$A$2:$I$650,2,FALSE)))</f>
        <v>Nina Watson</v>
      </c>
    </row>
    <row r="230" spans="1:2" x14ac:dyDescent="0.15">
      <c r="A230">
        <f>IF(ISNUMBER(Competitors!A230),Competitors!A230,"")</f>
        <v>558</v>
      </c>
      <c r="B230" t="str">
        <f>IF(A230="","",CONCATENATE(VLOOKUP(A230,Competitors!$A$2:$I$650,3,FALSE)," ",VLOOKUP(A230,Competitors!$A$2:$I$650,2,FALSE)))</f>
        <v>Andrew Weatherby</v>
      </c>
    </row>
    <row r="231" spans="1:2" x14ac:dyDescent="0.15">
      <c r="A231">
        <f>IF(ISNUMBER(Competitors!A231),Competitors!A231,"")</f>
        <v>991</v>
      </c>
      <c r="B231" t="str">
        <f>IF(A231="","",CONCATENATE(VLOOKUP(A231,Competitors!$A$2:$I$650,3,FALSE)," ",VLOOKUP(A231,Competitors!$A$2:$I$650,2,FALSE)))</f>
        <v>Eleanor Webber</v>
      </c>
    </row>
    <row r="232" spans="1:2" x14ac:dyDescent="0.15">
      <c r="A232">
        <f>IF(ISNUMBER(Competitors!A232),Competitors!A232,"")</f>
        <v>707</v>
      </c>
      <c r="B232" t="str">
        <f>IF(A232="","",CONCATENATE(VLOOKUP(A232,Competitors!$A$2:$I$650,3,FALSE)," ",VLOOKUP(A232,Competitors!$A$2:$I$650,2,FALSE)))</f>
        <v>Martin Webster</v>
      </c>
    </row>
    <row r="233" spans="1:2" x14ac:dyDescent="0.15">
      <c r="A233">
        <f>IF(ISNUMBER(Competitors!A233),Competitors!A233,"")</f>
        <v>359</v>
      </c>
      <c r="B233" t="str">
        <f>IF(A233="","",CONCATENATE(VLOOKUP(A233,Competitors!$A$2:$I$650,3,FALSE)," ",VLOOKUP(A233,Competitors!$A$2:$I$650,2,FALSE)))</f>
        <v>John Welsford</v>
      </c>
    </row>
    <row r="234" spans="1:2" x14ac:dyDescent="0.15">
      <c r="A234">
        <f>IF(ISNUMBER(Competitors!A234),Competitors!A234,"")</f>
        <v>1310</v>
      </c>
      <c r="B234" t="str">
        <f>IF(A234="","",CONCATENATE(VLOOKUP(A234,Competitors!$A$2:$I$650,3,FALSE)," ",VLOOKUP(A234,Competitors!$A$2:$I$650,2,FALSE)))</f>
        <v>Thomas Weston</v>
      </c>
    </row>
    <row r="235" spans="1:2" x14ac:dyDescent="0.15">
      <c r="A235">
        <f>IF(ISNUMBER(Competitors!A235),Competitors!A235,"")</f>
        <v>1378</v>
      </c>
      <c r="B235" t="str">
        <f>IF(A235="","",CONCATENATE(VLOOKUP(A235,Competitors!$A$2:$I$650,3,FALSE)," ",VLOOKUP(A235,Competitors!$A$2:$I$650,2,FALSE)))</f>
        <v>Benjamin Whitaker</v>
      </c>
    </row>
    <row r="236" spans="1:2" x14ac:dyDescent="0.15">
      <c r="A236">
        <f>IF(ISNUMBER(Competitors!A236),Competitors!A236,"")</f>
        <v>1254</v>
      </c>
      <c r="B236" t="str">
        <f>IF(A236="","",CONCATENATE(VLOOKUP(A236,Competitors!$A$2:$I$650,3,FALSE)," ",VLOOKUP(A236,Competitors!$A$2:$I$650,2,FALSE)))</f>
        <v>Paul White</v>
      </c>
    </row>
    <row r="237" spans="1:2" x14ac:dyDescent="0.15">
      <c r="A237">
        <f>IF(ISNUMBER(Competitors!A237),Competitors!A237,"")</f>
        <v>1369</v>
      </c>
      <c r="B237" t="str">
        <f>IF(A237="","",CONCATENATE(VLOOKUP(A237,Competitors!$A$2:$I$650,3,FALSE)," ",VLOOKUP(A237,Competitors!$A$2:$I$650,2,FALSE)))</f>
        <v>Noah Wilkinson</v>
      </c>
    </row>
    <row r="238" spans="1:2" x14ac:dyDescent="0.15">
      <c r="A238">
        <f>IF(ISNUMBER(Competitors!A238),Competitors!A238,"")</f>
        <v>1200</v>
      </c>
      <c r="B238" t="str">
        <f>IF(A238="","",CONCATENATE(VLOOKUP(A238,Competitors!$A$2:$I$650,3,FALSE)," ",VLOOKUP(A238,Competitors!$A$2:$I$650,2,FALSE)))</f>
        <v>Jules Wilks</v>
      </c>
    </row>
    <row r="239" spans="1:2" x14ac:dyDescent="0.15">
      <c r="A239">
        <f>IF(ISNUMBER(Competitors!A239),Competitors!A239,"")</f>
        <v>1376</v>
      </c>
      <c r="B239" t="str">
        <f>IF(A239="","",CONCATENATE(VLOOKUP(A239,Competitors!$A$2:$I$650,3,FALSE)," ",VLOOKUP(A239,Competitors!$A$2:$I$650,2,FALSE)))</f>
        <v>Sally Will</v>
      </c>
    </row>
    <row r="240" spans="1:2" x14ac:dyDescent="0.15">
      <c r="A240">
        <f>IF(ISNUMBER(Competitors!A240),Competitors!A240,"")</f>
        <v>1140</v>
      </c>
      <c r="B240" t="str">
        <f>IF(A240="","",CONCATENATE(VLOOKUP(A240,Competitors!$A$2:$I$650,3,FALSE)," ",VLOOKUP(A240,Competitors!$A$2:$I$650,2,FALSE)))</f>
        <v>Kevin Willett</v>
      </c>
    </row>
    <row r="241" spans="1:2" x14ac:dyDescent="0.15">
      <c r="A241">
        <f>IF(ISNUMBER(Competitors!A241),Competitors!A241,"")</f>
        <v>989</v>
      </c>
      <c r="B241" t="str">
        <f>IF(A241="","",CONCATENATE(VLOOKUP(A241,Competitors!$A$2:$I$650,3,FALSE)," ",VLOOKUP(A241,Competitors!$A$2:$I$650,2,FALSE)))</f>
        <v>Jason Williams</v>
      </c>
    </row>
    <row r="242" spans="1:2" x14ac:dyDescent="0.15">
      <c r="A242">
        <f>IF(ISNUMBER(Competitors!A242),Competitors!A242,"")</f>
        <v>1354</v>
      </c>
      <c r="B242" t="str">
        <f>IF(A242="","",CONCATENATE(VLOOKUP(A242,Competitors!$A$2:$I$650,3,FALSE)," ",VLOOKUP(A242,Competitors!$A$2:$I$650,2,FALSE)))</f>
        <v>Ashley Wilson</v>
      </c>
    </row>
    <row r="243" spans="1:2" x14ac:dyDescent="0.15">
      <c r="A243">
        <f>IF(ISNUMBER(Competitors!A243),Competitors!A243,"")</f>
        <v>875</v>
      </c>
      <c r="B243" t="str">
        <f>IF(A243="","",CONCATENATE(VLOOKUP(A243,Competitors!$A$2:$I$650,3,FALSE)," ",VLOOKUP(A243,Competitors!$A$2:$I$650,2,FALSE)))</f>
        <v>Huw Wilson</v>
      </c>
    </row>
    <row r="244" spans="1:2" x14ac:dyDescent="0.15">
      <c r="A244">
        <f>IF(ISNUMBER(Competitors!A244),Competitors!A244,"")</f>
        <v>62</v>
      </c>
      <c r="B244" t="str">
        <f>IF(A244="","",CONCATENATE(VLOOKUP(A244,Competitors!$A$2:$I$650,3,FALSE)," ",VLOOKUP(A244,Competitors!$A$2:$I$650,2,FALSE)))</f>
        <v>David Wilson</v>
      </c>
    </row>
    <row r="245" spans="1:2" x14ac:dyDescent="0.15">
      <c r="A245">
        <f>IF(ISNUMBER(Competitors!A245),Competitors!A245,"")</f>
        <v>930</v>
      </c>
      <c r="B245" t="str">
        <f>IF(A245="","",CONCATENATE(VLOOKUP(A245,Competitors!$A$2:$I$650,3,FALSE)," ",VLOOKUP(A245,Competitors!$A$2:$I$650,2,FALSE)))</f>
        <v>Catherine Wintersgill</v>
      </c>
    </row>
    <row r="246" spans="1:2" x14ac:dyDescent="0.15">
      <c r="A246">
        <f>IF(ISNUMBER(Competitors!A246),Competitors!A246,"")</f>
        <v>52</v>
      </c>
      <c r="B246" t="str">
        <f>IF(A246="","",CONCATENATE(VLOOKUP(A246,Competitors!$A$2:$I$650,3,FALSE)," ",VLOOKUP(A246,Competitors!$A$2:$I$650,2,FALSE)))</f>
        <v>Will Wise</v>
      </c>
    </row>
    <row r="247" spans="1:2" x14ac:dyDescent="0.15">
      <c r="A247">
        <f>IF(ISNUMBER(Competitors!A247),Competitors!A247,"")</f>
        <v>744</v>
      </c>
      <c r="B247" t="str">
        <f>IF(A247="","",CONCATENATE(VLOOKUP(A247,Competitors!$A$2:$I$650,3,FALSE)," ",VLOOKUP(A247,Competitors!$A$2:$I$650,2,FALSE)))</f>
        <v>Robert Woodford</v>
      </c>
    </row>
    <row r="248" spans="1:2" x14ac:dyDescent="0.15">
      <c r="A248">
        <f>IF(ISNUMBER(Competitors!A248),Competitors!A248,"")</f>
        <v>337</v>
      </c>
      <c r="B248" t="str">
        <f>IF(A248="","",CONCATENATE(VLOOKUP(A248,Competitors!$A$2:$I$650,3,FALSE)," ",VLOOKUP(A248,Competitors!$A$2:$I$650,2,FALSE)))</f>
        <v>Linda Yarnold</v>
      </c>
    </row>
    <row r="249" spans="1:2" x14ac:dyDescent="0.15">
      <c r="A249">
        <f>IF(ISNUMBER(Competitors!A249),Competitors!A249,"")</f>
        <v>1371</v>
      </c>
      <c r="B249" t="str">
        <f>IF(A249="","",CONCATENATE(VLOOKUP(A249,Competitors!$A$2:$I$650,3,FALSE)," ",VLOOKUP(A249,Competitors!$A$2:$I$650,2,FALSE)))</f>
        <v>James Yeomans</v>
      </c>
    </row>
    <row r="250" spans="1:2" x14ac:dyDescent="0.15">
      <c r="A250" t="str">
        <f>IF(ISNUMBER(Competitors!A250),Competitors!A250,"")</f>
        <v/>
      </c>
      <c r="B250" t="str">
        <f>IF(A250="","",CONCATENATE(VLOOKUP(A250,Competitors!$A$2:$I$650,3,FALSE)," ",VLOOKUP(A250,Competitors!$A$2:$I$650,2,FALSE)))</f>
        <v/>
      </c>
    </row>
    <row r="251" spans="1:2" x14ac:dyDescent="0.15">
      <c r="A251" t="str">
        <f>IF(ISNUMBER(Competitors!A251),Competitors!A251,"")</f>
        <v/>
      </c>
      <c r="B251" t="str">
        <f>IF(A251="","",CONCATENATE(VLOOKUP(A251,Competitors!$A$2:$I$650,3,FALSE)," ",VLOOKUP(A251,Competitors!$A$2:$I$650,2,FALSE)))</f>
        <v/>
      </c>
    </row>
    <row r="252" spans="1:2" x14ac:dyDescent="0.15">
      <c r="A252" t="str">
        <f>IF(ISNUMBER(Competitors!A252),Competitors!A252,"")</f>
        <v/>
      </c>
      <c r="B252" t="str">
        <f>IF(A252="","",CONCATENATE(VLOOKUP(A252,Competitors!$A$2:$I$650,3,FALSE)," ",VLOOKUP(A252,Competitors!$A$2:$I$650,2,FALSE)))</f>
        <v/>
      </c>
    </row>
    <row r="253" spans="1:2" x14ac:dyDescent="0.15">
      <c r="A253" t="str">
        <f>IF(ISNUMBER(Competitors!A253),Competitors!A253,"")</f>
        <v/>
      </c>
      <c r="B253" t="str">
        <f>IF(A253="","",CONCATENATE(VLOOKUP(A253,Competitors!$A$2:$I$650,3,FALSE)," ",VLOOKUP(A253,Competitors!$A$2:$I$650,2,FALSE)))</f>
        <v/>
      </c>
    </row>
    <row r="254" spans="1:2" x14ac:dyDescent="0.15">
      <c r="A254" t="str">
        <f>IF(ISNUMBER(Competitors!A254),Competitors!A254,"")</f>
        <v/>
      </c>
      <c r="B254" t="str">
        <f>IF(A254="","",CONCATENATE(VLOOKUP(A254,Competitors!$A$2:$I$650,3,FALSE)," ",VLOOKUP(A254,Competitors!$A$2:$I$650,2,FALSE)))</f>
        <v/>
      </c>
    </row>
    <row r="255" spans="1:2" x14ac:dyDescent="0.15">
      <c r="A255" t="str">
        <f>IF(ISNUMBER(Competitors!A255),Competitors!A255,"")</f>
        <v/>
      </c>
      <c r="B255" t="str">
        <f>IF(A255="","",CONCATENATE(VLOOKUP(A255,Competitors!$A$2:$I$650,3,FALSE)," ",VLOOKUP(A255,Competitors!$A$2:$I$650,2,FALSE)))</f>
        <v/>
      </c>
    </row>
    <row r="256" spans="1:2" x14ac:dyDescent="0.15">
      <c r="A256" t="str">
        <f>IF(ISNUMBER(Competitors!A256),Competitors!A256,"")</f>
        <v/>
      </c>
      <c r="B256" t="str">
        <f>IF(A256="","",CONCATENATE(VLOOKUP(A256,Competitors!$A$2:$I$650,3,FALSE)," ",VLOOKUP(A256,Competitors!$A$2:$I$650,2,FALSE)))</f>
        <v/>
      </c>
    </row>
    <row r="257" spans="1:2" x14ac:dyDescent="0.15">
      <c r="A257" t="str">
        <f>IF(ISNUMBER(Competitors!A257),Competitors!A257,"")</f>
        <v/>
      </c>
      <c r="B257" t="str">
        <f>IF(A257="","",CONCATENATE(VLOOKUP(A257,Competitors!$A$2:$I$650,3,FALSE)," ",VLOOKUP(A257,Competitors!$A$2:$I$650,2,FALSE)))</f>
        <v/>
      </c>
    </row>
    <row r="258" spans="1:2" x14ac:dyDescent="0.15">
      <c r="A258" t="str">
        <f>IF(ISNUMBER(Competitors!A258),Competitors!A258,"")</f>
        <v/>
      </c>
      <c r="B258" t="str">
        <f>IF(A258="","",CONCATENATE(VLOOKUP(A258,Competitors!$A$2:$I$650,3,FALSE)," ",VLOOKUP(A258,Competitors!$A$2:$I$650,2,FALSE)))</f>
        <v/>
      </c>
    </row>
    <row r="259" spans="1:2" x14ac:dyDescent="0.15">
      <c r="A259" t="str">
        <f>IF(ISNUMBER(Competitors!A259),Competitors!A259,"")</f>
        <v/>
      </c>
      <c r="B259" t="str">
        <f>IF(A259="","",CONCATENATE(VLOOKUP(A259,Competitors!$A$2:$I$650,3,FALSE)," ",VLOOKUP(A259,Competitors!$A$2:$I$650,2,FALSE)))</f>
        <v/>
      </c>
    </row>
    <row r="260" spans="1:2" x14ac:dyDescent="0.15">
      <c r="A260" t="str">
        <f>IF(ISNUMBER(Competitors!A260),Competitors!A260,"")</f>
        <v/>
      </c>
      <c r="B260" t="str">
        <f>IF(A260="","",CONCATENATE(VLOOKUP(A260,Competitors!$A$2:$I$650,3,FALSE)," ",VLOOKUP(A260,Competitors!$A$2:$I$650,2,FALSE)))</f>
        <v/>
      </c>
    </row>
    <row r="261" spans="1:2" x14ac:dyDescent="0.15">
      <c r="A261" t="str">
        <f>IF(ISNUMBER(Competitors!A261),Competitors!A261,"")</f>
        <v/>
      </c>
      <c r="B261" t="str">
        <f>IF(A261="","",CONCATENATE(VLOOKUP(A261,Competitors!$A$2:$I$650,3,FALSE)," ",VLOOKUP(A261,Competitors!$A$2:$I$650,2,FALSE)))</f>
        <v/>
      </c>
    </row>
    <row r="262" spans="1:2" x14ac:dyDescent="0.15">
      <c r="A262" t="str">
        <f>IF(ISNUMBER(Competitors!A262),Competitors!A262,"")</f>
        <v/>
      </c>
      <c r="B262" t="str">
        <f>IF(A262="","",CONCATENATE(VLOOKUP(A262,Competitors!$A$2:$I$650,3,FALSE)," ",VLOOKUP(A262,Competitors!$A$2:$I$650,2,FALSE)))</f>
        <v/>
      </c>
    </row>
    <row r="263" spans="1:2" x14ac:dyDescent="0.15">
      <c r="A263" t="str">
        <f>IF(ISNUMBER(Competitors!A263),Competitors!A263,"")</f>
        <v/>
      </c>
      <c r="B263" t="str">
        <f>IF(A263="","",CONCATENATE(VLOOKUP(A263,Competitors!$A$2:$I$650,3,FALSE)," ",VLOOKUP(A263,Competitors!$A$2:$I$650,2,FALSE)))</f>
        <v/>
      </c>
    </row>
    <row r="264" spans="1:2" x14ac:dyDescent="0.15">
      <c r="A264" t="str">
        <f>IF(ISNUMBER(Competitors!A264),Competitors!A264,"")</f>
        <v/>
      </c>
      <c r="B264" t="str">
        <f>IF(A264="","",CONCATENATE(VLOOKUP(A264,Competitors!$A$2:$I$650,3,FALSE)," ",VLOOKUP(A264,Competitors!$A$2:$I$650,2,FALSE)))</f>
        <v/>
      </c>
    </row>
    <row r="265" spans="1:2" x14ac:dyDescent="0.15">
      <c r="A265" t="str">
        <f>IF(ISNUMBER(Competitors!A265),Competitors!A265,"")</f>
        <v/>
      </c>
      <c r="B265" t="str">
        <f>IF(A265="","",CONCATENATE(VLOOKUP(A265,Competitors!$A$2:$I$650,3,FALSE)," ",VLOOKUP(A265,Competitors!$A$2:$I$650,2,FALSE)))</f>
        <v/>
      </c>
    </row>
    <row r="266" spans="1:2" x14ac:dyDescent="0.15">
      <c r="A266" t="str">
        <f>IF(ISNUMBER(Competitors!A266),Competitors!A266,"")</f>
        <v/>
      </c>
      <c r="B266" t="str">
        <f>IF(A266="","",CONCATENATE(VLOOKUP(A266,Competitors!$A$2:$I$650,3,FALSE)," ",VLOOKUP(A266,Competitors!$A$2:$I$650,2,FALSE)))</f>
        <v/>
      </c>
    </row>
    <row r="267" spans="1:2" x14ac:dyDescent="0.15">
      <c r="A267" t="str">
        <f>IF(ISNUMBER(Competitors!A267),Competitors!A267,"")</f>
        <v/>
      </c>
      <c r="B267" t="str">
        <f>IF(A267="","",CONCATENATE(VLOOKUP(A267,Competitors!$A$2:$I$650,3,FALSE)," ",VLOOKUP(A267,Competitors!$A$2:$I$650,2,FALSE)))</f>
        <v/>
      </c>
    </row>
    <row r="268" spans="1:2" x14ac:dyDescent="0.15">
      <c r="A268" t="str">
        <f>IF(ISNUMBER(Competitors!A268),Competitors!A268,"")</f>
        <v/>
      </c>
      <c r="B268" t="str">
        <f>IF(A268="","",CONCATENATE(VLOOKUP(A268,Competitors!$A$2:$I$650,3,FALSE)," ",VLOOKUP(A268,Competitors!$A$2:$I$650,2,FALSE)))</f>
        <v/>
      </c>
    </row>
    <row r="269" spans="1:2" x14ac:dyDescent="0.15">
      <c r="A269" t="str">
        <f>IF(ISNUMBER(Competitors!A269),Competitors!A269,"")</f>
        <v/>
      </c>
      <c r="B269" t="str">
        <f>IF(A269="","",CONCATENATE(VLOOKUP(A269,Competitors!$A$2:$I$650,3,FALSE)," ",VLOOKUP(A269,Competitors!$A$2:$I$650,2,FALSE)))</f>
        <v/>
      </c>
    </row>
    <row r="270" spans="1:2" x14ac:dyDescent="0.15">
      <c r="A270" t="str">
        <f>IF(ISNUMBER(Competitors!A270),Competitors!A270,"")</f>
        <v/>
      </c>
      <c r="B270" t="str">
        <f>IF(A270="","",CONCATENATE(VLOOKUP(A270,Competitors!$A$2:$I$650,3,FALSE)," ",VLOOKUP(A270,Competitors!$A$2:$I$650,2,FALSE)))</f>
        <v/>
      </c>
    </row>
    <row r="271" spans="1:2" x14ac:dyDescent="0.15">
      <c r="A271" t="str">
        <f>IF(ISNUMBER(Competitors!A271),Competitors!A271,"")</f>
        <v/>
      </c>
      <c r="B271" t="str">
        <f>IF(A271="","",CONCATENATE(VLOOKUP(A271,Competitors!$A$2:$I$650,3,FALSE)," ",VLOOKUP(A271,Competitors!$A$2:$I$650,2,FALSE)))</f>
        <v/>
      </c>
    </row>
    <row r="272" spans="1:2" x14ac:dyDescent="0.15">
      <c r="A272" t="str">
        <f>IF(ISNUMBER(Competitors!A272),Competitors!A272,"")</f>
        <v/>
      </c>
      <c r="B272" t="str">
        <f>IF(A272="","",CONCATENATE(VLOOKUP(A272,Competitors!$A$2:$I$650,3,FALSE)," ",VLOOKUP(A272,Competitors!$A$2:$I$650,2,FALSE)))</f>
        <v/>
      </c>
    </row>
    <row r="273" spans="1:2" x14ac:dyDescent="0.15">
      <c r="A273" t="str">
        <f>IF(ISNUMBER(Competitors!A273),Competitors!A273,"")</f>
        <v/>
      </c>
      <c r="B273" t="str">
        <f>IF(A273="","",CONCATENATE(VLOOKUP(A273,Competitors!$A$2:$I$650,3,FALSE)," ",VLOOKUP(A273,Competitors!$A$2:$I$650,2,FALSE)))</f>
        <v/>
      </c>
    </row>
    <row r="274" spans="1:2" x14ac:dyDescent="0.15">
      <c r="A274" t="str">
        <f>IF(ISNUMBER(Competitors!A274),Competitors!A274,"")</f>
        <v/>
      </c>
      <c r="B274" t="str">
        <f>IF(A274="","",CONCATENATE(VLOOKUP(A274,Competitors!$A$2:$I$650,3,FALSE)," ",VLOOKUP(A274,Competitors!$A$2:$I$650,2,FALSE)))</f>
        <v/>
      </c>
    </row>
    <row r="275" spans="1:2" x14ac:dyDescent="0.15">
      <c r="A275" t="str">
        <f>IF(ISNUMBER(Competitors!A275),Competitors!A275,"")</f>
        <v/>
      </c>
      <c r="B275" t="str">
        <f>IF(A275="","",CONCATENATE(VLOOKUP(A275,Competitors!$A$2:$I$650,3,FALSE)," ",VLOOKUP(A275,Competitors!$A$2:$I$650,2,FALSE)))</f>
        <v/>
      </c>
    </row>
    <row r="276" spans="1:2" x14ac:dyDescent="0.15">
      <c r="A276" t="str">
        <f>IF(ISNUMBER(Competitors!A276),Competitors!A276,"")</f>
        <v/>
      </c>
      <c r="B276" t="str">
        <f>IF(A276="","",CONCATENATE(VLOOKUP(A276,Competitors!$A$2:$I$650,3,FALSE)," ",VLOOKUP(A276,Competitors!$A$2:$I$650,2,FALSE)))</f>
        <v/>
      </c>
    </row>
    <row r="277" spans="1:2" x14ac:dyDescent="0.15">
      <c r="A277" t="str">
        <f>IF(ISNUMBER(Competitors!A277),Competitors!A277,"")</f>
        <v/>
      </c>
      <c r="B277" t="str">
        <f>IF(A277="","",CONCATENATE(VLOOKUP(A277,Competitors!$A$2:$I$650,3,FALSE)," ",VLOOKUP(A277,Competitors!$A$2:$I$650,2,FALSE)))</f>
        <v/>
      </c>
    </row>
    <row r="278" spans="1:2" x14ac:dyDescent="0.15">
      <c r="A278" t="str">
        <f>IF(ISNUMBER(Competitors!A278),Competitors!A278,"")</f>
        <v/>
      </c>
      <c r="B278" t="str">
        <f>IF(A278="","",CONCATENATE(VLOOKUP(A278,Competitors!$A$2:$I$650,3,FALSE)," ",VLOOKUP(A278,Competitors!$A$2:$I$650,2,FALSE)))</f>
        <v/>
      </c>
    </row>
    <row r="279" spans="1:2" x14ac:dyDescent="0.15">
      <c r="A279" t="str">
        <f>IF(ISNUMBER(Competitors!A279),Competitors!A279,"")</f>
        <v/>
      </c>
      <c r="B279" t="str">
        <f>IF(A279="","",CONCATENATE(VLOOKUP(A279,Competitors!$A$2:$I$650,3,FALSE)," ",VLOOKUP(A279,Competitors!$A$2:$I$650,2,FALSE)))</f>
        <v/>
      </c>
    </row>
    <row r="280" spans="1:2" x14ac:dyDescent="0.15">
      <c r="A280" t="str">
        <f>IF(ISNUMBER(Competitors!A280),Competitors!A280,"")</f>
        <v/>
      </c>
      <c r="B280" t="str">
        <f>IF(A280="","",CONCATENATE(VLOOKUP(A280,Competitors!$A$2:$I$650,3,FALSE)," ",VLOOKUP(A280,Competitors!$A$2:$I$650,2,FALSE)))</f>
        <v/>
      </c>
    </row>
    <row r="281" spans="1:2" x14ac:dyDescent="0.15">
      <c r="A281" t="str">
        <f>IF(ISNUMBER(Competitors!A281),Competitors!A281,"")</f>
        <v/>
      </c>
      <c r="B281" t="str">
        <f>IF(A281="","",CONCATENATE(VLOOKUP(A281,Competitors!$A$2:$I$650,3,FALSE)," ",VLOOKUP(A281,Competitors!$A$2:$I$650,2,FALSE)))</f>
        <v/>
      </c>
    </row>
    <row r="282" spans="1:2" x14ac:dyDescent="0.15">
      <c r="A282" t="str">
        <f>IF(ISNUMBER(Competitors!A282),Competitors!A282,"")</f>
        <v/>
      </c>
      <c r="B282" t="str">
        <f>IF(A282="","",CONCATENATE(VLOOKUP(A282,Competitors!$A$2:$I$650,3,FALSE)," ",VLOOKUP(A282,Competitors!$A$2:$I$650,2,FALSE)))</f>
        <v/>
      </c>
    </row>
    <row r="283" spans="1:2" x14ac:dyDescent="0.15">
      <c r="A283" t="str">
        <f>IF(ISNUMBER(Competitors!A283),Competitors!A283,"")</f>
        <v/>
      </c>
      <c r="B283" t="str">
        <f>IF(A283="","",CONCATENATE(VLOOKUP(A283,Competitors!$A$2:$I$650,3,FALSE)," ",VLOOKUP(A283,Competitors!$A$2:$I$650,2,FALSE)))</f>
        <v/>
      </c>
    </row>
    <row r="284" spans="1:2" x14ac:dyDescent="0.15">
      <c r="A284" t="str">
        <f>IF(ISNUMBER(Competitors!A284),Competitors!A284,"")</f>
        <v/>
      </c>
      <c r="B284" t="str">
        <f>IF(A284="","",CONCATENATE(VLOOKUP(A284,Competitors!$A$2:$I$650,3,FALSE)," ",VLOOKUP(A284,Competitors!$A$2:$I$650,2,FALSE)))</f>
        <v/>
      </c>
    </row>
    <row r="285" spans="1:2" x14ac:dyDescent="0.15">
      <c r="A285" t="str">
        <f>IF(ISNUMBER(Competitors!A285),Competitors!A285,"")</f>
        <v/>
      </c>
      <c r="B285" t="str">
        <f>IF(A285="","",CONCATENATE(VLOOKUP(A285,Competitors!$A$2:$I$650,3,FALSE)," ",VLOOKUP(A285,Competitors!$A$2:$I$650,2,FALSE)))</f>
        <v/>
      </c>
    </row>
    <row r="286" spans="1:2" x14ac:dyDescent="0.15">
      <c r="A286" t="str">
        <f>IF(ISNUMBER(Competitors!A286),Competitors!A286,"")</f>
        <v/>
      </c>
      <c r="B286" t="str">
        <f>IF(A286="","",CONCATENATE(VLOOKUP(A286,Competitors!$A$2:$I$650,3,FALSE)," ",VLOOKUP(A286,Competitors!$A$2:$I$650,2,FALSE)))</f>
        <v/>
      </c>
    </row>
    <row r="287" spans="1:2" x14ac:dyDescent="0.15">
      <c r="A287" t="str">
        <f>IF(ISNUMBER(Competitors!A287),Competitors!A287,"")</f>
        <v/>
      </c>
      <c r="B287" t="str">
        <f>IF(A287="","",CONCATENATE(VLOOKUP(A287,Competitors!$A$2:$I$650,3,FALSE)," ",VLOOKUP(A287,Competitors!$A$2:$I$650,2,FALSE)))</f>
        <v/>
      </c>
    </row>
    <row r="288" spans="1:2" x14ac:dyDescent="0.15">
      <c r="A288" t="str">
        <f>IF(ISNUMBER(Competitors!A288),Competitors!A288,"")</f>
        <v/>
      </c>
      <c r="B288" t="str">
        <f>IF(A288="","",CONCATENATE(VLOOKUP(A288,Competitors!$A$2:$I$650,3,FALSE)," ",VLOOKUP(A288,Competitors!$A$2:$I$650,2,FALSE)))</f>
        <v/>
      </c>
    </row>
    <row r="289" spans="1:2" x14ac:dyDescent="0.15">
      <c r="A289" t="str">
        <f>IF(ISNUMBER(Competitors!A289),Competitors!A289,"")</f>
        <v/>
      </c>
      <c r="B289" t="str">
        <f>IF(A289="","",CONCATENATE(VLOOKUP(A289,Competitors!$A$2:$I$650,3,FALSE)," ",VLOOKUP(A289,Competitors!$A$2:$I$650,2,FALSE)))</f>
        <v/>
      </c>
    </row>
    <row r="290" spans="1:2" x14ac:dyDescent="0.15">
      <c r="A290" t="str">
        <f>IF(ISNUMBER(Competitors!A290),Competitors!A290,"")</f>
        <v/>
      </c>
      <c r="B290" t="str">
        <f>IF(A290="","",CONCATENATE(VLOOKUP(A290,Competitors!$A$2:$I$650,3,FALSE)," ",VLOOKUP(A290,Competitors!$A$2:$I$650,2,FALSE)))</f>
        <v/>
      </c>
    </row>
    <row r="291" spans="1:2" x14ac:dyDescent="0.15">
      <c r="A291" t="str">
        <f>IF(ISNUMBER(Competitors!A291),Competitors!A291,"")</f>
        <v/>
      </c>
      <c r="B291" t="str">
        <f>IF(A291="","",CONCATENATE(VLOOKUP(A291,Competitors!$A$2:$I$650,3,FALSE)," ",VLOOKUP(A291,Competitors!$A$2:$I$650,2,FALSE)))</f>
        <v/>
      </c>
    </row>
    <row r="292" spans="1:2" x14ac:dyDescent="0.15">
      <c r="A292" t="str">
        <f>IF(ISNUMBER(Competitors!A292),Competitors!A292,"")</f>
        <v/>
      </c>
      <c r="B292" t="str">
        <f>IF(A292="","",CONCATENATE(VLOOKUP(A292,Competitors!$A$2:$I$650,3,FALSE)," ",VLOOKUP(A292,Competitors!$A$2:$I$650,2,FALSE)))</f>
        <v/>
      </c>
    </row>
    <row r="293" spans="1:2" x14ac:dyDescent="0.15">
      <c r="A293" t="str">
        <f>IF(ISNUMBER(Competitors!A293),Competitors!A293,"")</f>
        <v/>
      </c>
      <c r="B293" t="str">
        <f>IF(A293="","",CONCATENATE(VLOOKUP(A293,Competitors!$A$2:$I$650,3,FALSE)," ",VLOOKUP(A293,Competitors!$A$2:$I$650,2,FALSE)))</f>
        <v/>
      </c>
    </row>
    <row r="294" spans="1:2" x14ac:dyDescent="0.15">
      <c r="A294" t="str">
        <f>IF(ISNUMBER(Competitors!A294),Competitors!A294,"")</f>
        <v/>
      </c>
      <c r="B294" t="str">
        <f>IF(A294="","",CONCATENATE(VLOOKUP(A294,Competitors!$A$2:$I$650,3,FALSE)," ",VLOOKUP(A294,Competitors!$A$2:$I$650,2,FALSE)))</f>
        <v/>
      </c>
    </row>
    <row r="295" spans="1:2" x14ac:dyDescent="0.15">
      <c r="A295" t="str">
        <f>IF(ISNUMBER(Competitors!A295),Competitors!A295,"")</f>
        <v/>
      </c>
      <c r="B295" t="str">
        <f>IF(A295="","",CONCATENATE(VLOOKUP(A295,Competitors!$A$2:$I$650,3,FALSE)," ",VLOOKUP(A295,Competitors!$A$2:$I$650,2,FALSE)))</f>
        <v/>
      </c>
    </row>
    <row r="296" spans="1:2" x14ac:dyDescent="0.15">
      <c r="A296" t="str">
        <f>IF(ISNUMBER(Competitors!A296),Competitors!A296,"")</f>
        <v/>
      </c>
      <c r="B296" t="str">
        <f>IF(A296="","",CONCATENATE(VLOOKUP(A296,Competitors!$A$2:$I$650,3,FALSE)," ",VLOOKUP(A296,Competitors!$A$2:$I$650,2,FALSE)))</f>
        <v/>
      </c>
    </row>
    <row r="297" spans="1:2" x14ac:dyDescent="0.15">
      <c r="A297" t="str">
        <f>IF(ISNUMBER(Competitors!A297),Competitors!A297,"")</f>
        <v/>
      </c>
      <c r="B297" t="str">
        <f>IF(A297="","",CONCATENATE(VLOOKUP(A297,Competitors!$A$2:$I$650,3,FALSE)," ",VLOOKUP(A297,Competitors!$A$2:$I$650,2,FALSE)))</f>
        <v/>
      </c>
    </row>
    <row r="298" spans="1:2" x14ac:dyDescent="0.15">
      <c r="A298" t="str">
        <f>IF(ISNUMBER(Competitors!A298),Competitors!A298,"")</f>
        <v/>
      </c>
      <c r="B298" t="str">
        <f>IF(A298="","",CONCATENATE(VLOOKUP(A298,Competitors!$A$2:$I$650,3,FALSE)," ",VLOOKUP(A298,Competitors!$A$2:$I$650,2,FALSE)))</f>
        <v/>
      </c>
    </row>
    <row r="299" spans="1:2" x14ac:dyDescent="0.15">
      <c r="A299" t="str">
        <f>IF(ISNUMBER(Competitors!A299),Competitors!A299,"")</f>
        <v/>
      </c>
      <c r="B299" t="str">
        <f>IF(A299="","",CONCATENATE(VLOOKUP(A299,Competitors!$A$2:$I$650,3,FALSE)," ",VLOOKUP(A299,Competitors!$A$2:$I$650,2,FALSE)))</f>
        <v/>
      </c>
    </row>
    <row r="300" spans="1:2" x14ac:dyDescent="0.15">
      <c r="A300" t="str">
        <f>IF(ISNUMBER(Competitors!A300),Competitors!A300,"")</f>
        <v/>
      </c>
      <c r="B300" t="str">
        <f>IF(A300="","",CONCATENATE(VLOOKUP(A300,Competitors!$A$2:$I$650,3,FALSE)," ",VLOOKUP(A300,Competitors!$A$2:$I$650,2,FALSE)))</f>
        <v/>
      </c>
    </row>
    <row r="301" spans="1:2" x14ac:dyDescent="0.15">
      <c r="A301" t="str">
        <f>IF(ISNUMBER(Competitors!A301),Competitors!A301,"")</f>
        <v/>
      </c>
      <c r="B301" t="str">
        <f>IF(A301="","",CONCATENATE(VLOOKUP(A301,Competitors!$A$2:$I$650,3,FALSE)," ",VLOOKUP(A301,Competitors!$A$2:$I$650,2,FALSE)))</f>
        <v/>
      </c>
    </row>
    <row r="302" spans="1:2" x14ac:dyDescent="0.15">
      <c r="A302" t="str">
        <f>IF(ISNUMBER(Competitors!A302),Competitors!A302,"")</f>
        <v/>
      </c>
      <c r="B302" t="str">
        <f>IF(A302="","",CONCATENATE(VLOOKUP(A302,Competitors!$A$2:$I$650,3,FALSE)," ",VLOOKUP(A302,Competitors!$A$2:$I$650,2,FALSE)))</f>
        <v/>
      </c>
    </row>
    <row r="303" spans="1:2" x14ac:dyDescent="0.15">
      <c r="A303" t="str">
        <f>IF(ISNUMBER(Competitors!A303),Competitors!A303,"")</f>
        <v/>
      </c>
      <c r="B303" t="str">
        <f>IF(A303="","",CONCATENATE(VLOOKUP(A303,Competitors!$A$2:$I$650,3,FALSE)," ",VLOOKUP(A303,Competitors!$A$2:$I$650,2,FALSE)))</f>
        <v/>
      </c>
    </row>
    <row r="304" spans="1:2" x14ac:dyDescent="0.15">
      <c r="A304" t="str">
        <f>IF(ISNUMBER(Competitors!A304),Competitors!A304,"")</f>
        <v/>
      </c>
      <c r="B304" t="str">
        <f>IF(A304="","",CONCATENATE(VLOOKUP(A304,Competitors!$A$2:$I$650,3,FALSE)," ",VLOOKUP(A304,Competitors!$A$2:$I$650,2,FALSE)))</f>
        <v/>
      </c>
    </row>
    <row r="305" spans="1:2" x14ac:dyDescent="0.15">
      <c r="A305" t="str">
        <f>IF(ISNUMBER(Competitors!A305),Competitors!A305,"")</f>
        <v/>
      </c>
      <c r="B305" t="str">
        <f>IF(A305="","",CONCATENATE(VLOOKUP(A305,Competitors!$A$2:$I$650,3,FALSE)," ",VLOOKUP(A305,Competitors!$A$2:$I$650,2,FALSE)))</f>
        <v/>
      </c>
    </row>
    <row r="306" spans="1:2" x14ac:dyDescent="0.15">
      <c r="A306" t="str">
        <f>IF(ISNUMBER(Competitors!A306),Competitors!A306,"")</f>
        <v/>
      </c>
      <c r="B306" t="str">
        <f>IF(A306="","",CONCATENATE(VLOOKUP(A306,Competitors!$A$2:$I$650,3,FALSE)," ",VLOOKUP(A306,Competitors!$A$2:$I$650,2,FALSE)))</f>
        <v/>
      </c>
    </row>
    <row r="307" spans="1:2" x14ac:dyDescent="0.15">
      <c r="A307" t="str">
        <f>IF(ISNUMBER(Competitors!A307),Competitors!A307,"")</f>
        <v/>
      </c>
      <c r="B307" t="str">
        <f>IF(A307="","",CONCATENATE(VLOOKUP(A307,Competitors!$A$2:$I$650,3,FALSE)," ",VLOOKUP(A307,Competitors!$A$2:$I$650,2,FALSE)))</f>
        <v/>
      </c>
    </row>
    <row r="308" spans="1:2" x14ac:dyDescent="0.15">
      <c r="A308" t="str">
        <f>IF(ISNUMBER(Competitors!A308),Competitors!A308,"")</f>
        <v/>
      </c>
      <c r="B308" t="str">
        <f>IF(A308="","",CONCATENATE(VLOOKUP(A308,Competitors!$A$2:$I$650,3,FALSE)," ",VLOOKUP(A308,Competitors!$A$2:$I$650,2,FALSE)))</f>
        <v/>
      </c>
    </row>
    <row r="309" spans="1:2" x14ac:dyDescent="0.15">
      <c r="A309" t="str">
        <f>IF(ISNUMBER(Competitors!A309),Competitors!A309,"")</f>
        <v/>
      </c>
      <c r="B309" t="str">
        <f>IF(A309="","",CONCATENATE(VLOOKUP(A309,Competitors!$A$2:$I$650,3,FALSE)," ",VLOOKUP(A309,Competitors!$A$2:$I$650,2,FALSE)))</f>
        <v/>
      </c>
    </row>
    <row r="310" spans="1:2" x14ac:dyDescent="0.15">
      <c r="A310" t="str">
        <f>IF(ISNUMBER(Competitors!A310),Competitors!A310,"")</f>
        <v/>
      </c>
      <c r="B310" t="str">
        <f>IF(A310="","",CONCATENATE(VLOOKUP(A310,Competitors!$A$2:$I$650,3,FALSE)," ",VLOOKUP(A310,Competitors!$A$2:$I$650,2,FALSE)))</f>
        <v/>
      </c>
    </row>
    <row r="311" spans="1:2" x14ac:dyDescent="0.15">
      <c r="A311" t="str">
        <f>IF(ISNUMBER(Competitors!A311),Competitors!A311,"")</f>
        <v/>
      </c>
      <c r="B311" t="str">
        <f>IF(A311="","",CONCATENATE(VLOOKUP(A311,Competitors!$A$2:$I$650,3,FALSE)," ",VLOOKUP(A311,Competitors!$A$2:$I$650,2,FALSE)))</f>
        <v/>
      </c>
    </row>
    <row r="312" spans="1:2" x14ac:dyDescent="0.15">
      <c r="A312" t="str">
        <f>IF(ISNUMBER(Competitors!A312),Competitors!A312,"")</f>
        <v/>
      </c>
      <c r="B312" t="str">
        <f>IF(A312="","",CONCATENATE(VLOOKUP(A312,Competitors!$A$2:$I$650,3,FALSE)," ",VLOOKUP(A312,Competitors!$A$2:$I$650,2,FALSE)))</f>
        <v/>
      </c>
    </row>
    <row r="313" spans="1:2" x14ac:dyDescent="0.15">
      <c r="A313" t="str">
        <f>IF(ISNUMBER(Competitors!A313),Competitors!A313,"")</f>
        <v/>
      </c>
      <c r="B313" t="str">
        <f>IF(A313="","",CONCATENATE(VLOOKUP(A313,Competitors!$A$2:$I$650,3,FALSE)," ",VLOOKUP(A313,Competitors!$A$2:$I$650,2,FALSE)))</f>
        <v/>
      </c>
    </row>
    <row r="314" spans="1:2" x14ac:dyDescent="0.15">
      <c r="A314" t="str">
        <f>IF(ISNUMBER(Competitors!A314),Competitors!A314,"")</f>
        <v/>
      </c>
      <c r="B314" t="str">
        <f>IF(A314="","",CONCATENATE(VLOOKUP(A314,Competitors!$A$2:$I$650,3,FALSE)," ",VLOOKUP(A314,Competitors!$A$2:$I$650,2,FALSE)))</f>
        <v/>
      </c>
    </row>
    <row r="315" spans="1:2" x14ac:dyDescent="0.15">
      <c r="A315" t="str">
        <f>IF(ISNUMBER(Competitors!A315),Competitors!A315,"")</f>
        <v/>
      </c>
      <c r="B315" t="str">
        <f>IF(A315="","",CONCATENATE(VLOOKUP(A315,Competitors!$A$2:$I$650,3,FALSE)," ",VLOOKUP(A315,Competitors!$A$2:$I$650,2,FALSE)))</f>
        <v/>
      </c>
    </row>
    <row r="316" spans="1:2" x14ac:dyDescent="0.15">
      <c r="A316" t="str">
        <f>IF(ISNUMBER(Competitors!A316),Competitors!A316,"")</f>
        <v/>
      </c>
      <c r="B316" t="str">
        <f>IF(A316="","",CONCATENATE(VLOOKUP(A316,Competitors!$A$2:$I$650,3,FALSE)," ",VLOOKUP(A316,Competitors!$A$2:$I$650,2,FALSE)))</f>
        <v/>
      </c>
    </row>
    <row r="317" spans="1:2" x14ac:dyDescent="0.15">
      <c r="A317" t="str">
        <f>IF(ISNUMBER(Competitors!A317),Competitors!A317,"")</f>
        <v/>
      </c>
      <c r="B317" t="str">
        <f>IF(A317="","",CONCATENATE(VLOOKUP(A317,Competitors!$A$2:$I$650,3,FALSE)," ",VLOOKUP(A317,Competitors!$A$2:$I$650,2,FALSE)))</f>
        <v/>
      </c>
    </row>
    <row r="318" spans="1:2" x14ac:dyDescent="0.15">
      <c r="A318" t="str">
        <f>IF(ISNUMBER(Competitors!A318),Competitors!A318,"")</f>
        <v/>
      </c>
      <c r="B318" t="str">
        <f>IF(A318="","",CONCATENATE(VLOOKUP(A318,Competitors!$A$2:$I$650,3,FALSE)," ",VLOOKUP(A318,Competitors!$A$2:$I$650,2,FALSE)))</f>
        <v/>
      </c>
    </row>
    <row r="319" spans="1:2" x14ac:dyDescent="0.15">
      <c r="A319" t="str">
        <f>IF(ISNUMBER(Competitors!A319),Competitors!A319,"")</f>
        <v/>
      </c>
      <c r="B319" t="str">
        <f>IF(A319="","",CONCATENATE(VLOOKUP(A319,Competitors!$A$2:$I$650,3,FALSE)," ",VLOOKUP(A319,Competitors!$A$2:$I$650,2,FALSE)))</f>
        <v/>
      </c>
    </row>
    <row r="320" spans="1:2" x14ac:dyDescent="0.15">
      <c r="A320" t="str">
        <f>IF(ISNUMBER(Competitors!A320),Competitors!A320,"")</f>
        <v/>
      </c>
      <c r="B320" t="str">
        <f>IF(A320="","",CONCATENATE(VLOOKUP(A320,Competitors!$A$2:$I$650,3,FALSE)," ",VLOOKUP(A320,Competitors!$A$2:$I$650,2,FALSE)))</f>
        <v/>
      </c>
    </row>
    <row r="321" spans="1:2" x14ac:dyDescent="0.15">
      <c r="A321" t="str">
        <f>IF(ISNUMBER(Competitors!A321),Competitors!A321,"")</f>
        <v/>
      </c>
      <c r="B321" t="str">
        <f>IF(A321="","",CONCATENATE(VLOOKUP(A321,Competitors!$A$2:$I$650,3,FALSE)," ",VLOOKUP(A321,Competitors!$A$2:$I$650,2,FALSE)))</f>
        <v/>
      </c>
    </row>
    <row r="322" spans="1:2" x14ac:dyDescent="0.15">
      <c r="A322" t="str">
        <f>IF(ISNUMBER(Competitors!A322),Competitors!A322,"")</f>
        <v/>
      </c>
      <c r="B322" t="str">
        <f>IF(A322="","",CONCATENATE(VLOOKUP(A322,Competitors!$A$2:$I$650,3,FALSE)," ",VLOOKUP(A322,Competitors!$A$2:$I$650,2,FALSE)))</f>
        <v/>
      </c>
    </row>
    <row r="323" spans="1:2" x14ac:dyDescent="0.15">
      <c r="A323" t="str">
        <f>IF(ISNUMBER(Competitors!A323),Competitors!A323,"")</f>
        <v/>
      </c>
      <c r="B323" t="str">
        <f>IF(A323="","",CONCATENATE(VLOOKUP(A323,Competitors!$A$2:$I$650,3,FALSE)," ",VLOOKUP(A323,Competitors!$A$2:$I$650,2,FALSE)))</f>
        <v/>
      </c>
    </row>
    <row r="324" spans="1:2" x14ac:dyDescent="0.15">
      <c r="A324" t="str">
        <f>IF(ISNUMBER(Competitors!A324),Competitors!A324,"")</f>
        <v/>
      </c>
      <c r="B324" t="str">
        <f>IF(A324="","",CONCATENATE(VLOOKUP(A324,Competitors!$A$2:$I$650,3,FALSE)," ",VLOOKUP(A324,Competitors!$A$2:$I$650,2,FALSE)))</f>
        <v/>
      </c>
    </row>
    <row r="325" spans="1:2" x14ac:dyDescent="0.15">
      <c r="A325" t="str">
        <f>IF(ISNUMBER(Competitors!A325),Competitors!A325,"")</f>
        <v/>
      </c>
      <c r="B325" t="str">
        <f>IF(A325="","",CONCATENATE(VLOOKUP(A325,Competitors!$A$2:$I$650,3,FALSE)," ",VLOOKUP(A325,Competitors!$A$2:$I$650,2,FALSE)))</f>
        <v/>
      </c>
    </row>
    <row r="326" spans="1:2" x14ac:dyDescent="0.15">
      <c r="A326" t="str">
        <f>IF(ISNUMBER(Competitors!A326),Competitors!A326,"")</f>
        <v/>
      </c>
      <c r="B326" t="str">
        <f>IF(A326="","",CONCATENATE(VLOOKUP(A326,Competitors!$A$2:$I$650,3,FALSE)," ",VLOOKUP(A326,Competitors!$A$2:$I$650,2,FALSE)))</f>
        <v/>
      </c>
    </row>
    <row r="327" spans="1:2" x14ac:dyDescent="0.15">
      <c r="A327" t="str">
        <f>IF(ISNUMBER(Competitors!A327),Competitors!A327,"")</f>
        <v/>
      </c>
      <c r="B327" t="str">
        <f>IF(A327="","",CONCATENATE(VLOOKUP(A327,Competitors!$A$2:$I$650,3,FALSE)," ",VLOOKUP(A327,Competitors!$A$2:$I$650,2,FALSE)))</f>
        <v/>
      </c>
    </row>
    <row r="328" spans="1:2" x14ac:dyDescent="0.15">
      <c r="A328" t="str">
        <f>IF(ISNUMBER(Competitors!A328),Competitors!A328,"")</f>
        <v/>
      </c>
      <c r="B328" t="str">
        <f>IF(A328="","",CONCATENATE(VLOOKUP(A328,Competitors!$A$2:$I$650,3,FALSE)," ",VLOOKUP(A328,Competitors!$A$2:$I$650,2,FALSE)))</f>
        <v/>
      </c>
    </row>
    <row r="329" spans="1:2" x14ac:dyDescent="0.15">
      <c r="A329" t="str">
        <f>IF(ISNUMBER(Competitors!A329),Competitors!A329,"")</f>
        <v/>
      </c>
      <c r="B329" t="str">
        <f>IF(A329="","",CONCATENATE(VLOOKUP(A329,Competitors!$A$2:$I$650,3,FALSE)," ",VLOOKUP(A329,Competitors!$A$2:$I$650,2,FALSE)))</f>
        <v/>
      </c>
    </row>
    <row r="330" spans="1:2" x14ac:dyDescent="0.15">
      <c r="A330" t="str">
        <f>IF(ISNUMBER(Competitors!A330),Competitors!A330,"")</f>
        <v/>
      </c>
      <c r="B330" t="str">
        <f>IF(A330="","",CONCATENATE(VLOOKUP(A330,Competitors!$A$2:$I$650,3,FALSE)," ",VLOOKUP(A330,Competitors!$A$2:$I$650,2,FALSE)))</f>
        <v/>
      </c>
    </row>
    <row r="331" spans="1:2" x14ac:dyDescent="0.15">
      <c r="A331" t="str">
        <f>IF(ISNUMBER(Competitors!A331),Competitors!A331,"")</f>
        <v/>
      </c>
      <c r="B331" t="str">
        <f>IF(A331="","",CONCATENATE(VLOOKUP(A331,Competitors!$A$2:$I$650,3,FALSE)," ",VLOOKUP(A331,Competitors!$A$2:$I$650,2,FALSE)))</f>
        <v/>
      </c>
    </row>
    <row r="332" spans="1:2" x14ac:dyDescent="0.15">
      <c r="A332" t="str">
        <f>IF(ISNUMBER(Competitors!A332),Competitors!A332,"")</f>
        <v/>
      </c>
      <c r="B332" t="str">
        <f>IF(A332="","",CONCATENATE(VLOOKUP(A332,Competitors!$A$2:$I$650,3,FALSE)," ",VLOOKUP(A332,Competitors!$A$2:$I$650,2,FALSE)))</f>
        <v/>
      </c>
    </row>
    <row r="333" spans="1:2" x14ac:dyDescent="0.15">
      <c r="A333" t="str">
        <f>IF(ISNUMBER(Competitors!A333),Competitors!A333,"")</f>
        <v/>
      </c>
      <c r="B333" t="str">
        <f>IF(A333="","",CONCATENATE(VLOOKUP(A333,Competitors!$A$2:$I$650,3,FALSE)," ",VLOOKUP(A333,Competitors!$A$2:$I$650,2,FALSE)))</f>
        <v/>
      </c>
    </row>
    <row r="334" spans="1:2" x14ac:dyDescent="0.15">
      <c r="A334" t="str">
        <f>IF(ISNUMBER(Competitors!A334),Competitors!A334,"")</f>
        <v/>
      </c>
      <c r="B334" t="str">
        <f>IF(A334="","",CONCATENATE(VLOOKUP(A334,Competitors!$A$2:$I$650,3,FALSE)," ",VLOOKUP(A334,Competitors!$A$2:$I$650,2,FALSE)))</f>
        <v/>
      </c>
    </row>
    <row r="335" spans="1:2" x14ac:dyDescent="0.15">
      <c r="A335" t="str">
        <f>IF(ISNUMBER(Competitors!A335),Competitors!A335,"")</f>
        <v/>
      </c>
      <c r="B335" t="str">
        <f>IF(A335="","",CONCATENATE(VLOOKUP(A335,Competitors!$A$2:$I$650,3,FALSE)," ",VLOOKUP(A335,Competitors!$A$2:$I$650,2,FALSE)))</f>
        <v/>
      </c>
    </row>
    <row r="336" spans="1:2" x14ac:dyDescent="0.15">
      <c r="A336" t="str">
        <f>IF(ISNUMBER(Competitors!A336),Competitors!A336,"")</f>
        <v/>
      </c>
      <c r="B336" t="str">
        <f>IF(A336="","",CONCATENATE(VLOOKUP(A336,Competitors!$A$2:$I$650,3,FALSE)," ",VLOOKUP(A336,Competitors!$A$2:$I$650,2,FALSE)))</f>
        <v/>
      </c>
    </row>
    <row r="337" spans="1:2" x14ac:dyDescent="0.15">
      <c r="A337" t="str">
        <f>IF(ISNUMBER(Competitors!A337),Competitors!A337,"")</f>
        <v/>
      </c>
      <c r="B337" t="str">
        <f>IF(A337="","",CONCATENATE(VLOOKUP(A337,Competitors!$A$2:$I$650,3,FALSE)," ",VLOOKUP(A337,Competitors!$A$2:$I$650,2,FALSE)))</f>
        <v/>
      </c>
    </row>
    <row r="338" spans="1:2" x14ac:dyDescent="0.15">
      <c r="A338" t="str">
        <f>IF(ISNUMBER(Competitors!A338),Competitors!A338,"")</f>
        <v/>
      </c>
      <c r="B338" t="str">
        <f>IF(A338="","",CONCATENATE(VLOOKUP(A338,Competitors!$A$2:$I$650,3,FALSE)," ",VLOOKUP(A338,Competitors!$A$2:$I$650,2,FALSE)))</f>
        <v/>
      </c>
    </row>
    <row r="339" spans="1:2" x14ac:dyDescent="0.15">
      <c r="A339" t="str">
        <f>IF(ISNUMBER(Competitors!A339),Competitors!A339,"")</f>
        <v/>
      </c>
      <c r="B339" t="str">
        <f>IF(A339="","",CONCATENATE(VLOOKUP(A339,Competitors!$A$2:$I$650,3,FALSE)," ",VLOOKUP(A339,Competitors!$A$2:$I$650,2,FALSE)))</f>
        <v/>
      </c>
    </row>
    <row r="340" spans="1:2" x14ac:dyDescent="0.15">
      <c r="A340" t="str">
        <f>IF(ISNUMBER(Competitors!A340),Competitors!A340,"")</f>
        <v/>
      </c>
      <c r="B340" t="str">
        <f>IF(A340="","",CONCATENATE(VLOOKUP(A340,Competitors!$A$2:$I$650,3,FALSE)," ",VLOOKUP(A340,Competitors!$A$2:$I$650,2,FALSE)))</f>
        <v/>
      </c>
    </row>
    <row r="341" spans="1:2" x14ac:dyDescent="0.15">
      <c r="A341" t="str">
        <f>IF(ISNUMBER(Competitors!A341),Competitors!A341,"")</f>
        <v/>
      </c>
      <c r="B341" t="str">
        <f>IF(A341="","",CONCATENATE(VLOOKUP(A341,Competitors!$A$2:$I$650,3,FALSE)," ",VLOOKUP(A341,Competitors!$A$2:$I$650,2,FALSE)))</f>
        <v/>
      </c>
    </row>
    <row r="342" spans="1:2" x14ac:dyDescent="0.15">
      <c r="A342" t="str">
        <f>IF(ISNUMBER(Competitors!A342),Competitors!A342,"")</f>
        <v/>
      </c>
      <c r="B342" t="str">
        <f>IF(A342="","",CONCATENATE(VLOOKUP(A342,Competitors!$A$2:$I$650,3,FALSE)," ",VLOOKUP(A342,Competitors!$A$2:$I$650,2,FALSE)))</f>
        <v/>
      </c>
    </row>
    <row r="343" spans="1:2" x14ac:dyDescent="0.15">
      <c r="A343" t="str">
        <f>IF(ISNUMBER(Competitors!A343),Competitors!A343,"")</f>
        <v/>
      </c>
      <c r="B343" t="str">
        <f>IF(A343="","",CONCATENATE(VLOOKUP(A343,Competitors!$A$2:$I$650,3,FALSE)," ",VLOOKUP(A343,Competitors!$A$2:$I$650,2,FALSE)))</f>
        <v/>
      </c>
    </row>
    <row r="344" spans="1:2" x14ac:dyDescent="0.15">
      <c r="A344" t="str">
        <f>IF(ISNUMBER(Competitors!A344),Competitors!A344,"")</f>
        <v/>
      </c>
      <c r="B344" t="str">
        <f>IF(A344="","",CONCATENATE(VLOOKUP(A344,Competitors!$A$2:$I$650,3,FALSE)," ",VLOOKUP(A344,Competitors!$A$2:$I$650,2,FALSE)))</f>
        <v/>
      </c>
    </row>
    <row r="345" spans="1:2" x14ac:dyDescent="0.15">
      <c r="A345" t="str">
        <f>IF(ISNUMBER(Competitors!A345),Competitors!A345,"")</f>
        <v/>
      </c>
      <c r="B345" t="str">
        <f>IF(A345="","",CONCATENATE(VLOOKUP(A345,Competitors!$A$2:$I$650,3,FALSE)," ",VLOOKUP(A345,Competitors!$A$2:$I$650,2,FALSE)))</f>
        <v/>
      </c>
    </row>
    <row r="346" spans="1:2" x14ac:dyDescent="0.15">
      <c r="A346" t="str">
        <f>IF(ISNUMBER(Competitors!A346),Competitors!A346,"")</f>
        <v/>
      </c>
      <c r="B346" t="str">
        <f>IF(A346="","",CONCATENATE(VLOOKUP(A346,Competitors!$A$2:$I$650,3,FALSE)," ",VLOOKUP(A346,Competitors!$A$2:$I$650,2,FALSE)))</f>
        <v/>
      </c>
    </row>
    <row r="347" spans="1:2" x14ac:dyDescent="0.15">
      <c r="A347" t="str">
        <f>IF(ISNUMBER(Competitors!A347),Competitors!A347,"")</f>
        <v/>
      </c>
      <c r="B347" t="str">
        <f>IF(A347="","",CONCATENATE(VLOOKUP(A347,Competitors!$A$2:$I$650,3,FALSE)," ",VLOOKUP(A347,Competitors!$A$2:$I$650,2,FALSE)))</f>
        <v/>
      </c>
    </row>
    <row r="348" spans="1:2" x14ac:dyDescent="0.15">
      <c r="A348" t="str">
        <f>IF(ISNUMBER(Competitors!A348),Competitors!A348,"")</f>
        <v/>
      </c>
      <c r="B348" t="str">
        <f>IF(A348="","",CONCATENATE(VLOOKUP(A348,Competitors!$A$2:$I$650,3,FALSE)," ",VLOOKUP(A348,Competitors!$A$2:$I$650,2,FALSE)))</f>
        <v/>
      </c>
    </row>
    <row r="349" spans="1:2" x14ac:dyDescent="0.15">
      <c r="A349" t="str">
        <f>IF(ISNUMBER(Competitors!A349),Competitors!A349,"")</f>
        <v/>
      </c>
      <c r="B349" t="str">
        <f>IF(A349="","",CONCATENATE(VLOOKUP(A349,Competitors!$A$2:$I$650,3,FALSE)," ",VLOOKUP(A349,Competitors!$A$2:$I$650,2,FALSE)))</f>
        <v/>
      </c>
    </row>
    <row r="350" spans="1:2" x14ac:dyDescent="0.15">
      <c r="A350" t="str">
        <f>IF(ISNUMBER(Competitors!A350),Competitors!A350,"")</f>
        <v/>
      </c>
      <c r="B350" t="str">
        <f>IF(A350="","",CONCATENATE(VLOOKUP(A350,Competitors!$A$2:$I$650,3,FALSE)," ",VLOOKUP(A350,Competitors!$A$2:$I$650,2,FALSE)))</f>
        <v/>
      </c>
    </row>
    <row r="351" spans="1:2" x14ac:dyDescent="0.15">
      <c r="A351" t="str">
        <f>IF(ISNUMBER(Competitors!A351),Competitors!A351,"")</f>
        <v/>
      </c>
      <c r="B351" t="str">
        <f>IF(A351="","",CONCATENATE(VLOOKUP(A351,Competitors!$A$2:$I$650,3,FALSE)," ",VLOOKUP(A351,Competitors!$A$2:$I$650,2,FALSE)))</f>
        <v/>
      </c>
    </row>
    <row r="352" spans="1:2" x14ac:dyDescent="0.15">
      <c r="A352" t="str">
        <f>IF(ISNUMBER(Competitors!A352),Competitors!A352,"")</f>
        <v/>
      </c>
      <c r="B352" t="str">
        <f>IF(A352="","",CONCATENATE(VLOOKUP(A352,Competitors!$A$2:$I$650,3,FALSE)," ",VLOOKUP(A352,Competitors!$A$2:$I$650,2,FALSE)))</f>
        <v/>
      </c>
    </row>
    <row r="353" spans="1:2" x14ac:dyDescent="0.15">
      <c r="A353" t="str">
        <f>IF(ISNUMBER(Competitors!A353),Competitors!A353,"")</f>
        <v/>
      </c>
      <c r="B353" t="str">
        <f>IF(A353="","",CONCATENATE(VLOOKUP(A353,Competitors!$A$2:$I$650,3,FALSE)," ",VLOOKUP(A353,Competitors!$A$2:$I$650,2,FALSE)))</f>
        <v/>
      </c>
    </row>
    <row r="354" spans="1:2" x14ac:dyDescent="0.15">
      <c r="A354" t="str">
        <f>IF(ISNUMBER(Competitors!A354),Competitors!A354,"")</f>
        <v/>
      </c>
      <c r="B354" t="str">
        <f>IF(A354="","",CONCATENATE(VLOOKUP(A354,Competitors!$A$2:$I$650,3,FALSE)," ",VLOOKUP(A354,Competitors!$A$2:$I$650,2,FALSE)))</f>
        <v/>
      </c>
    </row>
    <row r="355" spans="1:2" x14ac:dyDescent="0.15">
      <c r="A355" t="str">
        <f>IF(ISNUMBER(Competitors!A355),Competitors!A355,"")</f>
        <v/>
      </c>
      <c r="B355" t="str">
        <f>IF(A355="","",CONCATENATE(VLOOKUP(A355,Competitors!$A$2:$I$650,3,FALSE)," ",VLOOKUP(A355,Competitors!$A$2:$I$650,2,FALSE)))</f>
        <v/>
      </c>
    </row>
    <row r="356" spans="1:2" x14ac:dyDescent="0.15">
      <c r="A356" t="str">
        <f>IF(ISNUMBER(Competitors!A356),Competitors!A356,"")</f>
        <v/>
      </c>
      <c r="B356" t="str">
        <f>IF(A356="","",CONCATENATE(VLOOKUP(A356,Competitors!$A$2:$I$650,3,FALSE)," ",VLOOKUP(A356,Competitors!$A$2:$I$650,2,FALSE)))</f>
        <v/>
      </c>
    </row>
    <row r="357" spans="1:2" x14ac:dyDescent="0.15">
      <c r="A357" t="str">
        <f>IF(ISNUMBER(Competitors!A357),Competitors!A357,"")</f>
        <v/>
      </c>
      <c r="B357" t="str">
        <f>IF(A357="","",CONCATENATE(VLOOKUP(A357,Competitors!$A$2:$I$650,3,FALSE)," ",VLOOKUP(A357,Competitors!$A$2:$I$650,2,FALSE)))</f>
        <v/>
      </c>
    </row>
    <row r="358" spans="1:2" x14ac:dyDescent="0.15">
      <c r="A358" t="str">
        <f>IF(ISNUMBER(Competitors!A358),Competitors!A358,"")</f>
        <v/>
      </c>
      <c r="B358" t="str">
        <f>IF(A358="","",CONCATENATE(VLOOKUP(A358,Competitors!$A$2:$I$650,3,FALSE)," ",VLOOKUP(A358,Competitors!$A$2:$I$650,2,FALSE)))</f>
        <v/>
      </c>
    </row>
    <row r="359" spans="1:2" x14ac:dyDescent="0.15">
      <c r="A359" t="str">
        <f>IF(ISNUMBER(Competitors!A359),Competitors!A359,"")</f>
        <v/>
      </c>
      <c r="B359" t="str">
        <f>IF(A359="","",CONCATENATE(VLOOKUP(A359,Competitors!$A$2:$I$650,3,FALSE)," ",VLOOKUP(A359,Competitors!$A$2:$I$650,2,FALSE)))</f>
        <v/>
      </c>
    </row>
    <row r="360" spans="1:2" x14ac:dyDescent="0.15">
      <c r="A360" t="str">
        <f>IF(ISNUMBER(Competitors!A360),Competitors!A360,"")</f>
        <v/>
      </c>
      <c r="B360" t="str">
        <f>IF(A360="","",CONCATENATE(VLOOKUP(A360,Competitors!$A$2:$I$650,3,FALSE)," ",VLOOKUP(A360,Competitors!$A$2:$I$650,2,FALSE)))</f>
        <v/>
      </c>
    </row>
    <row r="361" spans="1:2" x14ac:dyDescent="0.15">
      <c r="A361" t="str">
        <f>IF(ISNUMBER(Competitors!A361),Competitors!A361,"")</f>
        <v/>
      </c>
      <c r="B361" t="str">
        <f>IF(A361="","",CONCATENATE(VLOOKUP(A361,Competitors!$A$2:$I$650,3,FALSE)," ",VLOOKUP(A361,Competitors!$A$2:$I$650,2,FALSE)))</f>
        <v/>
      </c>
    </row>
    <row r="362" spans="1:2" x14ac:dyDescent="0.15">
      <c r="A362" t="str">
        <f>IF(ISNUMBER(Competitors!A362),Competitors!A362,"")</f>
        <v/>
      </c>
      <c r="B362" t="str">
        <f>IF(A362="","",CONCATENATE(VLOOKUP(A362,Competitors!$A$2:$I$650,3,FALSE)," ",VLOOKUP(A362,Competitors!$A$2:$I$650,2,FALSE)))</f>
        <v/>
      </c>
    </row>
    <row r="363" spans="1:2" x14ac:dyDescent="0.15">
      <c r="A363" t="str">
        <f>IF(ISNUMBER(Competitors!A363),Competitors!A363,"")</f>
        <v/>
      </c>
      <c r="B363" t="str">
        <f>IF(A363="","",CONCATENATE(VLOOKUP(A363,Competitors!$A$2:$I$650,3,FALSE)," ",VLOOKUP(A363,Competitors!$A$2:$I$650,2,FALSE)))</f>
        <v/>
      </c>
    </row>
    <row r="364" spans="1:2" x14ac:dyDescent="0.15">
      <c r="A364" t="str">
        <f>IF(ISNUMBER(Competitors!A364),Competitors!A364,"")</f>
        <v/>
      </c>
      <c r="B364" t="str">
        <f>IF(A364="","",CONCATENATE(VLOOKUP(A364,Competitors!$A$2:$I$650,3,FALSE)," ",VLOOKUP(A364,Competitors!$A$2:$I$650,2,FALSE)))</f>
        <v/>
      </c>
    </row>
    <row r="365" spans="1:2" x14ac:dyDescent="0.15">
      <c r="A365" t="str">
        <f>IF(ISNUMBER(Competitors!A365),Competitors!A365,"")</f>
        <v/>
      </c>
      <c r="B365" t="str">
        <f>IF(A365="","",CONCATENATE(VLOOKUP(A365,Competitors!$A$2:$I$650,3,FALSE)," ",VLOOKUP(A365,Competitors!$A$2:$I$650,2,FALSE)))</f>
        <v/>
      </c>
    </row>
    <row r="366" spans="1:2" x14ac:dyDescent="0.15">
      <c r="A366" t="str">
        <f>IF(ISNUMBER(Competitors!A366),Competitors!A366,"")</f>
        <v/>
      </c>
      <c r="B366" t="str">
        <f>IF(A366="","",CONCATENATE(VLOOKUP(A366,Competitors!$A$2:$I$650,3,FALSE)," ",VLOOKUP(A366,Competitors!$A$2:$I$650,2,FALSE)))</f>
        <v/>
      </c>
    </row>
    <row r="367" spans="1:2" x14ac:dyDescent="0.15">
      <c r="A367" t="str">
        <f>IF(ISNUMBER(Competitors!A367),Competitors!A367,"")</f>
        <v/>
      </c>
      <c r="B367" t="str">
        <f>IF(A367="","",CONCATENATE(VLOOKUP(A367,Competitors!$A$2:$I$650,3,FALSE)," ",VLOOKUP(A367,Competitors!$A$2:$I$650,2,FALSE)))</f>
        <v/>
      </c>
    </row>
    <row r="368" spans="1:2" x14ac:dyDescent="0.15">
      <c r="A368" t="str">
        <f>IF(ISNUMBER(Competitors!A368),Competitors!A368,"")</f>
        <v/>
      </c>
      <c r="B368" t="str">
        <f>IF(A368="","",CONCATENATE(VLOOKUP(A368,Competitors!$A$2:$I$650,3,FALSE)," ",VLOOKUP(A368,Competitors!$A$2:$I$650,2,FALSE)))</f>
        <v/>
      </c>
    </row>
    <row r="369" spans="1:2" x14ac:dyDescent="0.15">
      <c r="A369" t="str">
        <f>IF(ISNUMBER(Competitors!A369),Competitors!A369,"")</f>
        <v/>
      </c>
      <c r="B369" t="str">
        <f>IF(A369="","",CONCATENATE(VLOOKUP(A369,Competitors!$A$2:$I$650,3,FALSE)," ",VLOOKUP(A369,Competitors!$A$2:$I$650,2,FALSE)))</f>
        <v/>
      </c>
    </row>
    <row r="370" spans="1:2" x14ac:dyDescent="0.15">
      <c r="A370" t="str">
        <f>IF(ISNUMBER(Competitors!A370),Competitors!A370,"")</f>
        <v/>
      </c>
      <c r="B370" t="str">
        <f>IF(A370="","",CONCATENATE(VLOOKUP(A370,Competitors!$A$2:$I$650,3,FALSE)," ",VLOOKUP(A370,Competitors!$A$2:$I$650,2,FALSE)))</f>
        <v/>
      </c>
    </row>
    <row r="371" spans="1:2" x14ac:dyDescent="0.15">
      <c r="A371" t="str">
        <f>IF(ISNUMBER(Competitors!A371),Competitors!A371,"")</f>
        <v/>
      </c>
      <c r="B371" t="str">
        <f>IF(A371="","",CONCATENATE(VLOOKUP(A371,Competitors!$A$2:$I$650,3,FALSE)," ",VLOOKUP(A371,Competitors!$A$2:$I$650,2,FALSE)))</f>
        <v/>
      </c>
    </row>
    <row r="372" spans="1:2" x14ac:dyDescent="0.15">
      <c r="A372" t="str">
        <f>IF(ISNUMBER(Competitors!A372),Competitors!A372,"")</f>
        <v/>
      </c>
      <c r="B372" t="str">
        <f>IF(A372="","",CONCATENATE(VLOOKUP(A372,Competitors!$A$2:$I$650,3,FALSE)," ",VLOOKUP(A372,Competitors!$A$2:$I$650,2,FALSE)))</f>
        <v/>
      </c>
    </row>
    <row r="373" spans="1:2" x14ac:dyDescent="0.15">
      <c r="A373" t="str">
        <f>IF(ISNUMBER(Competitors!A373),Competitors!A373,"")</f>
        <v/>
      </c>
      <c r="B373" t="str">
        <f>IF(A373="","",CONCATENATE(VLOOKUP(A373,Competitors!$A$2:$I$650,3,FALSE)," ",VLOOKUP(A373,Competitors!$A$2:$I$650,2,FALSE)))</f>
        <v/>
      </c>
    </row>
    <row r="374" spans="1:2" x14ac:dyDescent="0.15">
      <c r="A374" t="str">
        <f>IF(ISNUMBER(Competitors!A374),Competitors!A374,"")</f>
        <v/>
      </c>
      <c r="B374" t="str">
        <f>IF(A374="","",CONCATENATE(VLOOKUP(A374,Competitors!$A$2:$I$650,3,FALSE)," ",VLOOKUP(A374,Competitors!$A$2:$I$650,2,FALSE)))</f>
        <v/>
      </c>
    </row>
    <row r="375" spans="1:2" x14ac:dyDescent="0.15">
      <c r="A375" t="str">
        <f>IF(ISNUMBER(Competitors!A375),Competitors!A375,"")</f>
        <v/>
      </c>
      <c r="B375" t="str">
        <f>IF(A375="","",CONCATENATE(VLOOKUP(A375,Competitors!$A$2:$I$650,3,FALSE)," ",VLOOKUP(A375,Competitors!$A$2:$I$650,2,FALSE)))</f>
        <v/>
      </c>
    </row>
    <row r="376" spans="1:2" x14ac:dyDescent="0.15">
      <c r="A376" t="str">
        <f>IF(ISNUMBER(Competitors!A376),Competitors!A376,"")</f>
        <v/>
      </c>
      <c r="B376" t="str">
        <f>IF(A376="","",CONCATENATE(VLOOKUP(A376,Competitors!$A$2:$I$650,3,FALSE)," ",VLOOKUP(A376,Competitors!$A$2:$I$650,2,FALSE)))</f>
        <v/>
      </c>
    </row>
    <row r="377" spans="1:2" x14ac:dyDescent="0.15">
      <c r="A377" t="str">
        <f>IF(ISNUMBER(Competitors!A377),Competitors!A377,"")</f>
        <v/>
      </c>
      <c r="B377" t="str">
        <f>IF(A377="","",CONCATENATE(VLOOKUP(A377,Competitors!$A$2:$I$650,3,FALSE)," ",VLOOKUP(A377,Competitors!$A$2:$I$650,2,FALSE)))</f>
        <v/>
      </c>
    </row>
    <row r="378" spans="1:2" x14ac:dyDescent="0.15">
      <c r="A378" t="str">
        <f>IF(ISNUMBER(Competitors!A378),Competitors!A378,"")</f>
        <v/>
      </c>
      <c r="B378" t="str">
        <f>IF(A378="","",CONCATENATE(VLOOKUP(A378,Competitors!$A$2:$I$650,3,FALSE)," ",VLOOKUP(A378,Competitors!$A$2:$I$650,2,FALSE)))</f>
        <v/>
      </c>
    </row>
    <row r="379" spans="1:2" x14ac:dyDescent="0.15">
      <c r="A379" t="str">
        <f>IF(ISNUMBER(Competitors!A379),Competitors!A379,"")</f>
        <v/>
      </c>
      <c r="B379" t="str">
        <f>IF(A379="","",CONCATENATE(VLOOKUP(A379,Competitors!$A$2:$I$650,3,FALSE)," ",VLOOKUP(A379,Competitors!$A$2:$I$650,2,FALSE)))</f>
        <v/>
      </c>
    </row>
    <row r="380" spans="1:2" x14ac:dyDescent="0.15">
      <c r="A380" t="str">
        <f>IF(ISNUMBER(Competitors!A380),Competitors!A380,"")</f>
        <v/>
      </c>
      <c r="B380" t="str">
        <f>IF(A380="","",CONCATENATE(VLOOKUP(A380,Competitors!$A$2:$I$650,3,FALSE)," ",VLOOKUP(A380,Competitors!$A$2:$I$650,2,FALSE)))</f>
        <v/>
      </c>
    </row>
    <row r="381" spans="1:2" x14ac:dyDescent="0.15">
      <c r="A381" t="str">
        <f>IF(ISNUMBER(Competitors!A381),Competitors!A381,"")</f>
        <v/>
      </c>
      <c r="B381" t="str">
        <f>IF(A381="","",CONCATENATE(VLOOKUP(A381,Competitors!$A$2:$I$650,3,FALSE)," ",VLOOKUP(A381,Competitors!$A$2:$I$650,2,FALSE)))</f>
        <v/>
      </c>
    </row>
    <row r="382" spans="1:2" x14ac:dyDescent="0.15">
      <c r="A382" t="str">
        <f>IF(ISNUMBER(Competitors!A382),Competitors!A382,"")</f>
        <v/>
      </c>
      <c r="B382" t="str">
        <f>IF(A382="","",CONCATENATE(VLOOKUP(A382,Competitors!$A$2:$I$650,3,FALSE)," ",VLOOKUP(A382,Competitors!$A$2:$I$650,2,FALSE)))</f>
        <v/>
      </c>
    </row>
    <row r="383" spans="1:2" x14ac:dyDescent="0.15">
      <c r="A383" t="str">
        <f>IF(ISNUMBER(Competitors!A383),Competitors!A383,"")</f>
        <v/>
      </c>
      <c r="B383" t="str">
        <f>IF(A383="","",CONCATENATE(VLOOKUP(A383,Competitors!$A$2:$I$650,3,FALSE)," ",VLOOKUP(A383,Competitors!$A$2:$I$650,2,FALSE)))</f>
        <v/>
      </c>
    </row>
    <row r="384" spans="1:2" x14ac:dyDescent="0.15">
      <c r="A384" t="str">
        <f>IF(ISNUMBER(Competitors!A384),Competitors!A384,"")</f>
        <v/>
      </c>
      <c r="B384" t="str">
        <f>IF(A384="","",CONCATENATE(VLOOKUP(A384,Competitors!$A$2:$I$650,3,FALSE)," ",VLOOKUP(A384,Competitors!$A$2:$I$650,2,FALSE)))</f>
        <v/>
      </c>
    </row>
    <row r="385" spans="1:2" x14ac:dyDescent="0.15">
      <c r="A385" t="str">
        <f>IF(ISNUMBER(Competitors!A385),Competitors!A385,"")</f>
        <v/>
      </c>
      <c r="B385" t="str">
        <f>IF(A385="","",CONCATENATE(VLOOKUP(A385,Competitors!$A$2:$I$650,3,FALSE)," ",VLOOKUP(A385,Competitors!$A$2:$I$650,2,FALSE)))</f>
        <v/>
      </c>
    </row>
    <row r="386" spans="1:2" x14ac:dyDescent="0.15">
      <c r="A386" t="str">
        <f>IF(ISNUMBER(Competitors!A386),Competitors!A386,"")</f>
        <v/>
      </c>
      <c r="B386" t="str">
        <f>IF(A386="","",CONCATENATE(VLOOKUP(A386,Competitors!$A$2:$I$650,3,FALSE)," ",VLOOKUP(A386,Competitors!$A$2:$I$650,2,FALSE)))</f>
        <v/>
      </c>
    </row>
    <row r="387" spans="1:2" x14ac:dyDescent="0.15">
      <c r="A387" t="str">
        <f>IF(ISNUMBER(Competitors!A387),Competitors!A387,"")</f>
        <v/>
      </c>
      <c r="B387" t="str">
        <f>IF(A387="","",CONCATENATE(VLOOKUP(A387,Competitors!$A$2:$I$650,3,FALSE)," ",VLOOKUP(A387,Competitors!$A$2:$I$650,2,FALSE)))</f>
        <v/>
      </c>
    </row>
    <row r="388" spans="1:2" x14ac:dyDescent="0.15">
      <c r="A388" t="str">
        <f>IF(ISNUMBER(Competitors!A388),Competitors!A388,"")</f>
        <v/>
      </c>
      <c r="B388" t="str">
        <f>IF(A388="","",CONCATENATE(VLOOKUP(A388,Competitors!$A$2:$I$650,3,FALSE)," ",VLOOKUP(A388,Competitors!$A$2:$I$650,2,FALSE)))</f>
        <v/>
      </c>
    </row>
    <row r="389" spans="1:2" x14ac:dyDescent="0.15">
      <c r="A389" t="str">
        <f>IF(ISNUMBER(Competitors!A389),Competitors!A389,"")</f>
        <v/>
      </c>
      <c r="B389" t="str">
        <f>IF(A389="","",CONCATENATE(VLOOKUP(A389,Competitors!$A$2:$I$650,3,FALSE)," ",VLOOKUP(A389,Competitors!$A$2:$I$650,2,FALSE)))</f>
        <v/>
      </c>
    </row>
    <row r="390" spans="1:2" x14ac:dyDescent="0.15">
      <c r="A390" t="str">
        <f>IF(ISNUMBER(Competitors!A390),Competitors!A390,"")</f>
        <v/>
      </c>
      <c r="B390" t="str">
        <f>IF(A390="","",CONCATENATE(VLOOKUP(A390,Competitors!$A$2:$I$650,3,FALSE)," ",VLOOKUP(A390,Competitors!$A$2:$I$650,2,FALSE)))</f>
        <v/>
      </c>
    </row>
    <row r="391" spans="1:2" x14ac:dyDescent="0.15">
      <c r="A391" t="str">
        <f>IF(ISNUMBER(Competitors!A391),Competitors!A391,"")</f>
        <v/>
      </c>
      <c r="B391" t="str">
        <f>IF(A391="","",CONCATENATE(VLOOKUP(A391,Competitors!$A$2:$I$650,3,FALSE)," ",VLOOKUP(A391,Competitors!$A$2:$I$650,2,FALSE)))</f>
        <v/>
      </c>
    </row>
    <row r="392" spans="1:2" x14ac:dyDescent="0.15">
      <c r="A392" t="str">
        <f>IF(ISNUMBER(Competitors!A392),Competitors!A392,"")</f>
        <v/>
      </c>
      <c r="B392" t="str">
        <f>IF(A392="","",CONCATENATE(VLOOKUP(A392,Competitors!$A$2:$I$650,3,FALSE)," ",VLOOKUP(A392,Competitors!$A$2:$I$650,2,FALSE)))</f>
        <v/>
      </c>
    </row>
    <row r="393" spans="1:2" x14ac:dyDescent="0.15">
      <c r="A393" t="str">
        <f>IF(ISNUMBER(Competitors!A393),Competitors!A393,"")</f>
        <v/>
      </c>
      <c r="B393" t="str">
        <f>IF(A393="","",CONCATENATE(VLOOKUP(A393,Competitors!$A$2:$I$650,3,FALSE)," ",VLOOKUP(A393,Competitors!$A$2:$I$650,2,FALSE)))</f>
        <v/>
      </c>
    </row>
    <row r="394" spans="1:2" x14ac:dyDescent="0.15">
      <c r="A394" t="str">
        <f>IF(ISNUMBER(Competitors!A394),Competitors!A394,"")</f>
        <v/>
      </c>
      <c r="B394" t="str">
        <f>IF(A394="","",CONCATENATE(VLOOKUP(A394,Competitors!$A$2:$I$650,3,FALSE)," ",VLOOKUP(A394,Competitors!$A$2:$I$650,2,FALSE)))</f>
        <v/>
      </c>
    </row>
    <row r="395" spans="1:2" x14ac:dyDescent="0.15">
      <c r="A395" t="str">
        <f>IF(ISNUMBER(Competitors!A395),Competitors!A395,"")</f>
        <v/>
      </c>
      <c r="B395" t="str">
        <f>IF(A395="","",CONCATENATE(VLOOKUP(A395,Competitors!$A$2:$I$650,3,FALSE)," ",VLOOKUP(A395,Competitors!$A$2:$I$650,2,FALSE)))</f>
        <v/>
      </c>
    </row>
    <row r="396" spans="1:2" x14ac:dyDescent="0.15">
      <c r="A396" t="str">
        <f>IF(ISNUMBER(Competitors!A396),Competitors!A396,"")</f>
        <v/>
      </c>
      <c r="B396" t="str">
        <f>IF(A396="","",CONCATENATE(VLOOKUP(A396,Competitors!$A$2:$I$650,3,FALSE)," ",VLOOKUP(A396,Competitors!$A$2:$I$650,2,FALSE)))</f>
        <v/>
      </c>
    </row>
    <row r="397" spans="1:2" x14ac:dyDescent="0.15">
      <c r="A397" t="str">
        <f>IF(ISNUMBER(Competitors!A397),Competitors!A397,"")</f>
        <v/>
      </c>
      <c r="B397" t="str">
        <f>IF(A397="","",CONCATENATE(VLOOKUP(A397,Competitors!$A$2:$I$650,3,FALSE)," ",VLOOKUP(A397,Competitors!$A$2:$I$650,2,FALSE)))</f>
        <v/>
      </c>
    </row>
    <row r="398" spans="1:2" x14ac:dyDescent="0.15">
      <c r="A398" t="str">
        <f>IF(ISNUMBER(Competitors!A398),Competitors!A398,"")</f>
        <v/>
      </c>
      <c r="B398" t="str">
        <f>IF(A398="","",CONCATENATE(VLOOKUP(A398,Competitors!$A$2:$I$650,3,FALSE)," ",VLOOKUP(A398,Competitors!$A$2:$I$650,2,FALSE)))</f>
        <v/>
      </c>
    </row>
    <row r="399" spans="1:2" x14ac:dyDescent="0.15">
      <c r="A399" t="str">
        <f>IF(ISNUMBER(Competitors!A399),Competitors!A399,"")</f>
        <v/>
      </c>
      <c r="B399" t="str">
        <f>IF(A399="","",CONCATENATE(VLOOKUP(A399,Competitors!$A$2:$I$650,3,FALSE)," ",VLOOKUP(A399,Competitors!$A$2:$I$650,2,FALSE)))</f>
        <v/>
      </c>
    </row>
    <row r="400" spans="1:2" x14ac:dyDescent="0.15">
      <c r="A400" t="str">
        <f>IF(ISNUMBER(Competitors!A400),Competitors!A400,"")</f>
        <v/>
      </c>
      <c r="B400" t="str">
        <f>IF(A400="","",CONCATENATE(VLOOKUP(A400,Competitors!$A$2:$I$650,3,FALSE)," ",VLOOKUP(A400,Competitors!$A$2:$I$650,2,FALSE)))</f>
        <v/>
      </c>
    </row>
    <row r="401" spans="1:2" x14ac:dyDescent="0.15">
      <c r="A401" t="str">
        <f>IF(ISNUMBER(Competitors!A401),Competitors!A401,"")</f>
        <v/>
      </c>
      <c r="B401" t="str">
        <f>IF(A401="","",CONCATENATE(VLOOKUP(A401,Competitors!$A$2:$I$650,3,FALSE)," ",VLOOKUP(A401,Competitors!$A$2:$I$650,2,FALSE)))</f>
        <v/>
      </c>
    </row>
    <row r="402" spans="1:2" x14ac:dyDescent="0.15">
      <c r="A402" t="str">
        <f>IF(ISNUMBER(Competitors!A402),Competitors!A402,"")</f>
        <v/>
      </c>
      <c r="B402" t="str">
        <f>IF(A402="","",CONCATENATE(VLOOKUP(A402,Competitors!$A$2:$I$650,3,FALSE)," ",VLOOKUP(A402,Competitors!$A$2:$I$650,2,FALSE)))</f>
        <v/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BCAB-6DDE-4CB4-9BBE-62F2992D23AE}">
  <sheetPr codeName="Sheet2">
    <pageSetUpPr fitToPage="1"/>
  </sheetPr>
  <dimension ref="A1:O27"/>
  <sheetViews>
    <sheetView zoomScale="120" zoomScaleNormal="120" workbookViewId="0">
      <selection activeCell="M26" sqref="M26"/>
    </sheetView>
  </sheetViews>
  <sheetFormatPr defaultColWidth="9.16796875" defaultRowHeight="12.75" x14ac:dyDescent="0.15"/>
  <cols>
    <col min="1" max="1" width="13.34765625" style="7" bestFit="1" customWidth="1"/>
    <col min="2" max="2" width="14.15625" style="7" customWidth="1"/>
    <col min="3" max="3" width="12.26953125" style="8" customWidth="1"/>
    <col min="4" max="4" width="31.5546875" style="8" customWidth="1"/>
    <col min="5" max="5" width="11.73046875" style="8" bestFit="1" customWidth="1"/>
    <col min="6" max="6" width="7.953125" style="7" customWidth="1"/>
    <col min="7" max="7" width="19.6875" style="8" bestFit="1" customWidth="1"/>
    <col min="8" max="8" width="9.4375" style="8" bestFit="1" customWidth="1"/>
    <col min="9" max="12" width="9.16796875" style="8"/>
    <col min="13" max="13" width="7.8203125" style="8" customWidth="1"/>
    <col min="14" max="14" width="13.078125" style="8" bestFit="1" customWidth="1"/>
    <col min="15" max="16384" width="9.16796875" style="8"/>
  </cols>
  <sheetData>
    <row r="1" spans="1:15" s="5" customFormat="1" ht="35.25" x14ac:dyDescent="0.15">
      <c r="A1" s="2" t="s">
        <v>578</v>
      </c>
      <c r="B1" s="3" t="s">
        <v>3</v>
      </c>
      <c r="C1" s="4" t="s">
        <v>4</v>
      </c>
      <c r="D1" s="5" t="s">
        <v>5</v>
      </c>
      <c r="E1" s="6" t="s">
        <v>658</v>
      </c>
      <c r="F1" s="3" t="s">
        <v>6</v>
      </c>
      <c r="G1" s="5" t="s">
        <v>7</v>
      </c>
      <c r="H1" s="5" t="s">
        <v>575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657</v>
      </c>
      <c r="N1" s="5" t="s">
        <v>573</v>
      </c>
      <c r="O1" s="4" t="s">
        <v>572</v>
      </c>
    </row>
    <row r="2" spans="1:15" x14ac:dyDescent="0.15">
      <c r="A2" s="29">
        <v>1</v>
      </c>
      <c r="B2" s="30">
        <v>45748</v>
      </c>
      <c r="C2" s="31" t="s">
        <v>12</v>
      </c>
      <c r="D2" t="s">
        <v>13</v>
      </c>
      <c r="E2"/>
      <c r="F2">
        <v>9.5</v>
      </c>
      <c r="G2" t="s">
        <v>14</v>
      </c>
      <c r="H2"/>
      <c r="I2" s="32" t="s">
        <v>15</v>
      </c>
      <c r="J2" s="32" t="str">
        <f>IF($B2="","",IF($F2=10,"","Y"))</f>
        <v>Y</v>
      </c>
      <c r="K2" s="32" t="str">
        <f>IF($B2="","",IF($F2=10,"Y",""))</f>
        <v/>
      </c>
      <c r="L2" s="32" t="str">
        <f>IF($B2="","",IF(ISNUMBER(SEARCH("Hardride",$D2)),"Y",""))</f>
        <v>Y</v>
      </c>
      <c r="M2" s="32"/>
      <c r="N2" t="str">
        <f>"Event_" &amp; TEXT(A2,"00")</f>
        <v>Event_01</v>
      </c>
      <c r="O2"/>
    </row>
    <row r="3" spans="1:15" x14ac:dyDescent="0.15">
      <c r="A3" s="29">
        <f>A2+1</f>
        <v>2</v>
      </c>
      <c r="B3" s="30">
        <v>45753</v>
      </c>
      <c r="C3" s="31" t="s">
        <v>16</v>
      </c>
      <c r="D3" t="s">
        <v>17</v>
      </c>
      <c r="E3"/>
      <c r="F3">
        <v>9.5</v>
      </c>
      <c r="G3" t="s">
        <v>14</v>
      </c>
      <c r="H3"/>
      <c r="I3" s="32" t="s">
        <v>15</v>
      </c>
      <c r="J3" s="32" t="str">
        <f t="shared" ref="J3:J27" si="0">IF($B3="","",IF($F3=10,"","Y"))</f>
        <v>Y</v>
      </c>
      <c r="K3" s="32" t="str">
        <f t="shared" ref="K3:K27" si="1">IF($B3="","",IF($F3=10,"Y",""))</f>
        <v/>
      </c>
      <c r="L3" s="32" t="str">
        <f t="shared" ref="L3:L27" si="2">IF($B3="","",IF(ISNUMBER(SEARCH("Hardride",$D3)),"Y",""))</f>
        <v>Y</v>
      </c>
      <c r="M3" s="32"/>
      <c r="N3" t="str">
        <f t="shared" ref="N3:N27" si="3">"Event_" &amp; TEXT(A3,"00")</f>
        <v>Event_02</v>
      </c>
      <c r="O3"/>
    </row>
    <row r="4" spans="1:15" x14ac:dyDescent="0.15">
      <c r="A4" s="29">
        <f t="shared" ref="A4:A27" si="4">A3+1</f>
        <v>3</v>
      </c>
      <c r="B4" s="30">
        <v>45762</v>
      </c>
      <c r="C4" s="31" t="s">
        <v>12</v>
      </c>
      <c r="D4" t="s">
        <v>18</v>
      </c>
      <c r="E4"/>
      <c r="F4">
        <v>5</v>
      </c>
      <c r="G4" t="s">
        <v>19</v>
      </c>
      <c r="H4"/>
      <c r="I4" s="32" t="s">
        <v>15</v>
      </c>
      <c r="J4" s="32" t="str">
        <f t="shared" si="0"/>
        <v>Y</v>
      </c>
      <c r="K4" s="32" t="str">
        <f t="shared" si="1"/>
        <v/>
      </c>
      <c r="L4" s="32" t="str">
        <f t="shared" si="2"/>
        <v/>
      </c>
      <c r="M4" s="32"/>
      <c r="N4" t="str">
        <f t="shared" si="3"/>
        <v>Event_03</v>
      </c>
      <c r="O4"/>
    </row>
    <row r="5" spans="1:15" x14ac:dyDescent="0.15">
      <c r="A5" s="29">
        <f t="shared" si="4"/>
        <v>4</v>
      </c>
      <c r="B5" s="30">
        <v>45767</v>
      </c>
      <c r="C5" s="31" t="s">
        <v>20</v>
      </c>
      <c r="D5" t="s">
        <v>21</v>
      </c>
      <c r="E5"/>
      <c r="F5">
        <v>25</v>
      </c>
      <c r="G5" t="s">
        <v>22</v>
      </c>
      <c r="H5"/>
      <c r="I5" s="32" t="s">
        <v>15</v>
      </c>
      <c r="J5" s="32" t="str">
        <f t="shared" si="0"/>
        <v>Y</v>
      </c>
      <c r="K5" s="32" t="str">
        <f t="shared" si="1"/>
        <v/>
      </c>
      <c r="L5" s="32" t="str">
        <f t="shared" si="2"/>
        <v/>
      </c>
      <c r="M5" s="32"/>
      <c r="N5" t="str">
        <f t="shared" si="3"/>
        <v>Event_04</v>
      </c>
      <c r="O5"/>
    </row>
    <row r="6" spans="1:15" x14ac:dyDescent="0.15">
      <c r="A6" s="29">
        <f t="shared" si="4"/>
        <v>5</v>
      </c>
      <c r="B6" s="30">
        <v>45776</v>
      </c>
      <c r="C6" s="31" t="s">
        <v>12</v>
      </c>
      <c r="D6" t="s">
        <v>23</v>
      </c>
      <c r="E6"/>
      <c r="F6">
        <v>10</v>
      </c>
      <c r="G6" t="s">
        <v>24</v>
      </c>
      <c r="H6"/>
      <c r="I6" s="32" t="s">
        <v>15</v>
      </c>
      <c r="J6" s="32" t="str">
        <f t="shared" si="0"/>
        <v/>
      </c>
      <c r="K6" s="32" t="str">
        <f t="shared" si="1"/>
        <v>Y</v>
      </c>
      <c r="L6" s="32" t="str">
        <f t="shared" si="2"/>
        <v/>
      </c>
      <c r="M6" s="32"/>
      <c r="N6" t="str">
        <f t="shared" si="3"/>
        <v>Event_05</v>
      </c>
      <c r="O6"/>
    </row>
    <row r="7" spans="1:15" x14ac:dyDescent="0.15">
      <c r="A7" s="29">
        <f t="shared" si="4"/>
        <v>6</v>
      </c>
      <c r="B7" s="30">
        <v>45783</v>
      </c>
      <c r="C7" s="31" t="s">
        <v>12</v>
      </c>
      <c r="D7" t="s">
        <v>25</v>
      </c>
      <c r="E7"/>
      <c r="F7">
        <f>5+5</f>
        <v>10</v>
      </c>
      <c r="G7" t="s">
        <v>26</v>
      </c>
      <c r="H7"/>
      <c r="I7" s="32" t="s">
        <v>15</v>
      </c>
      <c r="J7" s="32" t="s">
        <v>15</v>
      </c>
      <c r="K7" s="32" t="str">
        <f>""</f>
        <v/>
      </c>
      <c r="L7" s="32" t="str">
        <f t="shared" si="2"/>
        <v/>
      </c>
      <c r="M7" s="32"/>
      <c r="N7" t="str">
        <f t="shared" si="3"/>
        <v>Event_06</v>
      </c>
      <c r="O7"/>
    </row>
    <row r="8" spans="1:15" x14ac:dyDescent="0.15">
      <c r="A8" s="29">
        <f t="shared" si="4"/>
        <v>7</v>
      </c>
      <c r="B8" s="30">
        <v>45790</v>
      </c>
      <c r="C8" s="31" t="s">
        <v>27</v>
      </c>
      <c r="D8" t="s">
        <v>23</v>
      </c>
      <c r="E8"/>
      <c r="F8">
        <v>10</v>
      </c>
      <c r="G8" t="s">
        <v>24</v>
      </c>
      <c r="H8"/>
      <c r="I8" s="32" t="s">
        <v>15</v>
      </c>
      <c r="J8" s="32" t="str">
        <f t="shared" si="0"/>
        <v/>
      </c>
      <c r="K8" s="32" t="str">
        <f t="shared" si="1"/>
        <v>Y</v>
      </c>
      <c r="L8" s="32" t="str">
        <f t="shared" si="2"/>
        <v/>
      </c>
      <c r="M8" s="32"/>
      <c r="N8" t="str">
        <f t="shared" si="3"/>
        <v>Event_07</v>
      </c>
      <c r="O8" t="s">
        <v>15</v>
      </c>
    </row>
    <row r="9" spans="1:15" x14ac:dyDescent="0.15">
      <c r="A9" s="29">
        <f t="shared" si="4"/>
        <v>8</v>
      </c>
      <c r="B9" s="30">
        <v>45804</v>
      </c>
      <c r="C9" s="31" t="s">
        <v>27</v>
      </c>
      <c r="D9" t="s">
        <v>28</v>
      </c>
      <c r="E9"/>
      <c r="F9">
        <v>10</v>
      </c>
      <c r="G9" t="s">
        <v>22</v>
      </c>
      <c r="H9"/>
      <c r="I9" s="32" t="s">
        <v>15</v>
      </c>
      <c r="J9" s="32" t="str">
        <f t="shared" si="0"/>
        <v/>
      </c>
      <c r="K9" s="32" t="str">
        <f t="shared" si="1"/>
        <v>Y</v>
      </c>
      <c r="L9" s="32" t="str">
        <f t="shared" si="2"/>
        <v/>
      </c>
      <c r="M9" s="32"/>
      <c r="N9" t="str">
        <f t="shared" si="3"/>
        <v>Event_08</v>
      </c>
      <c r="O9"/>
    </row>
    <row r="10" spans="1:15" x14ac:dyDescent="0.15">
      <c r="A10" s="29">
        <f t="shared" si="4"/>
        <v>9</v>
      </c>
      <c r="B10" s="30">
        <v>45809</v>
      </c>
      <c r="C10" s="31" t="s">
        <v>16</v>
      </c>
      <c r="D10" t="s">
        <v>21</v>
      </c>
      <c r="E10"/>
      <c r="F10">
        <v>25</v>
      </c>
      <c r="G10" t="s">
        <v>22</v>
      </c>
      <c r="H10"/>
      <c r="I10" s="32" t="s">
        <v>15</v>
      </c>
      <c r="J10" s="32" t="str">
        <f t="shared" si="0"/>
        <v>Y</v>
      </c>
      <c r="K10" s="32" t="str">
        <f t="shared" si="1"/>
        <v/>
      </c>
      <c r="L10" s="32" t="str">
        <f t="shared" si="2"/>
        <v/>
      </c>
      <c r="M10" s="32"/>
      <c r="N10" t="str">
        <f t="shared" si="3"/>
        <v>Event_09</v>
      </c>
      <c r="O10"/>
    </row>
    <row r="11" spans="1:15" x14ac:dyDescent="0.15">
      <c r="A11" s="29">
        <f t="shared" si="4"/>
        <v>10</v>
      </c>
      <c r="B11" s="30">
        <v>45818</v>
      </c>
      <c r="C11" s="31" t="s">
        <v>29</v>
      </c>
      <c r="D11" t="s">
        <v>28</v>
      </c>
      <c r="E11"/>
      <c r="F11">
        <v>10</v>
      </c>
      <c r="G11" t="s">
        <v>22</v>
      </c>
      <c r="H11"/>
      <c r="I11" s="32" t="s">
        <v>15</v>
      </c>
      <c r="J11" s="32" t="str">
        <f t="shared" si="0"/>
        <v/>
      </c>
      <c r="K11" s="32" t="str">
        <f t="shared" si="1"/>
        <v>Y</v>
      </c>
      <c r="L11" s="32" t="str">
        <f t="shared" si="2"/>
        <v/>
      </c>
      <c r="M11" s="32"/>
      <c r="N11" t="str">
        <f t="shared" si="3"/>
        <v>Event_10</v>
      </c>
      <c r="O11"/>
    </row>
    <row r="12" spans="1:15" x14ac:dyDescent="0.15">
      <c r="A12" s="29">
        <f t="shared" si="4"/>
        <v>11</v>
      </c>
      <c r="B12" s="30">
        <v>45823</v>
      </c>
      <c r="C12" s="31" t="s">
        <v>20</v>
      </c>
      <c r="D12" t="s">
        <v>30</v>
      </c>
      <c r="E12"/>
      <c r="F12">
        <v>25</v>
      </c>
      <c r="G12" t="s">
        <v>31</v>
      </c>
      <c r="H12"/>
      <c r="I12" s="32" t="s">
        <v>15</v>
      </c>
      <c r="J12" s="32" t="str">
        <f t="shared" si="0"/>
        <v>Y</v>
      </c>
      <c r="K12" s="32" t="str">
        <f t="shared" si="1"/>
        <v/>
      </c>
      <c r="L12" s="32" t="str">
        <f t="shared" si="2"/>
        <v>Y</v>
      </c>
      <c r="M12" s="32"/>
      <c r="N12" t="str">
        <f t="shared" si="3"/>
        <v>Event_11</v>
      </c>
      <c r="O12"/>
    </row>
    <row r="13" spans="1:15" x14ac:dyDescent="0.15">
      <c r="A13" s="29">
        <f t="shared" si="4"/>
        <v>12</v>
      </c>
      <c r="B13" s="30">
        <v>45825</v>
      </c>
      <c r="C13" s="31" t="s">
        <v>29</v>
      </c>
      <c r="D13" t="s">
        <v>28</v>
      </c>
      <c r="E13"/>
      <c r="F13">
        <v>10</v>
      </c>
      <c r="G13" t="s">
        <v>22</v>
      </c>
      <c r="H13"/>
      <c r="I13" s="32" t="s">
        <v>15</v>
      </c>
      <c r="J13" s="32" t="str">
        <f t="shared" si="0"/>
        <v/>
      </c>
      <c r="K13" s="32" t="str">
        <f t="shared" si="1"/>
        <v>Y</v>
      </c>
      <c r="L13" s="32" t="str">
        <f t="shared" si="2"/>
        <v/>
      </c>
      <c r="M13" s="32"/>
      <c r="N13" t="str">
        <f t="shared" si="3"/>
        <v>Event_12</v>
      </c>
      <c r="O13"/>
    </row>
    <row r="14" spans="1:15" x14ac:dyDescent="0.15">
      <c r="A14" s="29">
        <f t="shared" si="4"/>
        <v>13</v>
      </c>
      <c r="B14" s="30">
        <v>45832</v>
      </c>
      <c r="C14" s="31" t="s">
        <v>29</v>
      </c>
      <c r="D14" t="s">
        <v>28</v>
      </c>
      <c r="E14"/>
      <c r="F14">
        <v>10</v>
      </c>
      <c r="G14" t="s">
        <v>22</v>
      </c>
      <c r="H14"/>
      <c r="I14" s="32" t="s">
        <v>15</v>
      </c>
      <c r="J14" s="32" t="str">
        <f t="shared" si="0"/>
        <v/>
      </c>
      <c r="K14" s="32" t="str">
        <f t="shared" si="1"/>
        <v>Y</v>
      </c>
      <c r="L14" s="32" t="str">
        <f t="shared" si="2"/>
        <v/>
      </c>
      <c r="M14" s="32"/>
      <c r="N14" t="str">
        <f t="shared" si="3"/>
        <v>Event_13</v>
      </c>
      <c r="O14"/>
    </row>
    <row r="15" spans="1:15" x14ac:dyDescent="0.15">
      <c r="A15" s="29">
        <f t="shared" si="4"/>
        <v>14</v>
      </c>
      <c r="B15" s="30">
        <v>45839</v>
      </c>
      <c r="C15" s="31" t="s">
        <v>27</v>
      </c>
      <c r="D15" t="s">
        <v>28</v>
      </c>
      <c r="E15"/>
      <c r="F15">
        <v>10</v>
      </c>
      <c r="G15" t="s">
        <v>22</v>
      </c>
      <c r="H15"/>
      <c r="I15" s="32" t="s">
        <v>15</v>
      </c>
      <c r="J15" s="32" t="str">
        <f t="shared" si="0"/>
        <v/>
      </c>
      <c r="K15" s="32" t="str">
        <f t="shared" si="1"/>
        <v>Y</v>
      </c>
      <c r="L15" s="32" t="str">
        <f t="shared" si="2"/>
        <v/>
      </c>
      <c r="M15" s="32"/>
      <c r="N15" t="str">
        <f t="shared" si="3"/>
        <v>Event_14</v>
      </c>
      <c r="O15"/>
    </row>
    <row r="16" spans="1:15" x14ac:dyDescent="0.15">
      <c r="A16" s="29">
        <f t="shared" si="4"/>
        <v>15</v>
      </c>
      <c r="B16" s="30">
        <v>45854</v>
      </c>
      <c r="C16" s="31" t="s">
        <v>32</v>
      </c>
      <c r="D16" t="s">
        <v>33</v>
      </c>
      <c r="E16" t="s">
        <v>151</v>
      </c>
      <c r="F16">
        <v>10</v>
      </c>
      <c r="G16" t="s">
        <v>34</v>
      </c>
      <c r="H16"/>
      <c r="I16" s="32" t="s">
        <v>15</v>
      </c>
      <c r="J16" s="32" t="str">
        <f t="shared" si="0"/>
        <v/>
      </c>
      <c r="K16" s="32" t="str">
        <f t="shared" si="1"/>
        <v>Y</v>
      </c>
      <c r="L16" s="32" t="str">
        <f t="shared" si="2"/>
        <v/>
      </c>
      <c r="M16" s="32" t="s">
        <v>15</v>
      </c>
      <c r="N16" t="str">
        <f t="shared" si="3"/>
        <v>Event_15</v>
      </c>
      <c r="O16"/>
    </row>
    <row r="17" spans="1:15" x14ac:dyDescent="0.15">
      <c r="A17" s="29">
        <f t="shared" si="4"/>
        <v>16</v>
      </c>
      <c r="B17" s="30">
        <v>45860</v>
      </c>
      <c r="C17" s="33" t="s">
        <v>27</v>
      </c>
      <c r="D17" t="s">
        <v>35</v>
      </c>
      <c r="E17" t="s">
        <v>659</v>
      </c>
      <c r="F17">
        <v>10</v>
      </c>
      <c r="G17" t="s">
        <v>36</v>
      </c>
      <c r="H17"/>
      <c r="I17" s="32" t="s">
        <v>15</v>
      </c>
      <c r="J17" s="32" t="str">
        <f t="shared" si="0"/>
        <v/>
      </c>
      <c r="K17" s="32" t="str">
        <f t="shared" si="1"/>
        <v>Y</v>
      </c>
      <c r="L17" s="32" t="str">
        <f t="shared" si="2"/>
        <v/>
      </c>
      <c r="M17" s="32" t="s">
        <v>15</v>
      </c>
      <c r="N17" t="str">
        <f t="shared" si="3"/>
        <v>Event_16</v>
      </c>
      <c r="O17"/>
    </row>
    <row r="18" spans="1:15" x14ac:dyDescent="0.15">
      <c r="A18" s="29">
        <f t="shared" si="4"/>
        <v>17</v>
      </c>
      <c r="B18" s="30">
        <v>45868</v>
      </c>
      <c r="C18" s="33">
        <v>0.80208333333333337</v>
      </c>
      <c r="D18" t="s">
        <v>33</v>
      </c>
      <c r="E18" t="s">
        <v>151</v>
      </c>
      <c r="F18">
        <v>10</v>
      </c>
      <c r="G18" t="s">
        <v>34</v>
      </c>
      <c r="H18"/>
      <c r="I18" s="32" t="s">
        <v>15</v>
      </c>
      <c r="J18" s="32" t="str">
        <f t="shared" si="0"/>
        <v/>
      </c>
      <c r="K18" s="32" t="str">
        <f t="shared" si="1"/>
        <v>Y</v>
      </c>
      <c r="L18" s="32" t="str">
        <f t="shared" si="2"/>
        <v/>
      </c>
      <c r="M18" s="32" t="s">
        <v>15</v>
      </c>
      <c r="N18" t="str">
        <f t="shared" si="3"/>
        <v>Event_17</v>
      </c>
      <c r="O18"/>
    </row>
    <row r="19" spans="1:15" x14ac:dyDescent="0.15">
      <c r="A19" s="29">
        <f t="shared" si="4"/>
        <v>18</v>
      </c>
      <c r="B19" s="30">
        <v>45874</v>
      </c>
      <c r="C19" s="33" t="s">
        <v>27</v>
      </c>
      <c r="D19" t="s">
        <v>35</v>
      </c>
      <c r="E19" t="s">
        <v>659</v>
      </c>
      <c r="F19">
        <v>10</v>
      </c>
      <c r="G19" t="s">
        <v>36</v>
      </c>
      <c r="H19"/>
      <c r="I19" s="32" t="s">
        <v>15</v>
      </c>
      <c r="J19" s="32" t="str">
        <f t="shared" si="0"/>
        <v/>
      </c>
      <c r="K19" s="32" t="str">
        <f t="shared" si="1"/>
        <v>Y</v>
      </c>
      <c r="L19" s="32" t="str">
        <f t="shared" si="2"/>
        <v/>
      </c>
      <c r="M19" s="32" t="s">
        <v>15</v>
      </c>
      <c r="N19" t="str">
        <f t="shared" si="3"/>
        <v>Event_18</v>
      </c>
      <c r="O19"/>
    </row>
    <row r="20" spans="1:15" x14ac:dyDescent="0.15">
      <c r="A20" s="29">
        <f t="shared" si="4"/>
        <v>19</v>
      </c>
      <c r="B20" s="30">
        <v>45881</v>
      </c>
      <c r="C20" s="31" t="s">
        <v>27</v>
      </c>
      <c r="D20" t="s">
        <v>37</v>
      </c>
      <c r="E20" t="s">
        <v>660</v>
      </c>
      <c r="F20">
        <v>10</v>
      </c>
      <c r="G20" t="s">
        <v>38</v>
      </c>
      <c r="H20"/>
      <c r="I20" s="32" t="s">
        <v>15</v>
      </c>
      <c r="J20" s="32" t="str">
        <f t="shared" si="0"/>
        <v/>
      </c>
      <c r="K20" s="32" t="str">
        <f t="shared" si="1"/>
        <v>Y</v>
      </c>
      <c r="L20" s="32" t="str">
        <f t="shared" si="2"/>
        <v/>
      </c>
      <c r="M20" s="32" t="s">
        <v>15</v>
      </c>
      <c r="N20" t="str">
        <f t="shared" si="3"/>
        <v>Event_19</v>
      </c>
      <c r="O20"/>
    </row>
    <row r="21" spans="1:15" x14ac:dyDescent="0.15">
      <c r="A21" s="29">
        <f t="shared" si="4"/>
        <v>20</v>
      </c>
      <c r="B21" s="30">
        <v>45888</v>
      </c>
      <c r="C21" s="31" t="s">
        <v>27</v>
      </c>
      <c r="D21" t="s">
        <v>39</v>
      </c>
      <c r="E21" t="s">
        <v>125</v>
      </c>
      <c r="F21">
        <v>10</v>
      </c>
      <c r="G21" t="s">
        <v>40</v>
      </c>
      <c r="H21"/>
      <c r="I21" s="32" t="s">
        <v>15</v>
      </c>
      <c r="J21" s="32" t="str">
        <f t="shared" si="0"/>
        <v/>
      </c>
      <c r="K21" s="32" t="str">
        <f t="shared" si="1"/>
        <v>Y</v>
      </c>
      <c r="L21" s="32" t="str">
        <f t="shared" si="2"/>
        <v/>
      </c>
      <c r="M21" s="32" t="s">
        <v>15</v>
      </c>
      <c r="N21" t="str">
        <f t="shared" si="3"/>
        <v>Event_20</v>
      </c>
      <c r="O21"/>
    </row>
    <row r="22" spans="1:15" x14ac:dyDescent="0.15">
      <c r="A22" s="29">
        <f t="shared" si="4"/>
        <v>21</v>
      </c>
      <c r="B22" s="30">
        <v>45895</v>
      </c>
      <c r="C22" s="31" t="s">
        <v>27</v>
      </c>
      <c r="D22" t="s">
        <v>37</v>
      </c>
      <c r="E22" t="s">
        <v>660</v>
      </c>
      <c r="F22">
        <v>10</v>
      </c>
      <c r="G22" t="s">
        <v>38</v>
      </c>
      <c r="H22"/>
      <c r="I22" s="32" t="s">
        <v>15</v>
      </c>
      <c r="J22" s="32" t="str">
        <f t="shared" si="0"/>
        <v/>
      </c>
      <c r="K22" s="32" t="str">
        <f t="shared" si="1"/>
        <v>Y</v>
      </c>
      <c r="L22" s="32" t="str">
        <f t="shared" si="2"/>
        <v/>
      </c>
      <c r="M22" s="32" t="s">
        <v>15</v>
      </c>
      <c r="N22" t="str">
        <f t="shared" si="3"/>
        <v>Event_21</v>
      </c>
      <c r="O22"/>
    </row>
    <row r="23" spans="1:15" x14ac:dyDescent="0.15">
      <c r="A23" s="29">
        <f t="shared" si="4"/>
        <v>22</v>
      </c>
      <c r="B23" s="30">
        <v>45900</v>
      </c>
      <c r="C23" s="31" t="s">
        <v>16</v>
      </c>
      <c r="D23" t="s">
        <v>23</v>
      </c>
      <c r="E23" t="s">
        <v>661</v>
      </c>
      <c r="F23">
        <v>10</v>
      </c>
      <c r="G23" t="s">
        <v>24</v>
      </c>
      <c r="H23"/>
      <c r="I23" s="32" t="s">
        <v>15</v>
      </c>
      <c r="J23" s="32" t="str">
        <f t="shared" si="0"/>
        <v/>
      </c>
      <c r="K23" s="32" t="str">
        <f t="shared" si="1"/>
        <v>Y</v>
      </c>
      <c r="L23" s="32" t="str">
        <f t="shared" si="2"/>
        <v/>
      </c>
      <c r="M23" s="32" t="s">
        <v>15</v>
      </c>
      <c r="N23" t="str">
        <f t="shared" si="3"/>
        <v>Event_22</v>
      </c>
      <c r="O23"/>
    </row>
    <row r="24" spans="1:15" x14ac:dyDescent="0.15">
      <c r="A24" s="29">
        <f t="shared" si="4"/>
        <v>23</v>
      </c>
      <c r="B24" s="30">
        <v>45907</v>
      </c>
      <c r="C24" s="31">
        <v>0.4375</v>
      </c>
      <c r="D24" t="s">
        <v>41</v>
      </c>
      <c r="E24"/>
      <c r="F24">
        <v>0.88</v>
      </c>
      <c r="G24" t="s">
        <v>42</v>
      </c>
      <c r="H24" t="s">
        <v>15</v>
      </c>
      <c r="I24" s="32" t="s">
        <v>15</v>
      </c>
      <c r="J24" s="32" t="str">
        <f t="shared" si="0"/>
        <v>Y</v>
      </c>
      <c r="K24" s="32" t="str">
        <f t="shared" si="1"/>
        <v/>
      </c>
      <c r="L24" s="32" t="str">
        <f t="shared" si="2"/>
        <v/>
      </c>
      <c r="M24" s="32"/>
      <c r="N24" t="str">
        <f t="shared" si="3"/>
        <v>Event_23</v>
      </c>
      <c r="O24"/>
    </row>
    <row r="25" spans="1:15" x14ac:dyDescent="0.15">
      <c r="A25" s="29">
        <f t="shared" si="4"/>
        <v>24</v>
      </c>
      <c r="B25" s="30">
        <v>45914</v>
      </c>
      <c r="C25" s="31" t="s">
        <v>27</v>
      </c>
      <c r="D25" t="s">
        <v>43</v>
      </c>
      <c r="E25"/>
      <c r="F25">
        <v>10</v>
      </c>
      <c r="G25" t="s">
        <v>44</v>
      </c>
      <c r="H25"/>
      <c r="I25" s="32" t="s">
        <v>15</v>
      </c>
      <c r="J25" s="32" t="str">
        <f t="shared" si="0"/>
        <v/>
      </c>
      <c r="K25" s="32" t="str">
        <f t="shared" si="1"/>
        <v>Y</v>
      </c>
      <c r="L25" s="32" t="str">
        <f t="shared" si="2"/>
        <v/>
      </c>
      <c r="M25" s="32"/>
      <c r="N25" t="str">
        <f t="shared" si="3"/>
        <v>Event_24</v>
      </c>
      <c r="O25"/>
    </row>
    <row r="26" spans="1:15" x14ac:dyDescent="0.15">
      <c r="A26" s="29">
        <f t="shared" si="4"/>
        <v>25</v>
      </c>
      <c r="B26" s="30">
        <v>45916</v>
      </c>
      <c r="C26" s="31" t="s">
        <v>12</v>
      </c>
      <c r="D26" t="s">
        <v>631</v>
      </c>
      <c r="E26"/>
      <c r="F26">
        <v>10</v>
      </c>
      <c r="G26" t="s">
        <v>630</v>
      </c>
      <c r="H26"/>
      <c r="I26" s="32" t="s">
        <v>15</v>
      </c>
      <c r="J26" s="32" t="str">
        <f t="shared" si="0"/>
        <v/>
      </c>
      <c r="K26" s="32" t="str">
        <f t="shared" si="1"/>
        <v>Y</v>
      </c>
      <c r="L26" s="32" t="str">
        <f t="shared" si="2"/>
        <v/>
      </c>
      <c r="M26" s="32"/>
      <c r="N26" t="str">
        <f t="shared" si="3"/>
        <v>Event_25</v>
      </c>
      <c r="O26" t="s">
        <v>15</v>
      </c>
    </row>
    <row r="27" spans="1:15" x14ac:dyDescent="0.15">
      <c r="A27" s="29">
        <f t="shared" si="4"/>
        <v>26</v>
      </c>
      <c r="B27" s="30">
        <v>45923</v>
      </c>
      <c r="C27" s="31" t="s">
        <v>45</v>
      </c>
      <c r="D27" t="s">
        <v>631</v>
      </c>
      <c r="E27"/>
      <c r="F27">
        <v>10</v>
      </c>
      <c r="G27" t="s">
        <v>630</v>
      </c>
      <c r="H27"/>
      <c r="I27" s="32" t="s">
        <v>15</v>
      </c>
      <c r="J27" s="32" t="str">
        <f t="shared" si="0"/>
        <v/>
      </c>
      <c r="K27" s="32" t="str">
        <f t="shared" si="1"/>
        <v>Y</v>
      </c>
      <c r="L27" s="32" t="str">
        <f t="shared" si="2"/>
        <v/>
      </c>
      <c r="M27" s="32"/>
      <c r="N27" t="str">
        <f t="shared" si="3"/>
        <v>Event_26</v>
      </c>
      <c r="O27" t="s">
        <v>15</v>
      </c>
    </row>
  </sheetData>
  <sheetProtection formatCells="0" formatColumns="0" formatRows="0" insertColumns="0" insertRows="0" insertHyperlinks="0" deleteColumns="0" deleteRows="0" pivotTables="0"/>
  <phoneticPr fontId="10" type="noConversion"/>
  <conditionalFormatting sqref="B2:B27">
    <cfRule type="expression" dxfId="79" priority="1">
      <formula>NOT(YEAR(B2)=CompetitionYear)</formula>
    </cfRule>
  </conditionalFormatting>
  <printOptions horizontalCentered="1" gridLines="1"/>
  <pageMargins left="0.74803149606299213" right="0.74803149606299213" top="0.98425196850393704" bottom="0.98425196850393704" header="0.51181102362204722" footer="0.51181102362204722"/>
  <pageSetup paperSize="9" scale="75" orientation="landscape" r:id="rId1"/>
  <headerFooter alignWithMargins="0">
    <oddHeader>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B03B-191E-4D98-8AA8-99D1F10BD0A9}">
  <sheetPr codeName="Sheet6"/>
  <dimension ref="A1:C101"/>
  <sheetViews>
    <sheetView workbookViewId="0">
      <selection activeCell="B49" sqref="B49"/>
    </sheetView>
  </sheetViews>
  <sheetFormatPr defaultRowHeight="12.75" x14ac:dyDescent="0.15"/>
  <cols>
    <col min="1" max="1" width="11.8671875" bestFit="1" customWidth="1"/>
    <col min="2" max="2" width="23.59765625" customWidth="1"/>
    <col min="3" max="3" width="16.046875" style="39" customWidth="1"/>
  </cols>
  <sheetData>
    <row r="1" spans="1:3" s="37" customFormat="1" x14ac:dyDescent="0.15">
      <c r="A1" s="37" t="s">
        <v>292</v>
      </c>
      <c r="B1" s="37" t="s">
        <v>626</v>
      </c>
      <c r="C1" s="38" t="s">
        <v>627</v>
      </c>
    </row>
    <row r="2" spans="1:3" x14ac:dyDescent="0.15">
      <c r="A2">
        <f t="shared" ref="A2:A33" si="0">IF(ISBLANK(B2),"",_xlfn.XLOOKUP(B2,ClubNames,ClubNumbers))</f>
        <v>1094</v>
      </c>
      <c r="B2" t="s">
        <v>579</v>
      </c>
      <c r="C2" s="39" t="s">
        <v>580</v>
      </c>
    </row>
    <row r="3" spans="1:3" x14ac:dyDescent="0.15">
      <c r="A3">
        <f t="shared" si="0"/>
        <v>933</v>
      </c>
      <c r="B3" t="s">
        <v>581</v>
      </c>
      <c r="C3" s="39" t="s">
        <v>580</v>
      </c>
    </row>
    <row r="4" spans="1:3" x14ac:dyDescent="0.15">
      <c r="A4">
        <f t="shared" si="0"/>
        <v>1023</v>
      </c>
      <c r="B4" t="s">
        <v>582</v>
      </c>
      <c r="C4" s="39" t="s">
        <v>580</v>
      </c>
    </row>
    <row r="5" spans="1:3" x14ac:dyDescent="0.15">
      <c r="A5">
        <f t="shared" si="0"/>
        <v>407</v>
      </c>
      <c r="B5" t="s">
        <v>583</v>
      </c>
      <c r="C5" s="39" t="s">
        <v>580</v>
      </c>
    </row>
    <row r="6" spans="1:3" x14ac:dyDescent="0.15">
      <c r="A6">
        <f t="shared" si="0"/>
        <v>1144</v>
      </c>
      <c r="B6" t="s">
        <v>584</v>
      </c>
      <c r="C6" s="39" t="s">
        <v>580</v>
      </c>
    </row>
    <row r="7" spans="1:3" x14ac:dyDescent="0.15">
      <c r="A7">
        <f t="shared" si="0"/>
        <v>989</v>
      </c>
      <c r="B7" t="s">
        <v>585</v>
      </c>
      <c r="C7" s="39" t="s">
        <v>580</v>
      </c>
    </row>
    <row r="8" spans="1:3" x14ac:dyDescent="0.15">
      <c r="A8">
        <f t="shared" si="0"/>
        <v>699</v>
      </c>
      <c r="B8" t="s">
        <v>586</v>
      </c>
      <c r="C8" s="39" t="s">
        <v>580</v>
      </c>
    </row>
    <row r="9" spans="1:3" x14ac:dyDescent="0.15">
      <c r="A9">
        <f t="shared" si="0"/>
        <v>1161</v>
      </c>
      <c r="B9" t="s">
        <v>587</v>
      </c>
      <c r="C9" s="39" t="s">
        <v>580</v>
      </c>
    </row>
    <row r="10" spans="1:3" x14ac:dyDescent="0.15">
      <c r="A10">
        <f t="shared" si="0"/>
        <v>35</v>
      </c>
      <c r="B10" t="s">
        <v>588</v>
      </c>
      <c r="C10" s="39" t="s">
        <v>580</v>
      </c>
    </row>
    <row r="11" spans="1:3" x14ac:dyDescent="0.15">
      <c r="A11">
        <f t="shared" si="0"/>
        <v>1055</v>
      </c>
      <c r="B11" t="s">
        <v>589</v>
      </c>
      <c r="C11" s="39">
        <v>1</v>
      </c>
    </row>
    <row r="12" spans="1:3" x14ac:dyDescent="0.15">
      <c r="A12">
        <f t="shared" si="0"/>
        <v>1192</v>
      </c>
      <c r="B12" t="s">
        <v>590</v>
      </c>
      <c r="C12" s="39">
        <v>1</v>
      </c>
    </row>
    <row r="13" spans="1:3" x14ac:dyDescent="0.15">
      <c r="A13">
        <f t="shared" si="0"/>
        <v>1137</v>
      </c>
      <c r="B13" t="s">
        <v>171</v>
      </c>
      <c r="C13" s="39">
        <v>1</v>
      </c>
    </row>
    <row r="14" spans="1:3" x14ac:dyDescent="0.15">
      <c r="A14">
        <f t="shared" si="0"/>
        <v>747</v>
      </c>
      <c r="B14" t="s">
        <v>591</v>
      </c>
      <c r="C14" s="39">
        <v>1</v>
      </c>
    </row>
    <row r="15" spans="1:3" x14ac:dyDescent="0.15">
      <c r="A15">
        <f t="shared" si="0"/>
        <v>756</v>
      </c>
      <c r="B15" t="s">
        <v>592</v>
      </c>
      <c r="C15" s="39">
        <v>1</v>
      </c>
    </row>
    <row r="16" spans="1:3" x14ac:dyDescent="0.15">
      <c r="A16">
        <f t="shared" si="0"/>
        <v>1364</v>
      </c>
      <c r="B16" t="s">
        <v>209</v>
      </c>
      <c r="C16" s="39">
        <v>1</v>
      </c>
    </row>
    <row r="17" spans="1:3" x14ac:dyDescent="0.15">
      <c r="A17">
        <f t="shared" si="0"/>
        <v>567</v>
      </c>
      <c r="B17" t="s">
        <v>593</v>
      </c>
      <c r="C17" s="39">
        <v>1</v>
      </c>
    </row>
    <row r="18" spans="1:3" x14ac:dyDescent="0.15">
      <c r="A18">
        <f t="shared" si="0"/>
        <v>415</v>
      </c>
      <c r="B18" t="s">
        <v>594</v>
      </c>
      <c r="C18" s="39">
        <v>1</v>
      </c>
    </row>
    <row r="19" spans="1:3" x14ac:dyDescent="0.15">
      <c r="A19">
        <f t="shared" si="0"/>
        <v>1375</v>
      </c>
      <c r="B19" t="s">
        <v>595</v>
      </c>
      <c r="C19" s="39">
        <v>1</v>
      </c>
    </row>
    <row r="20" spans="1:3" x14ac:dyDescent="0.15">
      <c r="A20">
        <f t="shared" si="0"/>
        <v>1129</v>
      </c>
      <c r="B20" t="s">
        <v>596</v>
      </c>
      <c r="C20" s="39">
        <v>2</v>
      </c>
    </row>
    <row r="21" spans="1:3" x14ac:dyDescent="0.15">
      <c r="A21">
        <f t="shared" si="0"/>
        <v>1339</v>
      </c>
      <c r="B21" t="s">
        <v>597</v>
      </c>
      <c r="C21" s="39">
        <v>2</v>
      </c>
    </row>
    <row r="22" spans="1:3" x14ac:dyDescent="0.15">
      <c r="A22">
        <f t="shared" si="0"/>
        <v>1237</v>
      </c>
      <c r="B22" t="s">
        <v>598</v>
      </c>
      <c r="C22" s="39">
        <v>2</v>
      </c>
    </row>
    <row r="23" spans="1:3" x14ac:dyDescent="0.15">
      <c r="A23">
        <f t="shared" si="0"/>
        <v>468</v>
      </c>
      <c r="B23" t="s">
        <v>599</v>
      </c>
      <c r="C23" s="39">
        <v>2</v>
      </c>
    </row>
    <row r="24" spans="1:3" x14ac:dyDescent="0.15">
      <c r="A24">
        <f t="shared" si="0"/>
        <v>1107</v>
      </c>
      <c r="B24" t="s">
        <v>600</v>
      </c>
      <c r="C24" s="39">
        <v>2</v>
      </c>
    </row>
    <row r="25" spans="1:3" x14ac:dyDescent="0.15">
      <c r="A25">
        <f t="shared" si="0"/>
        <v>846</v>
      </c>
      <c r="B25" t="s">
        <v>601</v>
      </c>
      <c r="C25" s="39">
        <v>2</v>
      </c>
    </row>
    <row r="26" spans="1:3" x14ac:dyDescent="0.15">
      <c r="A26">
        <f t="shared" si="0"/>
        <v>1152</v>
      </c>
      <c r="B26" t="s">
        <v>602</v>
      </c>
      <c r="C26" s="39">
        <v>2</v>
      </c>
    </row>
    <row r="27" spans="1:3" x14ac:dyDescent="0.15">
      <c r="A27">
        <f t="shared" si="0"/>
        <v>203</v>
      </c>
      <c r="B27" t="s">
        <v>603</v>
      </c>
      <c r="C27" s="39">
        <v>3</v>
      </c>
    </row>
    <row r="28" spans="1:3" x14ac:dyDescent="0.15">
      <c r="A28">
        <f t="shared" si="0"/>
        <v>1355</v>
      </c>
      <c r="B28" t="s">
        <v>604</v>
      </c>
      <c r="C28" s="39">
        <v>3</v>
      </c>
    </row>
    <row r="29" spans="1:3" x14ac:dyDescent="0.15">
      <c r="A29">
        <f t="shared" si="0"/>
        <v>704</v>
      </c>
      <c r="B29" t="s">
        <v>605</v>
      </c>
      <c r="C29" s="39">
        <v>3</v>
      </c>
    </row>
    <row r="30" spans="1:3" x14ac:dyDescent="0.15">
      <c r="A30">
        <f t="shared" si="0"/>
        <v>23</v>
      </c>
      <c r="B30" t="s">
        <v>606</v>
      </c>
      <c r="C30" s="39">
        <v>3</v>
      </c>
    </row>
    <row r="31" spans="1:3" x14ac:dyDescent="0.15">
      <c r="A31">
        <f t="shared" si="0"/>
        <v>1112</v>
      </c>
      <c r="B31" t="s">
        <v>607</v>
      </c>
      <c r="C31" s="39">
        <v>3</v>
      </c>
    </row>
    <row r="32" spans="1:3" x14ac:dyDescent="0.15">
      <c r="A32">
        <f t="shared" si="0"/>
        <v>1024</v>
      </c>
      <c r="B32" t="s">
        <v>608</v>
      </c>
      <c r="C32" s="39">
        <v>3</v>
      </c>
    </row>
    <row r="33" spans="1:3" x14ac:dyDescent="0.15">
      <c r="A33">
        <f t="shared" si="0"/>
        <v>532</v>
      </c>
      <c r="B33" t="s">
        <v>609</v>
      </c>
      <c r="C33" s="39">
        <v>3</v>
      </c>
    </row>
    <row r="34" spans="1:3" x14ac:dyDescent="0.15">
      <c r="A34">
        <f t="shared" ref="A34:A65" si="1">IF(ISBLANK(B34),"",_xlfn.XLOOKUP(B34,ClubNames,ClubNumbers))</f>
        <v>616</v>
      </c>
      <c r="B34" t="s">
        <v>610</v>
      </c>
      <c r="C34" s="39">
        <v>3</v>
      </c>
    </row>
    <row r="35" spans="1:3" x14ac:dyDescent="0.15">
      <c r="A35">
        <f t="shared" si="1"/>
        <v>1194</v>
      </c>
      <c r="B35" t="s">
        <v>611</v>
      </c>
      <c r="C35" s="39">
        <v>4</v>
      </c>
    </row>
    <row r="36" spans="1:3" x14ac:dyDescent="0.15">
      <c r="A36">
        <f t="shared" si="1"/>
        <v>1048</v>
      </c>
      <c r="B36" t="s">
        <v>612</v>
      </c>
      <c r="C36" s="39">
        <v>4</v>
      </c>
    </row>
    <row r="37" spans="1:3" x14ac:dyDescent="0.15">
      <c r="A37">
        <f t="shared" si="1"/>
        <v>1195</v>
      </c>
      <c r="B37" t="s">
        <v>613</v>
      </c>
      <c r="C37" s="39">
        <v>4</v>
      </c>
    </row>
    <row r="38" spans="1:3" x14ac:dyDescent="0.15">
      <c r="A38">
        <f t="shared" si="1"/>
        <v>1298</v>
      </c>
      <c r="B38" t="s">
        <v>614</v>
      </c>
      <c r="C38" s="39">
        <v>4</v>
      </c>
    </row>
    <row r="39" spans="1:3" x14ac:dyDescent="0.15">
      <c r="A39">
        <f t="shared" si="1"/>
        <v>1332</v>
      </c>
      <c r="B39" t="s">
        <v>615</v>
      </c>
      <c r="C39" s="39">
        <v>4</v>
      </c>
    </row>
    <row r="40" spans="1:3" x14ac:dyDescent="0.15">
      <c r="A40">
        <f t="shared" si="1"/>
        <v>1377</v>
      </c>
      <c r="B40" t="s">
        <v>616</v>
      </c>
      <c r="C40" s="39">
        <v>4</v>
      </c>
    </row>
    <row r="41" spans="1:3" x14ac:dyDescent="0.15">
      <c r="A41">
        <f t="shared" si="1"/>
        <v>1193</v>
      </c>
      <c r="B41" t="s">
        <v>617</v>
      </c>
      <c r="C41" s="39">
        <v>4</v>
      </c>
    </row>
    <row r="42" spans="1:3" x14ac:dyDescent="0.15">
      <c r="A42">
        <f t="shared" si="1"/>
        <v>1244</v>
      </c>
      <c r="B42" t="s">
        <v>618</v>
      </c>
      <c r="C42" s="39">
        <v>4</v>
      </c>
    </row>
    <row r="43" spans="1:3" x14ac:dyDescent="0.15">
      <c r="A43">
        <f t="shared" si="1"/>
        <v>38</v>
      </c>
      <c r="B43" t="s">
        <v>619</v>
      </c>
      <c r="C43" s="39" t="s">
        <v>580</v>
      </c>
    </row>
    <row r="44" spans="1:3" x14ac:dyDescent="0.15">
      <c r="A44">
        <f t="shared" si="1"/>
        <v>967</v>
      </c>
      <c r="B44" t="s">
        <v>620</v>
      </c>
      <c r="C44" s="39">
        <v>1</v>
      </c>
    </row>
    <row r="45" spans="1:3" x14ac:dyDescent="0.15">
      <c r="A45">
        <f t="shared" si="1"/>
        <v>1242</v>
      </c>
      <c r="B45" t="s">
        <v>621</v>
      </c>
      <c r="C45" s="39">
        <v>2</v>
      </c>
    </row>
    <row r="46" spans="1:3" x14ac:dyDescent="0.15">
      <c r="A46">
        <f t="shared" si="1"/>
        <v>1135</v>
      </c>
      <c r="B46" t="s">
        <v>622</v>
      </c>
      <c r="C46" s="39">
        <v>2</v>
      </c>
    </row>
    <row r="47" spans="1:3" x14ac:dyDescent="0.15">
      <c r="A47">
        <f t="shared" si="1"/>
        <v>715</v>
      </c>
      <c r="B47" t="s">
        <v>623</v>
      </c>
      <c r="C47" s="39">
        <v>3</v>
      </c>
    </row>
    <row r="48" spans="1:3" x14ac:dyDescent="0.15">
      <c r="A48">
        <f t="shared" si="1"/>
        <v>1254</v>
      </c>
      <c r="B48" t="s">
        <v>624</v>
      </c>
      <c r="C48" s="39">
        <v>3</v>
      </c>
    </row>
    <row r="49" spans="1:3" x14ac:dyDescent="0.15">
      <c r="A49">
        <f t="shared" si="1"/>
        <v>1385</v>
      </c>
      <c r="B49" t="s">
        <v>213</v>
      </c>
      <c r="C49" s="39">
        <v>3</v>
      </c>
    </row>
    <row r="50" spans="1:3" x14ac:dyDescent="0.15">
      <c r="A50">
        <f t="shared" si="1"/>
        <v>7</v>
      </c>
      <c r="B50" t="s">
        <v>625</v>
      </c>
      <c r="C50" s="39">
        <v>4</v>
      </c>
    </row>
    <row r="51" spans="1:3" x14ac:dyDescent="0.15">
      <c r="A51" t="str">
        <f t="shared" si="1"/>
        <v/>
      </c>
    </row>
    <row r="52" spans="1:3" x14ac:dyDescent="0.15">
      <c r="A52" t="str">
        <f t="shared" si="1"/>
        <v/>
      </c>
    </row>
    <row r="53" spans="1:3" x14ac:dyDescent="0.15">
      <c r="A53" t="str">
        <f t="shared" si="1"/>
        <v/>
      </c>
    </row>
    <row r="54" spans="1:3" x14ac:dyDescent="0.15">
      <c r="A54" t="str">
        <f t="shared" si="1"/>
        <v/>
      </c>
    </row>
    <row r="55" spans="1:3" x14ac:dyDescent="0.15">
      <c r="A55" t="str">
        <f t="shared" si="1"/>
        <v/>
      </c>
    </row>
    <row r="56" spans="1:3" x14ac:dyDescent="0.15">
      <c r="A56" t="str">
        <f t="shared" si="1"/>
        <v/>
      </c>
    </row>
    <row r="57" spans="1:3" x14ac:dyDescent="0.15">
      <c r="A57" t="str">
        <f t="shared" si="1"/>
        <v/>
      </c>
    </row>
    <row r="58" spans="1:3" x14ac:dyDescent="0.15">
      <c r="A58" t="str">
        <f t="shared" si="1"/>
        <v/>
      </c>
    </row>
    <row r="59" spans="1:3" x14ac:dyDescent="0.15">
      <c r="A59" t="str">
        <f t="shared" si="1"/>
        <v/>
      </c>
    </row>
    <row r="60" spans="1:3" x14ac:dyDescent="0.15">
      <c r="A60" t="str">
        <f t="shared" si="1"/>
        <v/>
      </c>
    </row>
    <row r="61" spans="1:3" x14ac:dyDescent="0.15">
      <c r="A61" t="str">
        <f t="shared" si="1"/>
        <v/>
      </c>
    </row>
    <row r="62" spans="1:3" x14ac:dyDescent="0.15">
      <c r="A62" t="str">
        <f t="shared" si="1"/>
        <v/>
      </c>
    </row>
    <row r="63" spans="1:3" x14ac:dyDescent="0.15">
      <c r="A63" t="str">
        <f t="shared" si="1"/>
        <v/>
      </c>
    </row>
    <row r="64" spans="1:3" x14ac:dyDescent="0.15">
      <c r="A64" t="str">
        <f t="shared" si="1"/>
        <v/>
      </c>
    </row>
    <row r="65" spans="1:1" x14ac:dyDescent="0.15">
      <c r="A65" t="str">
        <f t="shared" si="1"/>
        <v/>
      </c>
    </row>
    <row r="66" spans="1:1" x14ac:dyDescent="0.15">
      <c r="A66" t="str">
        <f t="shared" ref="A66:A97" si="2">IF(ISBLANK(B66),"",_xlfn.XLOOKUP(B66,ClubNames,ClubNumbers))</f>
        <v/>
      </c>
    </row>
    <row r="67" spans="1:1" x14ac:dyDescent="0.15">
      <c r="A67" t="str">
        <f t="shared" si="2"/>
        <v/>
      </c>
    </row>
    <row r="68" spans="1:1" x14ac:dyDescent="0.15">
      <c r="A68" t="str">
        <f t="shared" si="2"/>
        <v/>
      </c>
    </row>
    <row r="69" spans="1:1" x14ac:dyDescent="0.15">
      <c r="A69" t="str">
        <f t="shared" si="2"/>
        <v/>
      </c>
    </row>
    <row r="70" spans="1:1" x14ac:dyDescent="0.15">
      <c r="A70" t="str">
        <f t="shared" si="2"/>
        <v/>
      </c>
    </row>
    <row r="71" spans="1:1" x14ac:dyDescent="0.15">
      <c r="A71" t="str">
        <f t="shared" si="2"/>
        <v/>
      </c>
    </row>
    <row r="72" spans="1:1" x14ac:dyDescent="0.15">
      <c r="A72" t="str">
        <f t="shared" si="2"/>
        <v/>
      </c>
    </row>
    <row r="73" spans="1:1" x14ac:dyDescent="0.15">
      <c r="A73" t="str">
        <f t="shared" si="2"/>
        <v/>
      </c>
    </row>
    <row r="74" spans="1:1" x14ac:dyDescent="0.15">
      <c r="A74" t="str">
        <f t="shared" si="2"/>
        <v/>
      </c>
    </row>
    <row r="75" spans="1:1" x14ac:dyDescent="0.15">
      <c r="A75" t="str">
        <f t="shared" si="2"/>
        <v/>
      </c>
    </row>
    <row r="76" spans="1:1" x14ac:dyDescent="0.15">
      <c r="A76" t="str">
        <f t="shared" si="2"/>
        <v/>
      </c>
    </row>
    <row r="77" spans="1:1" x14ac:dyDescent="0.15">
      <c r="A77" t="str">
        <f t="shared" si="2"/>
        <v/>
      </c>
    </row>
    <row r="78" spans="1:1" x14ac:dyDescent="0.15">
      <c r="A78" t="str">
        <f t="shared" si="2"/>
        <v/>
      </c>
    </row>
    <row r="79" spans="1:1" x14ac:dyDescent="0.15">
      <c r="A79" t="str">
        <f t="shared" si="2"/>
        <v/>
      </c>
    </row>
    <row r="80" spans="1:1" x14ac:dyDescent="0.15">
      <c r="A80" t="str">
        <f t="shared" si="2"/>
        <v/>
      </c>
    </row>
    <row r="81" spans="1:1" x14ac:dyDescent="0.15">
      <c r="A81" t="str">
        <f t="shared" si="2"/>
        <v/>
      </c>
    </row>
    <row r="82" spans="1:1" x14ac:dyDescent="0.15">
      <c r="A82" t="str">
        <f t="shared" si="2"/>
        <v/>
      </c>
    </row>
    <row r="83" spans="1:1" x14ac:dyDescent="0.15">
      <c r="A83" t="str">
        <f t="shared" si="2"/>
        <v/>
      </c>
    </row>
    <row r="84" spans="1:1" x14ac:dyDescent="0.15">
      <c r="A84" t="str">
        <f t="shared" si="2"/>
        <v/>
      </c>
    </row>
    <row r="85" spans="1:1" x14ac:dyDescent="0.15">
      <c r="A85" t="str">
        <f t="shared" si="2"/>
        <v/>
      </c>
    </row>
    <row r="86" spans="1:1" x14ac:dyDescent="0.15">
      <c r="A86" t="str">
        <f t="shared" si="2"/>
        <v/>
      </c>
    </row>
    <row r="87" spans="1:1" x14ac:dyDescent="0.15">
      <c r="A87" t="str">
        <f t="shared" si="2"/>
        <v/>
      </c>
    </row>
    <row r="88" spans="1:1" x14ac:dyDescent="0.15">
      <c r="A88" t="str">
        <f t="shared" si="2"/>
        <v/>
      </c>
    </row>
    <row r="89" spans="1:1" x14ac:dyDescent="0.15">
      <c r="A89" t="str">
        <f t="shared" si="2"/>
        <v/>
      </c>
    </row>
    <row r="90" spans="1:1" x14ac:dyDescent="0.15">
      <c r="A90" t="str">
        <f t="shared" si="2"/>
        <v/>
      </c>
    </row>
    <row r="91" spans="1:1" x14ac:dyDescent="0.15">
      <c r="A91" t="str">
        <f t="shared" si="2"/>
        <v/>
      </c>
    </row>
    <row r="92" spans="1:1" x14ac:dyDescent="0.15">
      <c r="A92" t="str">
        <f t="shared" si="2"/>
        <v/>
      </c>
    </row>
    <row r="93" spans="1:1" x14ac:dyDescent="0.15">
      <c r="A93" t="str">
        <f t="shared" si="2"/>
        <v/>
      </c>
    </row>
    <row r="94" spans="1:1" x14ac:dyDescent="0.15">
      <c r="A94" t="str">
        <f t="shared" si="2"/>
        <v/>
      </c>
    </row>
    <row r="95" spans="1:1" x14ac:dyDescent="0.15">
      <c r="A95" t="str">
        <f t="shared" si="2"/>
        <v/>
      </c>
    </row>
    <row r="96" spans="1:1" x14ac:dyDescent="0.15">
      <c r="A96" t="str">
        <f t="shared" si="2"/>
        <v/>
      </c>
    </row>
    <row r="97" spans="1:1" x14ac:dyDescent="0.15">
      <c r="A97" t="str">
        <f t="shared" si="2"/>
        <v/>
      </c>
    </row>
    <row r="98" spans="1:1" x14ac:dyDescent="0.15">
      <c r="A98" t="str">
        <f t="shared" ref="A98:A101" si="3">IF(ISBLANK(B98),"",_xlfn.XLOOKUP(B98,ClubNames,ClubNumbers))</f>
        <v/>
      </c>
    </row>
    <row r="99" spans="1:1" x14ac:dyDescent="0.15">
      <c r="A99" t="str">
        <f t="shared" si="3"/>
        <v/>
      </c>
    </row>
    <row r="100" spans="1:1" x14ac:dyDescent="0.15">
      <c r="A100" t="str">
        <f t="shared" si="3"/>
        <v/>
      </c>
    </row>
    <row r="101" spans="1:1" x14ac:dyDescent="0.15">
      <c r="A101" t="str">
        <f t="shared" si="3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5F79-6298-4F61-B288-C13971DDDA3A}">
  <sheetPr codeName="Sheet49"/>
  <dimension ref="A1:J89"/>
  <sheetViews>
    <sheetView topLeftCell="K1" workbookViewId="0">
      <selection activeCell="A33" sqref="A33"/>
    </sheetView>
  </sheetViews>
  <sheetFormatPr defaultRowHeight="12.75" x14ac:dyDescent="0.15"/>
  <cols>
    <col min="1" max="1" width="24.8125" customWidth="1"/>
    <col min="2" max="2" width="19.1484375" customWidth="1"/>
    <col min="3" max="3" width="25.62109375" bestFit="1" customWidth="1"/>
  </cols>
  <sheetData>
    <row r="1" spans="1:10" s="37" customFormat="1" x14ac:dyDescent="0.15">
      <c r="A1" s="37" t="s">
        <v>114</v>
      </c>
      <c r="B1" s="37" t="s">
        <v>115</v>
      </c>
      <c r="C1" s="37" t="s">
        <v>638</v>
      </c>
      <c r="D1" s="37" t="s">
        <v>290</v>
      </c>
    </row>
    <row r="2" spans="1:10" ht="15" x14ac:dyDescent="0.2">
      <c r="A2" t="s">
        <v>116</v>
      </c>
      <c r="B2" t="s">
        <v>117</v>
      </c>
      <c r="C2" s="41" t="str">
        <f t="shared" ref="C2:C57" si="0">IF(ISBLANK(B2), IF(ISBLANK(A2),"",A2), _xlfn.CONCAT(A2," (",B2,")"))</f>
        <v>Carl Dyson (Aerologic)</v>
      </c>
      <c r="H2" t="s">
        <v>164</v>
      </c>
      <c r="J2" s="41"/>
    </row>
    <row r="3" spans="1:10" ht="15" x14ac:dyDescent="0.2">
      <c r="A3" t="s">
        <v>118</v>
      </c>
      <c r="B3" t="s">
        <v>119</v>
      </c>
      <c r="C3" s="41" t="str">
        <f t="shared" si="0"/>
        <v>Tommy Nolan (Ashby ICC)</v>
      </c>
      <c r="H3" t="s">
        <v>165</v>
      </c>
      <c r="J3" s="41"/>
    </row>
    <row r="4" spans="1:10" ht="15" x14ac:dyDescent="0.2">
      <c r="A4" t="s">
        <v>670</v>
      </c>
      <c r="B4" t="s">
        <v>120</v>
      </c>
      <c r="C4" s="41" t="str">
        <f t="shared" si="0"/>
        <v>Jayne Mumford (W) (Cov Tri)</v>
      </c>
      <c r="D4" t="s">
        <v>15</v>
      </c>
      <c r="H4" t="s">
        <v>243</v>
      </c>
      <c r="J4" s="41"/>
    </row>
    <row r="5" spans="1:10" ht="15" x14ac:dyDescent="0.2">
      <c r="A5" t="s">
        <v>121</v>
      </c>
      <c r="B5" t="s">
        <v>120</v>
      </c>
      <c r="C5" s="41" t="str">
        <f t="shared" si="0"/>
        <v>Simon Clarke (Cov Tri)</v>
      </c>
    </row>
    <row r="6" spans="1:10" ht="15" x14ac:dyDescent="0.2">
      <c r="A6" t="s">
        <v>253</v>
      </c>
      <c r="B6" t="s">
        <v>660</v>
      </c>
      <c r="C6" s="41" t="str">
        <f t="shared" si="0"/>
        <v>Andy Thomas (HCRC)</v>
      </c>
    </row>
    <row r="7" spans="1:10" ht="15" x14ac:dyDescent="0.2">
      <c r="A7" t="s">
        <v>665</v>
      </c>
      <c r="B7" t="s">
        <v>660</v>
      </c>
      <c r="C7" s="41" t="str">
        <f t="shared" si="0"/>
        <v>Colin Parkinson (SWRC) (HCRC)</v>
      </c>
    </row>
    <row r="8" spans="1:10" ht="15" x14ac:dyDescent="0.2">
      <c r="A8" t="s">
        <v>662</v>
      </c>
      <c r="B8" t="s">
        <v>660</v>
      </c>
      <c r="C8" s="41" t="str">
        <f t="shared" si="0"/>
        <v>Joe Murray (M I Racing) (HCRC)</v>
      </c>
    </row>
    <row r="9" spans="1:10" ht="15" x14ac:dyDescent="0.2">
      <c r="A9" t="s">
        <v>666</v>
      </c>
      <c r="B9" t="s">
        <v>660</v>
      </c>
      <c r="C9" s="41" t="str">
        <f t="shared" si="0"/>
        <v>Mick Wills (M I Racing) (HCRC)</v>
      </c>
    </row>
    <row r="10" spans="1:10" ht="15" x14ac:dyDescent="0.2">
      <c r="A10" t="s">
        <v>236</v>
      </c>
      <c r="B10" t="s">
        <v>123</v>
      </c>
      <c r="C10" s="41" t="str">
        <f t="shared" si="0"/>
        <v>Andy King (KCC)</v>
      </c>
    </row>
    <row r="11" spans="1:10" ht="15" x14ac:dyDescent="0.2">
      <c r="A11" t="s">
        <v>122</v>
      </c>
      <c r="B11" t="s">
        <v>123</v>
      </c>
      <c r="C11" s="41" t="str">
        <f t="shared" si="0"/>
        <v>Evan Collett Jnr (KCC)</v>
      </c>
    </row>
    <row r="12" spans="1:10" ht="15" x14ac:dyDescent="0.2">
      <c r="A12" t="s">
        <v>235</v>
      </c>
      <c r="B12" t="s">
        <v>123</v>
      </c>
      <c r="C12" s="41" t="str">
        <f t="shared" si="0"/>
        <v>Josh Brown (KCC)</v>
      </c>
    </row>
    <row r="13" spans="1:10" ht="15" x14ac:dyDescent="0.2">
      <c r="A13" t="s">
        <v>124</v>
      </c>
      <c r="B13" t="s">
        <v>125</v>
      </c>
      <c r="C13" s="41" t="str">
        <f t="shared" si="0"/>
        <v>Harriet Hughes (LFCC)</v>
      </c>
      <c r="D13" t="s">
        <v>15</v>
      </c>
    </row>
    <row r="14" spans="1:10" ht="15" x14ac:dyDescent="0.2">
      <c r="A14" t="s">
        <v>126</v>
      </c>
      <c r="B14" t="s">
        <v>125</v>
      </c>
      <c r="C14" s="41" t="str">
        <f t="shared" si="0"/>
        <v>Mat Mabe (LFCC)</v>
      </c>
    </row>
    <row r="15" spans="1:10" ht="15" x14ac:dyDescent="0.2">
      <c r="A15" t="s">
        <v>127</v>
      </c>
      <c r="B15" t="s">
        <v>125</v>
      </c>
      <c r="C15" s="41" t="str">
        <f t="shared" si="0"/>
        <v>Matt Finch (LFCC)</v>
      </c>
    </row>
    <row r="16" spans="1:10" ht="15" x14ac:dyDescent="0.2">
      <c r="A16" t="s">
        <v>128</v>
      </c>
      <c r="B16" t="s">
        <v>125</v>
      </c>
      <c r="C16" s="41" t="str">
        <f t="shared" si="0"/>
        <v>Morris Mabe (LFCC)</v>
      </c>
    </row>
    <row r="17" spans="1:4" ht="15" x14ac:dyDescent="0.2">
      <c r="A17" t="s">
        <v>129</v>
      </c>
      <c r="B17" t="s">
        <v>125</v>
      </c>
      <c r="C17" s="41" t="str">
        <f t="shared" si="0"/>
        <v>Sam Nettel (LFCC)</v>
      </c>
    </row>
    <row r="18" spans="1:4" ht="15" x14ac:dyDescent="0.2">
      <c r="A18" t="s">
        <v>130</v>
      </c>
      <c r="B18" t="s">
        <v>125</v>
      </c>
      <c r="C18" s="41" t="str">
        <f t="shared" si="0"/>
        <v>Talles Medevives (LFCC)</v>
      </c>
    </row>
    <row r="19" spans="1:4" ht="15" x14ac:dyDescent="0.2">
      <c r="A19" t="s">
        <v>131</v>
      </c>
      <c r="B19" t="s">
        <v>132</v>
      </c>
      <c r="C19" s="41" t="str">
        <f t="shared" si="0"/>
        <v>Dean Tacey (LRC)</v>
      </c>
    </row>
    <row r="20" spans="1:4" ht="15" x14ac:dyDescent="0.2">
      <c r="A20" t="s">
        <v>133</v>
      </c>
      <c r="B20" t="s">
        <v>134</v>
      </c>
      <c r="C20" s="41" t="str">
        <f t="shared" si="0"/>
        <v>Chris Booth (MOCC)</v>
      </c>
    </row>
    <row r="21" spans="1:4" ht="15" x14ac:dyDescent="0.2">
      <c r="A21" t="s">
        <v>135</v>
      </c>
      <c r="B21" t="s">
        <v>134</v>
      </c>
      <c r="C21" s="41" t="str">
        <f t="shared" si="0"/>
        <v>David Cooper (MOCC)</v>
      </c>
    </row>
    <row r="22" spans="1:4" ht="15" x14ac:dyDescent="0.2">
      <c r="A22" t="s">
        <v>136</v>
      </c>
      <c r="B22" t="s">
        <v>134</v>
      </c>
      <c r="C22" s="41" t="str">
        <f t="shared" si="0"/>
        <v>Jamie Haines (MOCC)</v>
      </c>
    </row>
    <row r="23" spans="1:4" ht="15" x14ac:dyDescent="0.2">
      <c r="A23" t="s">
        <v>671</v>
      </c>
      <c r="B23" t="s">
        <v>134</v>
      </c>
      <c r="C23" s="41" t="str">
        <f t="shared" si="0"/>
        <v>Laura Ayers (W) (MOCC)</v>
      </c>
      <c r="D23" t="s">
        <v>15</v>
      </c>
    </row>
    <row r="24" spans="1:4" ht="15" x14ac:dyDescent="0.2">
      <c r="A24" t="s">
        <v>226</v>
      </c>
      <c r="B24" t="s">
        <v>669</v>
      </c>
      <c r="C24" s="41" t="str">
        <f t="shared" si="0"/>
        <v>Ed Tarelli (Race Hub)</v>
      </c>
      <c r="D24" s="41"/>
    </row>
    <row r="25" spans="1:4" ht="15" x14ac:dyDescent="0.2">
      <c r="A25" t="s">
        <v>137</v>
      </c>
      <c r="B25" t="s">
        <v>138</v>
      </c>
      <c r="C25" s="41" t="str">
        <f t="shared" si="0"/>
        <v>Lewis Cooper (RAF Tri)</v>
      </c>
    </row>
    <row r="26" spans="1:4" ht="15" x14ac:dyDescent="0.2">
      <c r="A26" t="s">
        <v>139</v>
      </c>
      <c r="B26" t="s">
        <v>664</v>
      </c>
      <c r="C26" s="41" t="str">
        <f t="shared" si="0"/>
        <v>Alex Whitmore (Ratae)</v>
      </c>
    </row>
    <row r="27" spans="1:4" ht="15" x14ac:dyDescent="0.2">
      <c r="A27" t="s">
        <v>140</v>
      </c>
      <c r="B27" t="s">
        <v>664</v>
      </c>
      <c r="C27" s="41" t="str">
        <f t="shared" si="0"/>
        <v>Brian Lincoln (Ratae)</v>
      </c>
    </row>
    <row r="28" spans="1:4" ht="15" x14ac:dyDescent="0.2">
      <c r="A28" t="s">
        <v>141</v>
      </c>
      <c r="B28" t="s">
        <v>664</v>
      </c>
      <c r="C28" s="41" t="str">
        <f t="shared" si="0"/>
        <v>Chris Bonsor (Ratae)</v>
      </c>
    </row>
    <row r="29" spans="1:4" ht="15" x14ac:dyDescent="0.2">
      <c r="A29" t="s">
        <v>142</v>
      </c>
      <c r="B29" t="s">
        <v>664</v>
      </c>
      <c r="C29" s="41" t="str">
        <f t="shared" si="0"/>
        <v>Chris Spray (Ratae)</v>
      </c>
    </row>
    <row r="30" spans="1:4" ht="15" x14ac:dyDescent="0.2">
      <c r="A30" t="s">
        <v>264</v>
      </c>
      <c r="B30" t="s">
        <v>664</v>
      </c>
      <c r="C30" s="41" t="str">
        <f t="shared" si="0"/>
        <v>Debbie Cooper (Ratae)</v>
      </c>
      <c r="D30" t="s">
        <v>15</v>
      </c>
    </row>
    <row r="31" spans="1:4" ht="15" x14ac:dyDescent="0.2">
      <c r="A31" t="s">
        <v>143</v>
      </c>
      <c r="B31" t="s">
        <v>664</v>
      </c>
      <c r="C31" s="41" t="str">
        <f t="shared" si="0"/>
        <v>Ed Watson (Ratae)</v>
      </c>
    </row>
    <row r="32" spans="1:4" ht="15" x14ac:dyDescent="0.2">
      <c r="A32" t="s">
        <v>246</v>
      </c>
      <c r="B32" t="s">
        <v>664</v>
      </c>
      <c r="C32" s="41" t="str">
        <f t="shared" si="0"/>
        <v>Jonathon Clarke (Ratae)</v>
      </c>
      <c r="D32" s="41"/>
    </row>
    <row r="33" spans="1:4" ht="15" x14ac:dyDescent="0.2">
      <c r="A33" t="s">
        <v>263</v>
      </c>
      <c r="B33" t="s">
        <v>664</v>
      </c>
      <c r="C33" s="41" t="str">
        <f t="shared" si="0"/>
        <v>Lucy Sturgess (Ratae)</v>
      </c>
      <c r="D33" t="s">
        <v>15</v>
      </c>
    </row>
    <row r="34" spans="1:4" ht="15" x14ac:dyDescent="0.2">
      <c r="A34" t="s">
        <v>144</v>
      </c>
      <c r="B34" t="s">
        <v>664</v>
      </c>
      <c r="C34" s="41" t="str">
        <f t="shared" si="0"/>
        <v>Mark Marmoy (Ratae)</v>
      </c>
    </row>
    <row r="35" spans="1:4" ht="15" x14ac:dyDescent="0.2">
      <c r="A35" t="s">
        <v>145</v>
      </c>
      <c r="B35" t="s">
        <v>664</v>
      </c>
      <c r="C35" s="41" t="str">
        <f t="shared" si="0"/>
        <v>Mark Newton (Ratae)</v>
      </c>
    </row>
    <row r="36" spans="1:4" ht="15" x14ac:dyDescent="0.2">
      <c r="A36" t="s">
        <v>146</v>
      </c>
      <c r="B36" t="s">
        <v>664</v>
      </c>
      <c r="C36" s="41" t="str">
        <f t="shared" si="0"/>
        <v>Marshall Briggs (Ratae)</v>
      </c>
    </row>
    <row r="37" spans="1:4" ht="15" x14ac:dyDescent="0.2">
      <c r="A37" t="s">
        <v>147</v>
      </c>
      <c r="B37" t="s">
        <v>664</v>
      </c>
      <c r="C37" s="41" t="str">
        <f t="shared" si="0"/>
        <v>Paul Eden (Ratae)</v>
      </c>
    </row>
    <row r="38" spans="1:4" ht="15" x14ac:dyDescent="0.2">
      <c r="A38" t="s">
        <v>148</v>
      </c>
      <c r="B38" t="s">
        <v>664</v>
      </c>
      <c r="C38" s="41" t="str">
        <f t="shared" si="0"/>
        <v>Sadie Murphy (Ratae)</v>
      </c>
      <c r="D38" t="s">
        <v>15</v>
      </c>
    </row>
    <row r="39" spans="1:4" ht="15" x14ac:dyDescent="0.2">
      <c r="A39" t="s">
        <v>149</v>
      </c>
      <c r="B39" t="s">
        <v>664</v>
      </c>
      <c r="C39" s="41" t="str">
        <f t="shared" si="0"/>
        <v>Steve Pearce (Ratae)</v>
      </c>
    </row>
    <row r="40" spans="1:4" ht="15" x14ac:dyDescent="0.2">
      <c r="A40" t="s">
        <v>150</v>
      </c>
      <c r="B40" t="s">
        <v>151</v>
      </c>
      <c r="C40" s="41" t="str">
        <f t="shared" si="0"/>
        <v>Adam Wells (RFW)</v>
      </c>
    </row>
    <row r="41" spans="1:4" ht="15" x14ac:dyDescent="0.2">
      <c r="A41" t="s">
        <v>152</v>
      </c>
      <c r="B41" t="s">
        <v>151</v>
      </c>
      <c r="C41" s="41" t="str">
        <f t="shared" si="0"/>
        <v>Alex Borrowman (RFW)</v>
      </c>
    </row>
    <row r="42" spans="1:4" ht="15" x14ac:dyDescent="0.2">
      <c r="A42" t="s">
        <v>668</v>
      </c>
      <c r="B42" t="s">
        <v>151</v>
      </c>
      <c r="C42" s="41" t="str">
        <f t="shared" si="0"/>
        <v>Anne Gilhespy (RFW)</v>
      </c>
      <c r="D42" t="s">
        <v>15</v>
      </c>
    </row>
    <row r="43" spans="1:4" ht="15" x14ac:dyDescent="0.2">
      <c r="A43" t="s">
        <v>153</v>
      </c>
      <c r="B43" t="s">
        <v>151</v>
      </c>
      <c r="C43" s="41" t="str">
        <f t="shared" si="0"/>
        <v>Chris Fowler (RFW)</v>
      </c>
    </row>
    <row r="44" spans="1:4" ht="15" x14ac:dyDescent="0.2">
      <c r="A44" t="s">
        <v>667</v>
      </c>
      <c r="B44" t="s">
        <v>151</v>
      </c>
      <c r="C44" s="41" t="str">
        <f t="shared" si="0"/>
        <v>Dan Hempkin (RFW)</v>
      </c>
    </row>
    <row r="45" spans="1:4" ht="15" x14ac:dyDescent="0.2">
      <c r="A45" t="s">
        <v>225</v>
      </c>
      <c r="B45" t="s">
        <v>151</v>
      </c>
      <c r="C45" s="41" t="str">
        <f t="shared" si="0"/>
        <v>David Hill (RFW)</v>
      </c>
    </row>
    <row r="46" spans="1:4" ht="15" x14ac:dyDescent="0.2">
      <c r="A46" t="s">
        <v>154</v>
      </c>
      <c r="B46" t="s">
        <v>151</v>
      </c>
      <c r="C46" s="41" t="str">
        <f t="shared" si="0"/>
        <v>Ethan Mitchell-Clarke (RFW)</v>
      </c>
    </row>
    <row r="47" spans="1:4" ht="15" x14ac:dyDescent="0.2">
      <c r="A47" t="s">
        <v>237</v>
      </c>
      <c r="B47" t="s">
        <v>151</v>
      </c>
      <c r="C47" s="41" t="str">
        <f t="shared" si="0"/>
        <v>Giles Cooper (RFW)</v>
      </c>
    </row>
    <row r="48" spans="1:4" ht="15" x14ac:dyDescent="0.2">
      <c r="A48" t="s">
        <v>241</v>
      </c>
      <c r="B48" t="s">
        <v>151</v>
      </c>
      <c r="C48" s="41" t="str">
        <f t="shared" si="0"/>
        <v>Gregg Payne (RFW)</v>
      </c>
    </row>
    <row r="49" spans="1:4" ht="15" x14ac:dyDescent="0.2">
      <c r="A49" t="s">
        <v>155</v>
      </c>
      <c r="B49" t="s">
        <v>151</v>
      </c>
      <c r="C49" s="41" t="str">
        <f t="shared" si="0"/>
        <v>Lynne Scofield (RFW)</v>
      </c>
      <c r="D49" t="s">
        <v>15</v>
      </c>
    </row>
    <row r="50" spans="1:4" ht="15" x14ac:dyDescent="0.2">
      <c r="A50" t="s">
        <v>156</v>
      </c>
      <c r="B50" t="s">
        <v>151</v>
      </c>
      <c r="C50" s="41" t="str">
        <f t="shared" si="0"/>
        <v>Michael Carter (RFW)</v>
      </c>
    </row>
    <row r="51" spans="1:4" ht="15" x14ac:dyDescent="0.2">
      <c r="A51" t="s">
        <v>147</v>
      </c>
      <c r="B51" t="s">
        <v>151</v>
      </c>
      <c r="C51" s="41" t="str">
        <f t="shared" si="0"/>
        <v>Paul Eden (RFW)</v>
      </c>
    </row>
    <row r="52" spans="1:4" ht="15" x14ac:dyDescent="0.2">
      <c r="A52" t="s">
        <v>244</v>
      </c>
      <c r="B52" t="s">
        <v>151</v>
      </c>
      <c r="C52" s="41" t="str">
        <f t="shared" si="0"/>
        <v>Paul Russell (RFW)</v>
      </c>
    </row>
    <row r="53" spans="1:4" ht="15" x14ac:dyDescent="0.2">
      <c r="A53" t="s">
        <v>242</v>
      </c>
      <c r="B53" t="s">
        <v>151</v>
      </c>
      <c r="C53" s="41" t="str">
        <f t="shared" si="0"/>
        <v>Paul Ryan (RFW)</v>
      </c>
    </row>
    <row r="54" spans="1:4" ht="15" x14ac:dyDescent="0.2">
      <c r="A54" t="s">
        <v>157</v>
      </c>
      <c r="B54" t="s">
        <v>151</v>
      </c>
      <c r="C54" s="41" t="str">
        <f t="shared" si="0"/>
        <v>Phil Wilkinson (RFW)</v>
      </c>
    </row>
    <row r="55" spans="1:4" ht="15" x14ac:dyDescent="0.2">
      <c r="A55" t="s">
        <v>158</v>
      </c>
      <c r="B55" t="s">
        <v>159</v>
      </c>
      <c r="C55" s="41" t="str">
        <f t="shared" si="0"/>
        <v>Adrian James (Rugby RCC)</v>
      </c>
    </row>
    <row r="56" spans="1:4" ht="15" x14ac:dyDescent="0.2">
      <c r="A56" t="s">
        <v>160</v>
      </c>
      <c r="B56" t="s">
        <v>161</v>
      </c>
      <c r="C56" s="41" t="str">
        <f t="shared" si="0"/>
        <v>Carl Shaw (Speedhub)</v>
      </c>
    </row>
    <row r="57" spans="1:4" ht="15" x14ac:dyDescent="0.2">
      <c r="A57" t="s">
        <v>162</v>
      </c>
      <c r="B57" t="s">
        <v>163</v>
      </c>
      <c r="C57" s="41" t="str">
        <f t="shared" si="0"/>
        <v>Oliver Searle (St Ives CC)</v>
      </c>
    </row>
    <row r="61" spans="1:4" ht="15" x14ac:dyDescent="0.2">
      <c r="C61" s="41" t="str">
        <f>IF(ISBLANK(B61), IF(ISBLANK(A61),"",A61), _xlfn.CONCAT(A61," (",B61,")"))</f>
        <v/>
      </c>
    </row>
    <row r="62" spans="1:4" ht="15" x14ac:dyDescent="0.2">
      <c r="C62" s="41" t="str">
        <f t="shared" ref="C62:C88" si="1">IF(ISBLANK(B62), IF(ISBLANK(A62),"",A62), _xlfn.CONCAT(A62," (",B62,")"))</f>
        <v/>
      </c>
    </row>
    <row r="63" spans="1:4" ht="15" x14ac:dyDescent="0.2">
      <c r="C63" s="41" t="str">
        <f t="shared" si="1"/>
        <v/>
      </c>
    </row>
    <row r="64" spans="1:4" ht="15" x14ac:dyDescent="0.2">
      <c r="C64" s="41" t="str">
        <f t="shared" si="1"/>
        <v/>
      </c>
    </row>
    <row r="65" spans="3:3" ht="15" x14ac:dyDescent="0.2">
      <c r="C65" s="41" t="str">
        <f t="shared" si="1"/>
        <v/>
      </c>
    </row>
    <row r="66" spans="3:3" ht="15" x14ac:dyDescent="0.2">
      <c r="C66" s="41" t="str">
        <f t="shared" si="1"/>
        <v/>
      </c>
    </row>
    <row r="67" spans="3:3" ht="15" x14ac:dyDescent="0.2">
      <c r="C67" s="41" t="str">
        <f t="shared" si="1"/>
        <v/>
      </c>
    </row>
    <row r="68" spans="3:3" ht="15" x14ac:dyDescent="0.2">
      <c r="C68" s="41" t="str">
        <f t="shared" si="1"/>
        <v/>
      </c>
    </row>
    <row r="69" spans="3:3" ht="15" x14ac:dyDescent="0.2">
      <c r="C69" s="41" t="str">
        <f t="shared" si="1"/>
        <v/>
      </c>
    </row>
    <row r="70" spans="3:3" ht="15" x14ac:dyDescent="0.2">
      <c r="C70" s="41" t="str">
        <f t="shared" si="1"/>
        <v/>
      </c>
    </row>
    <row r="71" spans="3:3" ht="15" x14ac:dyDescent="0.2">
      <c r="C71" s="41" t="str">
        <f t="shared" si="1"/>
        <v/>
      </c>
    </row>
    <row r="72" spans="3:3" ht="15" x14ac:dyDescent="0.2">
      <c r="C72" s="41" t="str">
        <f t="shared" si="1"/>
        <v/>
      </c>
    </row>
    <row r="73" spans="3:3" ht="15" x14ac:dyDescent="0.2">
      <c r="C73" s="41" t="str">
        <f t="shared" si="1"/>
        <v/>
      </c>
    </row>
    <row r="74" spans="3:3" ht="15" x14ac:dyDescent="0.2">
      <c r="C74" s="41" t="str">
        <f t="shared" si="1"/>
        <v/>
      </c>
    </row>
    <row r="75" spans="3:3" ht="15" x14ac:dyDescent="0.2">
      <c r="C75" s="41" t="str">
        <f t="shared" si="1"/>
        <v/>
      </c>
    </row>
    <row r="76" spans="3:3" ht="15" x14ac:dyDescent="0.2">
      <c r="C76" s="41" t="str">
        <f t="shared" si="1"/>
        <v/>
      </c>
    </row>
    <row r="77" spans="3:3" ht="15" x14ac:dyDescent="0.2">
      <c r="C77" s="41" t="str">
        <f t="shared" si="1"/>
        <v/>
      </c>
    </row>
    <row r="78" spans="3:3" ht="15" x14ac:dyDescent="0.2">
      <c r="C78" s="41" t="str">
        <f t="shared" si="1"/>
        <v/>
      </c>
    </row>
    <row r="79" spans="3:3" ht="15" x14ac:dyDescent="0.2">
      <c r="C79" s="41" t="str">
        <f t="shared" si="1"/>
        <v/>
      </c>
    </row>
    <row r="80" spans="3:3" ht="15" x14ac:dyDescent="0.2">
      <c r="C80" s="41" t="str">
        <f t="shared" si="1"/>
        <v/>
      </c>
    </row>
    <row r="81" spans="3:3" ht="15" x14ac:dyDescent="0.2">
      <c r="C81" s="41" t="str">
        <f t="shared" si="1"/>
        <v/>
      </c>
    </row>
    <row r="82" spans="3:3" ht="15" x14ac:dyDescent="0.2">
      <c r="C82" s="41" t="str">
        <f t="shared" si="1"/>
        <v/>
      </c>
    </row>
    <row r="83" spans="3:3" ht="15" x14ac:dyDescent="0.2">
      <c r="C83" s="41" t="str">
        <f t="shared" si="1"/>
        <v/>
      </c>
    </row>
    <row r="84" spans="3:3" ht="15" x14ac:dyDescent="0.2">
      <c r="C84" s="41" t="str">
        <f t="shared" si="1"/>
        <v/>
      </c>
    </row>
    <row r="85" spans="3:3" ht="15" x14ac:dyDescent="0.2">
      <c r="C85" s="41" t="str">
        <f t="shared" si="1"/>
        <v/>
      </c>
    </row>
    <row r="86" spans="3:3" ht="15" x14ac:dyDescent="0.2">
      <c r="C86" s="41" t="str">
        <f t="shared" si="1"/>
        <v/>
      </c>
    </row>
    <row r="87" spans="3:3" ht="15" x14ac:dyDescent="0.2">
      <c r="C87" s="41" t="str">
        <f t="shared" si="1"/>
        <v/>
      </c>
    </row>
    <row r="88" spans="3:3" ht="15" x14ac:dyDescent="0.2">
      <c r="C88" s="41" t="str">
        <f t="shared" si="1"/>
        <v/>
      </c>
    </row>
    <row r="89" spans="3:3" s="9" customFormat="1" x14ac:dyDescent="0.15"/>
  </sheetData>
  <sortState xmlns:xlrd2="http://schemas.microsoft.com/office/spreadsheetml/2017/richdata2" ref="A2:D57">
    <sortCondition ref="B2:B57"/>
    <sortCondition ref="A2:A57"/>
  </sortState>
  <conditionalFormatting sqref="G2:G4">
    <cfRule type="uniqueValues" dxfId="78" priority="4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6B29-17AE-4AAE-919D-F7F1249F2395}">
  <sheetPr codeName="Sheet32">
    <pageSetUpPr fitToPage="1"/>
  </sheetPr>
  <dimension ref="A1:J104"/>
  <sheetViews>
    <sheetView zoomScale="75" zoomScaleNormal="75" workbookViewId="0">
      <selection activeCell="C25" sqref="C25"/>
    </sheetView>
  </sheetViews>
  <sheetFormatPr defaultColWidth="9.16796875" defaultRowHeight="12.75" x14ac:dyDescent="0.15"/>
  <cols>
    <col min="1" max="1" width="20.49609375" bestFit="1" customWidth="1"/>
    <col min="2" max="3" width="4.71875" customWidth="1"/>
    <col min="4" max="4" width="7.14453125" customWidth="1"/>
    <col min="5" max="6" width="11.0546875" customWidth="1"/>
    <col min="7" max="7" width="30.609375" bestFit="1" customWidth="1"/>
    <col min="8" max="8" width="14.6953125" style="23" bestFit="1" customWidth="1"/>
    <col min="9" max="9" width="19.28125" bestFit="1" customWidth="1"/>
    <col min="10" max="10" width="16.31640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>
        <f t="shared" ref="A2:A33" ca="1" si="0">IF(J2="","",_xlfn.XLOOKUP(J2,ClubNames,ClubNumbers,_xlfn.XLOOKUP(J2,RoundRobinRiderNames,RoundRobinRiderDecoratedNames,J2)))</f>
        <v>1144</v>
      </c>
      <c r="B2" s="17">
        <v>0</v>
      </c>
      <c r="C2" s="18">
        <v>24</v>
      </c>
      <c r="D2" s="18">
        <v>18</v>
      </c>
      <c r="E2" s="18" t="s">
        <v>170</v>
      </c>
      <c r="F2" s="18"/>
      <c r="G2" s="19" t="str">
        <f ca="1">IF($A2="","",IF($I2="X",A2,CONCATENATE(VLOOKUP(A2,Competitors!$A$2:$I$650,3, FALSE)," ",VLOOKUP(A2,Competitors!$A$2:$I$650,2,FALSE))))</f>
        <v>Jamie Kershaw</v>
      </c>
      <c r="H2" s="20">
        <f>IF(LEFT($E2,1)="D",UPPER($E2),(B2*3600+C2*60+D2)/86400)</f>
        <v>1.6875000000000001E-2</v>
      </c>
      <c r="I2" t="str">
        <f ca="1">IF(OR(A2="",ISNUMBER(A2)),"","X")</f>
        <v/>
      </c>
      <c r="J2" s="40" t="s">
        <v>584</v>
      </c>
    </row>
    <row r="3" spans="1:10" ht="14.25" x14ac:dyDescent="0.15">
      <c r="A3" s="17">
        <f t="shared" ca="1" si="0"/>
        <v>407</v>
      </c>
      <c r="B3" s="17">
        <v>0</v>
      </c>
      <c r="C3" s="18">
        <v>24</v>
      </c>
      <c r="D3" s="18">
        <v>53</v>
      </c>
      <c r="E3" s="18"/>
      <c r="F3" s="18"/>
      <c r="G3" s="19" t="str">
        <f ca="1">IF($A3="","",IF($I3="X",A3,CONCATENATE(VLOOKUP(A3,Competitors!$A$2:$I$650,3, FALSE)," ",VLOOKUP(A3,Competitors!$A$2:$I$650,2,FALSE))))</f>
        <v>Hans van Nierop</v>
      </c>
      <c r="H3" s="20">
        <f t="shared" ref="H3:H66" si="1">IF(LEFT($E3,1)="D",UPPER($E3),(B3*3600+C3*60+D3)/86400)</f>
        <v>1.7280092592592593E-2</v>
      </c>
      <c r="I3" t="str">
        <f t="shared" ref="I3:I66" ca="1" si="2">IF(OR(A3="",ISNUMBER(A3)),"","X")</f>
        <v/>
      </c>
      <c r="J3" s="40" t="s">
        <v>583</v>
      </c>
    </row>
    <row r="4" spans="1:10" ht="14.25" x14ac:dyDescent="0.15">
      <c r="A4" s="17">
        <f t="shared" ca="1" si="0"/>
        <v>1364</v>
      </c>
      <c r="B4" s="17">
        <v>0</v>
      </c>
      <c r="C4" s="18">
        <v>26</v>
      </c>
      <c r="D4" s="18">
        <v>1</v>
      </c>
      <c r="E4" s="18"/>
      <c r="F4" s="18"/>
      <c r="G4" s="19" t="str">
        <f ca="1">IF($A4="","",IF($I4="X",A4,CONCATENATE(VLOOKUP(A4,Competitors!$A$2:$I$650,3, FALSE)," ",VLOOKUP(A4,Competitors!$A$2:$I$650,2,FALSE))))</f>
        <v>Laurence Noble</v>
      </c>
      <c r="H4" s="20">
        <f t="shared" si="1"/>
        <v>1.8067129629629631E-2</v>
      </c>
      <c r="I4" t="str">
        <f t="shared" ca="1" si="2"/>
        <v/>
      </c>
      <c r="J4" s="40" t="s">
        <v>209</v>
      </c>
    </row>
    <row r="5" spans="1:10" ht="14.25" x14ac:dyDescent="0.15">
      <c r="A5" s="17">
        <f t="shared" ca="1" si="0"/>
        <v>35</v>
      </c>
      <c r="B5" s="17">
        <v>0</v>
      </c>
      <c r="C5" s="18">
        <v>26</v>
      </c>
      <c r="D5" s="18">
        <v>15</v>
      </c>
      <c r="E5" s="18"/>
      <c r="F5" s="18"/>
      <c r="G5" s="19" t="str">
        <f ca="1">IF($A5="","",IF($I5="X",A5,CONCATENATE(VLOOKUP(A5,Competitors!$A$2:$I$650,3, FALSE)," ",VLOOKUP(A5,Competitors!$A$2:$I$650,2,FALSE))))</f>
        <v>Matt Plews</v>
      </c>
      <c r="H5" s="20">
        <f t="shared" si="1"/>
        <v>1.8229166666666668E-2</v>
      </c>
      <c r="I5" t="str">
        <f t="shared" ca="1" si="2"/>
        <v/>
      </c>
      <c r="J5" s="40" t="s">
        <v>588</v>
      </c>
    </row>
    <row r="6" spans="1:10" ht="14.25" x14ac:dyDescent="0.15">
      <c r="A6" s="17">
        <f t="shared" ca="1" si="0"/>
        <v>1152</v>
      </c>
      <c r="B6" s="17">
        <v>0</v>
      </c>
      <c r="C6" s="18">
        <v>26</v>
      </c>
      <c r="D6" s="18">
        <v>17</v>
      </c>
      <c r="E6" s="18" t="s">
        <v>170</v>
      </c>
      <c r="F6" s="18"/>
      <c r="G6" s="19" t="str">
        <f ca="1">IF($A6="","",IF($I6="X",A6,CONCATENATE(VLOOKUP(A6,Competitors!$A$2:$I$650,3, FALSE)," ",VLOOKUP(A6,Competitors!$A$2:$I$650,2,FALSE))))</f>
        <v>Ruby Isaac</v>
      </c>
      <c r="H6" s="20">
        <f t="shared" si="1"/>
        <v>1.8252314814814815E-2</v>
      </c>
      <c r="I6" t="str">
        <f t="shared" ca="1" si="2"/>
        <v/>
      </c>
      <c r="J6" s="40" t="s">
        <v>602</v>
      </c>
    </row>
    <row r="7" spans="1:10" ht="14.25" x14ac:dyDescent="0.15">
      <c r="A7" s="17">
        <f t="shared" ca="1" si="0"/>
        <v>415</v>
      </c>
      <c r="B7" s="17">
        <v>0</v>
      </c>
      <c r="C7" s="18">
        <v>26</v>
      </c>
      <c r="D7" s="18">
        <v>29</v>
      </c>
      <c r="E7" s="18" t="s">
        <v>170</v>
      </c>
      <c r="F7" s="18"/>
      <c r="G7" s="19" t="str">
        <f ca="1">IF($A7="","",IF($I7="X",A7,CONCATENATE(VLOOKUP(A7,Competitors!$A$2:$I$650,3, FALSE)," ",VLOOKUP(A7,Competitors!$A$2:$I$650,2,FALSE))))</f>
        <v>Nik Kershaw</v>
      </c>
      <c r="H7" s="20">
        <f t="shared" si="1"/>
        <v>1.8391203703703705E-2</v>
      </c>
      <c r="I7" t="str">
        <f t="shared" ca="1" si="2"/>
        <v/>
      </c>
      <c r="J7" s="40" t="s">
        <v>594</v>
      </c>
    </row>
    <row r="8" spans="1:10" ht="14.25" x14ac:dyDescent="0.15">
      <c r="A8" s="17">
        <f t="shared" ca="1" si="0"/>
        <v>1192</v>
      </c>
      <c r="B8" s="17">
        <v>0</v>
      </c>
      <c r="C8" s="18">
        <v>26</v>
      </c>
      <c r="D8" s="18">
        <v>44</v>
      </c>
      <c r="E8" s="18"/>
      <c r="F8" s="18"/>
      <c r="G8" s="19" t="str">
        <f ca="1">IF($A8="","",IF($I8="X",A8,CONCATENATE(VLOOKUP(A8,Competitors!$A$2:$I$650,3, FALSE)," ",VLOOKUP(A8,Competitors!$A$2:$I$650,2,FALSE))))</f>
        <v>Dale Norris</v>
      </c>
      <c r="H8" s="20">
        <f t="shared" si="1"/>
        <v>1.8564814814814815E-2</v>
      </c>
      <c r="I8" t="str">
        <f t="shared" ca="1" si="2"/>
        <v/>
      </c>
      <c r="J8" s="40" t="s">
        <v>590</v>
      </c>
    </row>
    <row r="9" spans="1:10" ht="14.25" x14ac:dyDescent="0.15">
      <c r="A9" s="17">
        <f t="shared" ca="1" si="0"/>
        <v>1055</v>
      </c>
      <c r="B9" s="17">
        <v>0</v>
      </c>
      <c r="C9" s="18">
        <v>26</v>
      </c>
      <c r="D9" s="18">
        <v>46</v>
      </c>
      <c r="E9" s="18" t="s">
        <v>170</v>
      </c>
      <c r="F9" s="18"/>
      <c r="G9" s="19" t="str">
        <f ca="1">IF($A9="","",IF($I9="X",A9,CONCATENATE(VLOOKUP(A9,Competitors!$A$2:$I$650,3, FALSE)," ",VLOOKUP(A9,Competitors!$A$2:$I$650,2,FALSE))))</f>
        <v>Austin Smith</v>
      </c>
      <c r="H9" s="20">
        <f t="shared" si="1"/>
        <v>1.8587962962962962E-2</v>
      </c>
      <c r="I9" t="str">
        <f t="shared" ca="1" si="2"/>
        <v/>
      </c>
      <c r="J9" s="40" t="s">
        <v>589</v>
      </c>
    </row>
    <row r="10" spans="1:10" ht="14.25" x14ac:dyDescent="0.15">
      <c r="A10" s="17">
        <f t="shared" ca="1" si="0"/>
        <v>1094</v>
      </c>
      <c r="B10" s="17">
        <v>0</v>
      </c>
      <c r="C10" s="18">
        <v>26</v>
      </c>
      <c r="D10" s="18">
        <v>55</v>
      </c>
      <c r="E10" s="18"/>
      <c r="F10" s="18"/>
      <c r="G10" s="19" t="str">
        <f ca="1">IF($A10="","",IF($I10="X",A10,CONCATENATE(VLOOKUP(A10,Competitors!$A$2:$I$650,3, FALSE)," ",VLOOKUP(A10,Competitors!$A$2:$I$650,2,FALSE))))</f>
        <v>Andy Poulton</v>
      </c>
      <c r="H10" s="20">
        <f t="shared" si="1"/>
        <v>1.8692129629629628E-2</v>
      </c>
      <c r="I10" t="str">
        <f t="shared" ca="1" si="2"/>
        <v/>
      </c>
      <c r="J10" s="40" t="s">
        <v>579</v>
      </c>
    </row>
    <row r="11" spans="1:10" ht="14.25" x14ac:dyDescent="0.15">
      <c r="A11" s="17">
        <f t="shared" ca="1" si="0"/>
        <v>699</v>
      </c>
      <c r="B11" s="17">
        <v>0</v>
      </c>
      <c r="C11" s="18">
        <v>27</v>
      </c>
      <c r="D11" s="18">
        <v>21</v>
      </c>
      <c r="E11" s="18" t="s">
        <v>170</v>
      </c>
      <c r="F11" s="18"/>
      <c r="G11" s="19" t="str">
        <f ca="1">IF($A11="","",IF($I11="X",A11,CONCATENATE(VLOOKUP(A11,Competitors!$A$2:$I$650,3, FALSE)," ",VLOOKUP(A11,Competitors!$A$2:$I$650,2,FALSE))))</f>
        <v>Jonathan Durnin</v>
      </c>
      <c r="H11" s="20">
        <f t="shared" si="1"/>
        <v>1.8993055555555555E-2</v>
      </c>
      <c r="I11" t="str">
        <f t="shared" ca="1" si="2"/>
        <v/>
      </c>
      <c r="J11" s="40" t="s">
        <v>586</v>
      </c>
    </row>
    <row r="12" spans="1:10" ht="14.25" x14ac:dyDescent="0.15">
      <c r="A12" s="17">
        <f t="shared" ca="1" si="0"/>
        <v>1237</v>
      </c>
      <c r="B12" s="17">
        <v>0</v>
      </c>
      <c r="C12" s="18">
        <v>27</v>
      </c>
      <c r="D12" s="18">
        <v>23</v>
      </c>
      <c r="E12" s="18" t="s">
        <v>170</v>
      </c>
      <c r="F12" s="18"/>
      <c r="G12" s="19" t="str">
        <f ca="1">IF($A12="","",IF($I12="X",A12,CONCATENATE(VLOOKUP(A12,Competitors!$A$2:$I$650,3, FALSE)," ",VLOOKUP(A12,Competitors!$A$2:$I$650,2,FALSE))))</f>
        <v>John Abbott</v>
      </c>
      <c r="H12" s="20">
        <f t="shared" si="1"/>
        <v>1.9016203703703705E-2</v>
      </c>
      <c r="I12" t="str">
        <f t="shared" ca="1" si="2"/>
        <v/>
      </c>
      <c r="J12" s="40" t="s">
        <v>598</v>
      </c>
    </row>
    <row r="13" spans="1:10" ht="14.25" x14ac:dyDescent="0.15">
      <c r="A13" s="17" t="s">
        <v>171</v>
      </c>
      <c r="B13" s="17">
        <v>0</v>
      </c>
      <c r="C13" s="18">
        <v>27</v>
      </c>
      <c r="D13" s="18">
        <v>30</v>
      </c>
      <c r="E13" s="18"/>
      <c r="F13" s="18"/>
      <c r="G13" s="19" t="str">
        <f>IF($A13="","",IF($I13="X",A13,CONCATENATE(VLOOKUP(A13,Competitors!$A$2:$I$650,3, FALSE)," ",VLOOKUP(A13,Competitors!$A$2:$I$650,2,FALSE))))</f>
        <v>Graham Doe</v>
      </c>
      <c r="H13" s="20">
        <f t="shared" si="1"/>
        <v>1.9097222222222224E-2</v>
      </c>
      <c r="I13" t="str">
        <f t="shared" si="2"/>
        <v>X</v>
      </c>
      <c r="J13" s="40" t="s">
        <v>171</v>
      </c>
    </row>
    <row r="14" spans="1:10" ht="14.25" x14ac:dyDescent="0.15">
      <c r="A14" s="17">
        <f t="shared" ca="1" si="0"/>
        <v>468</v>
      </c>
      <c r="B14" s="17">
        <v>0</v>
      </c>
      <c r="C14" s="18">
        <v>27</v>
      </c>
      <c r="D14" s="18">
        <v>35</v>
      </c>
      <c r="E14" s="18" t="s">
        <v>170</v>
      </c>
      <c r="F14" s="18"/>
      <c r="G14" s="19" t="str">
        <f ca="1">IF($A14="","",IF($I14="X",A14,CONCATENATE(VLOOKUP(A14,Competitors!$A$2:$I$650,3, FALSE)," ",VLOOKUP(A14,Competitors!$A$2:$I$650,2,FALSE))))</f>
        <v>Mike Smith</v>
      </c>
      <c r="H14" s="20">
        <f t="shared" si="1"/>
        <v>1.9155092592592592E-2</v>
      </c>
      <c r="I14" t="str">
        <f t="shared" ca="1" si="2"/>
        <v/>
      </c>
      <c r="J14" s="40" t="s">
        <v>599</v>
      </c>
    </row>
    <row r="15" spans="1:10" ht="14.25" x14ac:dyDescent="0.15">
      <c r="A15" s="17" t="str">
        <f t="shared" ca="1" si="0"/>
        <v>Ed Watson (Ratae)</v>
      </c>
      <c r="B15" s="17">
        <v>0</v>
      </c>
      <c r="C15" s="18">
        <v>28</v>
      </c>
      <c r="D15" s="18">
        <v>42</v>
      </c>
      <c r="E15" s="18" t="s">
        <v>170</v>
      </c>
      <c r="F15" s="18"/>
      <c r="G15" s="19" t="str">
        <f ca="1">IF($A15="","",IF($I15="X",A15,CONCATENATE(VLOOKUP(A15,Competitors!$A$2:$I$650,3, FALSE)," ",VLOOKUP(A15,Competitors!$A$2:$I$650,2,FALSE))))</f>
        <v>Ed Watson (Ratae)</v>
      </c>
      <c r="H15" s="20">
        <f t="shared" si="1"/>
        <v>1.9930555555555556E-2</v>
      </c>
      <c r="I15" t="str">
        <f t="shared" ca="1" si="2"/>
        <v>X</v>
      </c>
      <c r="J15" s="40" t="s">
        <v>143</v>
      </c>
    </row>
    <row r="16" spans="1:10" ht="14.25" x14ac:dyDescent="0.15">
      <c r="A16" s="17">
        <f t="shared" ca="1" si="0"/>
        <v>846</v>
      </c>
      <c r="B16" s="17">
        <v>0</v>
      </c>
      <c r="C16" s="18">
        <v>28</v>
      </c>
      <c r="D16" s="18">
        <v>45</v>
      </c>
      <c r="E16" s="18"/>
      <c r="F16" s="18"/>
      <c r="G16" s="19" t="str">
        <f ca="1">IF($A16="","",IF($I16="X",A16,CONCATENATE(VLOOKUP(A16,Competitors!$A$2:$I$650,3, FALSE)," ",VLOOKUP(A16,Competitors!$A$2:$I$650,2,FALSE))))</f>
        <v>Roger Kockelbergh</v>
      </c>
      <c r="H16" s="20">
        <f t="shared" si="1"/>
        <v>1.9965277777777776E-2</v>
      </c>
      <c r="I16" t="str">
        <f t="shared" ca="1" si="2"/>
        <v/>
      </c>
      <c r="J16" s="40" t="s">
        <v>601</v>
      </c>
    </row>
    <row r="17" spans="1:10" ht="14.25" x14ac:dyDescent="0.15">
      <c r="A17" s="17">
        <f t="shared" ca="1" si="0"/>
        <v>203</v>
      </c>
      <c r="B17" s="17">
        <v>0</v>
      </c>
      <c r="C17" s="18">
        <v>29</v>
      </c>
      <c r="D17" s="18">
        <v>28</v>
      </c>
      <c r="E17" s="18"/>
      <c r="F17" s="18"/>
      <c r="G17" s="19" t="str">
        <f ca="1">IF($A17="","",IF($I17="X",A17,CONCATENATE(VLOOKUP(A17,Competitors!$A$2:$I$650,3, FALSE)," ",VLOOKUP(A17,Competitors!$A$2:$I$650,2,FALSE))))</f>
        <v>Adrian Killworth</v>
      </c>
      <c r="H17" s="20">
        <f t="shared" si="1"/>
        <v>2.0462962962962964E-2</v>
      </c>
      <c r="I17" t="str">
        <f t="shared" ca="1" si="2"/>
        <v/>
      </c>
      <c r="J17" s="40" t="s">
        <v>603</v>
      </c>
    </row>
    <row r="18" spans="1:10" ht="14.25" x14ac:dyDescent="0.15">
      <c r="A18" s="17">
        <f t="shared" ca="1" si="0"/>
        <v>532</v>
      </c>
      <c r="B18" s="17">
        <v>0</v>
      </c>
      <c r="C18" s="18">
        <v>29</v>
      </c>
      <c r="D18" s="18">
        <v>30</v>
      </c>
      <c r="E18" s="18" t="s">
        <v>170</v>
      </c>
      <c r="F18" s="18"/>
      <c r="G18" s="19" t="str">
        <f ca="1">IF($A18="","",IF($I18="X",A18,CONCATENATE(VLOOKUP(A18,Competitors!$A$2:$I$650,3, FALSE)," ",VLOOKUP(A18,Competitors!$A$2:$I$650,2,FALSE))))</f>
        <v>Kevin Mills</v>
      </c>
      <c r="H18" s="20">
        <f t="shared" si="1"/>
        <v>2.0486111111111111E-2</v>
      </c>
      <c r="I18" t="str">
        <f t="shared" ca="1" si="2"/>
        <v/>
      </c>
      <c r="J18" s="40" t="s">
        <v>609</v>
      </c>
    </row>
    <row r="19" spans="1:10" ht="14.25" x14ac:dyDescent="0.15">
      <c r="A19" s="17">
        <f t="shared" ca="1" si="0"/>
        <v>704</v>
      </c>
      <c r="B19" s="17">
        <v>0</v>
      </c>
      <c r="C19" s="18">
        <v>30</v>
      </c>
      <c r="D19" s="18">
        <v>25</v>
      </c>
      <c r="E19" s="18" t="s">
        <v>170</v>
      </c>
      <c r="F19" s="18"/>
      <c r="G19" s="19" t="str">
        <f ca="1">IF($A19="","",IF($I19="X",A19,CONCATENATE(VLOOKUP(A19,Competitors!$A$2:$I$650,3, FALSE)," ",VLOOKUP(A19,Competitors!$A$2:$I$650,2,FALSE))))</f>
        <v>Chris Dainty</v>
      </c>
      <c r="H19" s="20">
        <f t="shared" si="1"/>
        <v>2.1122685185185185E-2</v>
      </c>
      <c r="I19" t="str">
        <f t="shared" ca="1" si="2"/>
        <v/>
      </c>
      <c r="J19" s="40" t="s">
        <v>605</v>
      </c>
    </row>
    <row r="20" spans="1:10" ht="14.25" x14ac:dyDescent="0.15">
      <c r="A20" s="17">
        <f t="shared" ca="1" si="0"/>
        <v>23</v>
      </c>
      <c r="B20" s="17">
        <v>0</v>
      </c>
      <c r="C20" s="18">
        <v>30</v>
      </c>
      <c r="D20" s="18">
        <v>30</v>
      </c>
      <c r="E20" s="18"/>
      <c r="F20" s="18"/>
      <c r="G20" s="19" t="str">
        <f ca="1">IF($A20="","",IF($I20="X",A20,CONCATENATE(VLOOKUP(A20,Competitors!$A$2:$I$650,3, FALSE)," ",VLOOKUP(A20,Competitors!$A$2:$I$650,2,FALSE))))</f>
        <v>Chris Hyde</v>
      </c>
      <c r="H20" s="20">
        <f t="shared" si="1"/>
        <v>2.1180555555555557E-2</v>
      </c>
      <c r="I20" t="str">
        <f t="shared" ca="1" si="2"/>
        <v/>
      </c>
      <c r="J20" s="40" t="s">
        <v>606</v>
      </c>
    </row>
    <row r="21" spans="1:10" ht="14.25" x14ac:dyDescent="0.15">
      <c r="A21" s="17">
        <f t="shared" ca="1" si="0"/>
        <v>1112</v>
      </c>
      <c r="B21" s="17">
        <v>0</v>
      </c>
      <c r="C21" s="18">
        <v>30</v>
      </c>
      <c r="D21" s="18">
        <v>50</v>
      </c>
      <c r="E21" s="18"/>
      <c r="F21" s="18"/>
      <c r="G21" s="19" t="str">
        <f ca="1">IF($A21="","",IF($I21="X",A21,CONCATENATE(VLOOKUP(A21,Competitors!$A$2:$I$650,3, FALSE)," ",VLOOKUP(A21,Competitors!$A$2:$I$650,2,FALSE))))</f>
        <v>Gary Ashwell</v>
      </c>
      <c r="H21" s="20">
        <f t="shared" si="1"/>
        <v>2.1412037037037038E-2</v>
      </c>
      <c r="I21" t="str">
        <f t="shared" ca="1" si="2"/>
        <v/>
      </c>
      <c r="J21" s="40" t="s">
        <v>607</v>
      </c>
    </row>
    <row r="22" spans="1:10" ht="14.25" x14ac:dyDescent="0.15">
      <c r="A22" s="17">
        <f t="shared" ca="1" si="0"/>
        <v>616</v>
      </c>
      <c r="B22" s="17">
        <v>0</v>
      </c>
      <c r="C22" s="18">
        <v>31</v>
      </c>
      <c r="D22" s="18">
        <v>27</v>
      </c>
      <c r="E22" s="18"/>
      <c r="F22" s="18"/>
      <c r="G22" s="19" t="str">
        <f ca="1">IF($A22="","",IF($I22="X",A22,CONCATENATE(VLOOKUP(A22,Competitors!$A$2:$I$650,3, FALSE)," ",VLOOKUP(A22,Competitors!$A$2:$I$650,2,FALSE))))</f>
        <v>Simon Ward</v>
      </c>
      <c r="H22" s="20">
        <f t="shared" si="1"/>
        <v>2.1840277777777778E-2</v>
      </c>
      <c r="I22" t="str">
        <f t="shared" ca="1" si="2"/>
        <v/>
      </c>
      <c r="J22" s="40" t="s">
        <v>610</v>
      </c>
    </row>
    <row r="23" spans="1:10" ht="14.25" x14ac:dyDescent="0.15">
      <c r="A23" s="17" t="str">
        <f t="shared" ca="1" si="0"/>
        <v/>
      </c>
      <c r="B23" s="17"/>
      <c r="C23" s="18"/>
      <c r="D23" s="18"/>
      <c r="E23" s="18"/>
      <c r="F23" s="18"/>
      <c r="G23" s="19" t="str">
        <f ca="1">IF($A23="","",IF($I23="X",A23,CONCATENATE(VLOOKUP(A23,Competitors!$A$2:$I$650,3, FALSE)," ",VLOOKUP(A23,Competitors!$A$2:$I$650,2,FALSE))))</f>
        <v/>
      </c>
      <c r="H23" s="20">
        <f t="shared" si="1"/>
        <v>0</v>
      </c>
      <c r="I23" t="str">
        <f t="shared" ca="1" si="2"/>
        <v/>
      </c>
      <c r="J23" s="40" t="s">
        <v>173</v>
      </c>
    </row>
    <row r="24" spans="1:10" ht="14.25" x14ac:dyDescent="0.15">
      <c r="A24" s="17" t="str">
        <f t="shared" ca="1" si="0"/>
        <v/>
      </c>
      <c r="B24" s="17"/>
      <c r="C24" s="18"/>
      <c r="D24" s="18"/>
      <c r="E24" s="18"/>
      <c r="F24" s="18"/>
      <c r="G24" s="19" t="str">
        <f ca="1">IF($A24="","",IF($I24="X",A24,CONCATENATE(VLOOKUP(A24,Competitors!$A$2:$I$650,3, FALSE)," ",VLOOKUP(A24,Competitors!$A$2:$I$650,2,FALSE))))</f>
        <v/>
      </c>
      <c r="H24" s="20">
        <f t="shared" si="1"/>
        <v>0</v>
      </c>
      <c r="I24" t="str">
        <f t="shared" ca="1" si="2"/>
        <v/>
      </c>
      <c r="J24" s="40" t="s">
        <v>173</v>
      </c>
    </row>
    <row r="25" spans="1:10" ht="14.25" x14ac:dyDescent="0.15">
      <c r="A25" s="17" t="str">
        <f t="shared" ca="1" si="0"/>
        <v/>
      </c>
      <c r="B25" s="17"/>
      <c r="C25" s="18"/>
      <c r="D25" s="18"/>
      <c r="E25" s="18"/>
      <c r="F25" s="18"/>
      <c r="G25" s="19" t="str">
        <f ca="1">IF($A25="","",IF($I25="X",A25,CONCATENATE(VLOOKUP(A25,Competitors!$A$2:$I$650,3, FALSE)," ",VLOOKUP(A25,Competitors!$A$2:$I$650,2,FALSE))))</f>
        <v/>
      </c>
      <c r="H25" s="20">
        <f t="shared" si="1"/>
        <v>0</v>
      </c>
      <c r="I25" t="str">
        <f t="shared" ca="1" si="2"/>
        <v/>
      </c>
      <c r="J25" s="40" t="s">
        <v>173</v>
      </c>
    </row>
    <row r="26" spans="1:10" ht="14.25" x14ac:dyDescent="0.15">
      <c r="A26" s="17" t="str">
        <f t="shared" ca="1" si="0"/>
        <v/>
      </c>
      <c r="B26" s="17"/>
      <c r="C26" s="18"/>
      <c r="D26" s="18"/>
      <c r="E26" s="18"/>
      <c r="F26" s="18"/>
      <c r="G26" s="19" t="str">
        <f ca="1">IF($A26="","",IF($I26="X",A26,CONCATENATE(VLOOKUP(A26,Competitors!$A$2:$I$650,3, FALSE)," ",VLOOKUP(A26,Competitors!$A$2:$I$650,2,FALSE))))</f>
        <v/>
      </c>
      <c r="H26" s="20">
        <f t="shared" si="1"/>
        <v>0</v>
      </c>
      <c r="I26" t="str">
        <f t="shared" ca="1" si="2"/>
        <v/>
      </c>
      <c r="J26" s="40" t="s">
        <v>173</v>
      </c>
    </row>
    <row r="27" spans="1:10" ht="14.25" x14ac:dyDescent="0.15">
      <c r="A27" s="17" t="str">
        <f t="shared" ca="1" si="0"/>
        <v/>
      </c>
      <c r="B27" s="17"/>
      <c r="C27" s="18"/>
      <c r="D27" s="18"/>
      <c r="E27" s="18"/>
      <c r="F27" s="18"/>
      <c r="G27" s="19" t="str">
        <f ca="1">IF($A27="","",IF($I27="X",A27,CONCATENATE(VLOOKUP(A27,Competitors!$A$2:$I$650,3, FALSE)," ",VLOOKUP(A27,Competitors!$A$2:$I$650,2,FALSE))))</f>
        <v/>
      </c>
      <c r="H27" s="20">
        <f t="shared" si="1"/>
        <v>0</v>
      </c>
      <c r="I27" t="str">
        <f t="shared" ca="1" si="2"/>
        <v/>
      </c>
      <c r="J27" s="40" t="s">
        <v>173</v>
      </c>
    </row>
    <row r="28" spans="1:10" ht="14.25" x14ac:dyDescent="0.15">
      <c r="A28" s="17" t="str">
        <f t="shared" ca="1" si="0"/>
        <v/>
      </c>
      <c r="B28" s="17"/>
      <c r="C28" s="18"/>
      <c r="D28" s="18"/>
      <c r="E28" s="18"/>
      <c r="F28" s="18"/>
      <c r="G28" s="19" t="str">
        <f ca="1">IF($A28="","",IF($I28="X",A28,CONCATENATE(VLOOKUP(A28,Competitors!$A$2:$I$650,3, FALSE)," ",VLOOKUP(A28,Competitors!$A$2:$I$650,2,FALSE))))</f>
        <v/>
      </c>
      <c r="H28" s="20">
        <f t="shared" si="1"/>
        <v>0</v>
      </c>
      <c r="I28" t="str">
        <f t="shared" ca="1" si="2"/>
        <v/>
      </c>
      <c r="J28" s="40" t="s">
        <v>173</v>
      </c>
    </row>
    <row r="29" spans="1:10" ht="14.25" x14ac:dyDescent="0.15">
      <c r="A29" s="17" t="str">
        <f t="shared" ca="1" si="0"/>
        <v/>
      </c>
      <c r="B29" s="17"/>
      <c r="C29" s="18"/>
      <c r="D29" s="18"/>
      <c r="E29" s="18"/>
      <c r="F29" s="18"/>
      <c r="G29" s="19" t="str">
        <f ca="1">IF($A29="","",IF($I29="X",A29,CONCATENATE(VLOOKUP(A29,Competitors!$A$2:$I$650,3, FALSE)," ",VLOOKUP(A29,Competitors!$A$2:$I$650,2,FALSE))))</f>
        <v/>
      </c>
      <c r="H29" s="20">
        <f t="shared" si="1"/>
        <v>0</v>
      </c>
      <c r="I29" t="str">
        <f t="shared" ca="1" si="2"/>
        <v/>
      </c>
      <c r="J29" s="40" t="s">
        <v>173</v>
      </c>
    </row>
    <row r="30" spans="1:10" ht="14.25" x14ac:dyDescent="0.15">
      <c r="A30" s="17" t="str">
        <f t="shared" ca="1" si="0"/>
        <v/>
      </c>
      <c r="B30" s="17"/>
      <c r="C30" s="18"/>
      <c r="D30" s="18"/>
      <c r="E30" s="18"/>
      <c r="F30" s="18"/>
      <c r="G30" s="19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17" t="str">
        <f t="shared" ca="1" si="0"/>
        <v/>
      </c>
      <c r="B31" s="17"/>
      <c r="C31" s="18"/>
      <c r="D31" s="18"/>
      <c r="E31" s="18"/>
      <c r="F31" s="18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8"/>
      <c r="D32" s="18"/>
      <c r="E32" s="18"/>
      <c r="F32" s="18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8"/>
      <c r="D33" s="18"/>
      <c r="E33" s="18"/>
      <c r="F33" s="18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8"/>
      <c r="D34" s="18"/>
      <c r="E34" s="18"/>
      <c r="F34" s="18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8"/>
      <c r="D35" s="18"/>
      <c r="E35" s="18"/>
      <c r="F35" s="18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8"/>
      <c r="D36" s="18"/>
      <c r="E36" s="18"/>
      <c r="F36" s="18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8"/>
      <c r="D37" s="18"/>
      <c r="E37" s="18"/>
      <c r="F37" s="18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8"/>
      <c r="D38" s="18"/>
      <c r="E38" s="18"/>
      <c r="F38" s="18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8"/>
      <c r="D39" s="18"/>
      <c r="E39" s="18"/>
      <c r="F39" s="18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8"/>
      <c r="D40" s="18"/>
      <c r="E40" s="18"/>
      <c r="F40" s="18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8"/>
      <c r="D41" s="18"/>
      <c r="E41" s="18"/>
      <c r="F41" s="18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8"/>
      <c r="D42" s="18"/>
      <c r="E42" s="18"/>
      <c r="F42" s="18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8"/>
      <c r="D43" s="18"/>
      <c r="E43" s="18"/>
      <c r="F43" s="18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8"/>
      <c r="D44" s="18"/>
      <c r="E44" s="18"/>
      <c r="F44" s="18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8"/>
      <c r="D45" s="18"/>
      <c r="E45" s="18"/>
      <c r="F45" s="18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8"/>
      <c r="D46" s="18"/>
      <c r="E46" s="18"/>
      <c r="F46" s="18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8"/>
      <c r="D47" s="18"/>
      <c r="E47" s="18"/>
      <c r="F47" s="18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8"/>
      <c r="D48" s="18"/>
      <c r="E48" s="18"/>
      <c r="F48" s="18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8"/>
      <c r="D49" s="18"/>
      <c r="E49" s="18"/>
      <c r="F49" s="18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8"/>
      <c r="D50" s="18"/>
      <c r="E50" s="18"/>
      <c r="F50" s="18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8"/>
      <c r="D51" s="18"/>
      <c r="E51" s="18"/>
      <c r="F51" s="18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8"/>
      <c r="D52" s="18"/>
      <c r="E52" s="18"/>
      <c r="F52" s="18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8"/>
      <c r="D53" s="18"/>
      <c r="E53" s="18"/>
      <c r="F53" s="18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8"/>
      <c r="D54" s="18"/>
      <c r="E54" s="18"/>
      <c r="F54" s="18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8"/>
      <c r="D55" s="18"/>
      <c r="E55" s="18"/>
      <c r="F55" s="18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8"/>
      <c r="D56" s="18"/>
      <c r="E56" s="18"/>
      <c r="F56" s="18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8"/>
      <c r="D57" s="18"/>
      <c r="E57" s="18"/>
      <c r="F57" s="18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8"/>
      <c r="D58" s="18"/>
      <c r="E58" s="18"/>
      <c r="F58" s="18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8"/>
      <c r="D59" s="18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8"/>
      <c r="D60" s="18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8"/>
      <c r="D61" s="18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8"/>
      <c r="D62" s="18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8"/>
      <c r="D63" s="18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8"/>
      <c r="D64" s="18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8"/>
      <c r="D65" s="18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18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8"/>
      <c r="D67" s="18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8"/>
      <c r="D68" s="18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8"/>
      <c r="D69" s="18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8"/>
      <c r="D70" s="18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8"/>
      <c r="D71" s="18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8"/>
      <c r="D72" s="18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8"/>
      <c r="D73" s="18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8"/>
      <c r="D74" s="18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8"/>
      <c r="D75" s="18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8"/>
      <c r="D76" s="18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8"/>
      <c r="D77" s="18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8"/>
      <c r="D78" s="18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8"/>
      <c r="D79" s="18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8"/>
      <c r="D80" s="18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8"/>
      <c r="D81" s="18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8"/>
      <c r="D82" s="18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8"/>
      <c r="D83" s="18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8"/>
      <c r="D84" s="18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8"/>
      <c r="D85" s="18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8"/>
      <c r="D86" s="18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8"/>
      <c r="D87" s="18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8"/>
      <c r="D88" s="18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8"/>
      <c r="D89" s="18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8"/>
      <c r="D90" s="18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8"/>
      <c r="D91" s="18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8"/>
      <c r="D92" s="18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8"/>
      <c r="D93" s="18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8"/>
      <c r="D94" s="18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8"/>
      <c r="D95" s="18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8"/>
      <c r="D96" s="18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8"/>
      <c r="D97" s="18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8"/>
      <c r="D98" s="18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8"/>
      <c r="D99" s="18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8"/>
      <c r="D100" s="18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8"/>
      <c r="D101" s="18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77" priority="1">
      <formula>TEXT($B$104,"@")="Y"</formula>
    </cfRule>
  </conditionalFormatting>
  <conditionalFormatting sqref="G2:H101">
    <cfRule type="expression" dxfId="76" priority="3">
      <formula>$I2="X"</formula>
    </cfRule>
  </conditionalFormatting>
  <conditionalFormatting sqref="H2:H101">
    <cfRule type="expression" dxfId="75" priority="2">
      <formula>TEXT($B$104,"@")="Y"</formula>
    </cfRule>
  </conditionalFormatting>
  <printOptions horizontalCentered="1"/>
  <pageMargins left="0.62992125984251968" right="0.70866141732283472" top="1.7322834645669292" bottom="0.39370078740157483" header="0.31496062992125984" footer="0.31496062992125984"/>
  <pageSetup paperSize="9" scale="45" orientation="portrait" r:id="rId1"/>
  <headerFooter>
    <oddHeader>&amp;C&amp;24WVCC champs 2016 results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A3A6-E03C-488A-BD43-D163BFB38245}">
  <sheetPr codeName="Sheet34">
    <pageSetUpPr fitToPage="1"/>
  </sheetPr>
  <dimension ref="A1:J104"/>
  <sheetViews>
    <sheetView zoomScaleNormal="100" workbookViewId="0">
      <selection activeCell="E30" sqref="E30"/>
    </sheetView>
  </sheetViews>
  <sheetFormatPr defaultColWidth="9.16796875" defaultRowHeight="12.75" x14ac:dyDescent="0.15"/>
  <cols>
    <col min="1" max="1" width="23.05859375" bestFit="1" customWidth="1"/>
    <col min="2" max="3" width="4.71875" customWidth="1"/>
    <col min="4" max="4" width="6.203125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  <col min="10" max="10" width="16.04687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 t="str">
        <f t="shared" ref="A2:A33" ca="1" si="0">IF(J2="","",_xlfn.XLOOKUP(J2,ClubNames,ClubNumbers,_xlfn.XLOOKUP(J2,RoundRobinRiderNames,RoundRobinRiderDecoratedNames,J2)))</f>
        <v>Paul Pardoe</v>
      </c>
      <c r="B2" s="17">
        <v>0</v>
      </c>
      <c r="C2" s="17">
        <v>22</v>
      </c>
      <c r="D2" s="17">
        <v>15</v>
      </c>
      <c r="E2" s="17" t="s">
        <v>173</v>
      </c>
      <c r="F2" s="17"/>
      <c r="G2" s="19" t="str">
        <f ca="1">IF($A2="","",IF($I2="X",A2,CONCATENATE(VLOOKUP(A2,Competitors!$A$2:$I$650,3, FALSE)," ",VLOOKUP(A2,Competitors!$A$2:$I$650,2,FALSE))))</f>
        <v>Paul Pardoe</v>
      </c>
      <c r="H2" s="20">
        <f>IF(LEFT($E2,1)="D",UPPER($E2),(B2*3600+C2*60+D2)/86400)</f>
        <v>1.545138888888889E-2</v>
      </c>
      <c r="I2" t="str">
        <f ca="1">IF(OR(A2="",ISNUMBER(A2)),"","X")</f>
        <v>X</v>
      </c>
      <c r="J2" s="40" t="s">
        <v>172</v>
      </c>
    </row>
    <row r="3" spans="1:10" ht="14.25" x14ac:dyDescent="0.15">
      <c r="A3" s="17" t="str">
        <f t="shared" ca="1" si="0"/>
        <v>George Fox</v>
      </c>
      <c r="B3" s="17">
        <v>0</v>
      </c>
      <c r="C3" s="17">
        <v>22</v>
      </c>
      <c r="D3" s="17">
        <v>20</v>
      </c>
      <c r="E3" s="17" t="s">
        <v>173</v>
      </c>
      <c r="F3" s="17"/>
      <c r="G3" s="19" t="str">
        <f ca="1">IF($A3="","",IF($I3="X",A3,CONCATENATE(VLOOKUP(A3,Competitors!$A$2:$I$650,3, FALSE)," ",VLOOKUP(A3,Competitors!$A$2:$I$650,2,FALSE))))</f>
        <v>George Fox</v>
      </c>
      <c r="H3" s="20">
        <f t="shared" ref="H3:H66" si="1">IF(LEFT($E3,1)="D",UPPER($E3),(B3*3600+C3*60+D3)/86400)</f>
        <v>1.5509259259259259E-2</v>
      </c>
      <c r="I3" t="str">
        <f t="shared" ref="I3:I66" ca="1" si="2">IF(OR(A3="",ISNUMBER(A3)),"","X")</f>
        <v>X</v>
      </c>
      <c r="J3" s="40" t="s">
        <v>174</v>
      </c>
    </row>
    <row r="4" spans="1:10" ht="14.25" x14ac:dyDescent="0.15">
      <c r="A4" s="17" t="str">
        <f t="shared" ca="1" si="0"/>
        <v>Jamie Murray</v>
      </c>
      <c r="B4" s="17">
        <v>0</v>
      </c>
      <c r="C4" s="17">
        <v>23</v>
      </c>
      <c r="D4" s="17">
        <v>15</v>
      </c>
      <c r="E4" s="17" t="s">
        <v>173</v>
      </c>
      <c r="F4" s="17"/>
      <c r="G4" s="19" t="str">
        <f ca="1">IF($A4="","",IF($I4="X",A4,CONCATENATE(VLOOKUP(A4,Competitors!$A$2:$I$650,3, FALSE)," ",VLOOKUP(A4,Competitors!$A$2:$I$650,2,FALSE))))</f>
        <v>Jamie Murray</v>
      </c>
      <c r="H4" s="20">
        <f t="shared" si="1"/>
        <v>1.6145833333333335E-2</v>
      </c>
      <c r="I4" t="str">
        <f t="shared" ca="1" si="2"/>
        <v>X</v>
      </c>
      <c r="J4" s="40" t="s">
        <v>175</v>
      </c>
    </row>
    <row r="5" spans="1:10" ht="14.25" x14ac:dyDescent="0.15">
      <c r="A5" s="17" t="str">
        <f t="shared" ca="1" si="0"/>
        <v>Oscar Smith</v>
      </c>
      <c r="B5" s="17">
        <v>0</v>
      </c>
      <c r="C5" s="17">
        <v>23</v>
      </c>
      <c r="D5" s="17">
        <v>43</v>
      </c>
      <c r="E5" s="17" t="s">
        <v>170</v>
      </c>
      <c r="F5" s="17"/>
      <c r="G5" s="19" t="str">
        <f ca="1">IF($A5="","",IF($I5="X",A5,CONCATENATE(VLOOKUP(A5,Competitors!$A$2:$I$650,3, FALSE)," ",VLOOKUP(A5,Competitors!$A$2:$I$650,2,FALSE))))</f>
        <v>Oscar Smith</v>
      </c>
      <c r="H5" s="20">
        <f t="shared" si="1"/>
        <v>1.6469907407407409E-2</v>
      </c>
      <c r="I5" t="str">
        <f t="shared" ca="1" si="2"/>
        <v>X</v>
      </c>
      <c r="J5" s="40" t="s">
        <v>176</v>
      </c>
    </row>
    <row r="6" spans="1:10" ht="14.25" x14ac:dyDescent="0.15">
      <c r="A6" s="17" t="str">
        <f t="shared" ca="1" si="0"/>
        <v>Jack Eastman-Nye</v>
      </c>
      <c r="B6" s="17">
        <v>0</v>
      </c>
      <c r="C6" s="17">
        <v>23</v>
      </c>
      <c r="D6" s="17">
        <v>46</v>
      </c>
      <c r="E6" s="17" t="s">
        <v>173</v>
      </c>
      <c r="F6" s="17"/>
      <c r="G6" s="19" t="str">
        <f ca="1">IF($A6="","",IF($I6="X",A6,CONCATENATE(VLOOKUP(A6,Competitors!$A$2:$I$650,3, FALSE)," ",VLOOKUP(A6,Competitors!$A$2:$I$650,2,FALSE))))</f>
        <v>Jack Eastman-Nye</v>
      </c>
      <c r="H6" s="20">
        <f t="shared" si="1"/>
        <v>1.650462962962963E-2</v>
      </c>
      <c r="I6" t="str">
        <f t="shared" ca="1" si="2"/>
        <v>X</v>
      </c>
      <c r="J6" s="40" t="s">
        <v>177</v>
      </c>
    </row>
    <row r="7" spans="1:10" ht="14.25" x14ac:dyDescent="0.15">
      <c r="A7" s="17">
        <f t="shared" ca="1" si="0"/>
        <v>407</v>
      </c>
      <c r="B7" s="17">
        <v>0</v>
      </c>
      <c r="C7" s="17">
        <v>24</v>
      </c>
      <c r="D7" s="17">
        <v>27</v>
      </c>
      <c r="E7" s="17" t="s">
        <v>173</v>
      </c>
      <c r="F7" s="17"/>
      <c r="G7" s="19" t="str">
        <f ca="1">IF($A7="","",IF($I7="X",A7,CONCATENATE(VLOOKUP(A7,Competitors!$A$2:$I$650,3, FALSE)," ",VLOOKUP(A7,Competitors!$A$2:$I$650,2,FALSE))))</f>
        <v>Hans van Nierop</v>
      </c>
      <c r="H7" s="20">
        <f t="shared" si="1"/>
        <v>1.6979166666666667E-2</v>
      </c>
      <c r="I7" t="str">
        <f t="shared" ca="1" si="2"/>
        <v/>
      </c>
      <c r="J7" s="40" t="s">
        <v>583</v>
      </c>
    </row>
    <row r="8" spans="1:10" ht="14.25" x14ac:dyDescent="0.15">
      <c r="A8" s="17" t="str">
        <f t="shared" ca="1" si="0"/>
        <v>Chris Bradbury</v>
      </c>
      <c r="B8" s="17">
        <v>0</v>
      </c>
      <c r="C8" s="17">
        <v>24</v>
      </c>
      <c r="D8" s="17">
        <v>28</v>
      </c>
      <c r="E8" s="17" t="s">
        <v>170</v>
      </c>
      <c r="F8" s="17"/>
      <c r="G8" s="19" t="str">
        <f ca="1">IF($A8="","",IF($I8="X",A8,CONCATENATE(VLOOKUP(A8,Competitors!$A$2:$I$650,3, FALSE)," ",VLOOKUP(A8,Competitors!$A$2:$I$650,2,FALSE))))</f>
        <v>Chris Bradbury</v>
      </c>
      <c r="H8" s="20">
        <f t="shared" si="1"/>
        <v>1.699074074074074E-2</v>
      </c>
      <c r="I8" t="str">
        <f t="shared" ca="1" si="2"/>
        <v>X</v>
      </c>
      <c r="J8" s="40" t="s">
        <v>178</v>
      </c>
    </row>
    <row r="9" spans="1:10" ht="14.25" x14ac:dyDescent="0.15">
      <c r="A9" s="17" t="str">
        <f t="shared" ca="1" si="0"/>
        <v>Paul Beattie</v>
      </c>
      <c r="B9" s="17">
        <v>0</v>
      </c>
      <c r="C9" s="17">
        <v>25</v>
      </c>
      <c r="D9" s="17">
        <v>16</v>
      </c>
      <c r="E9" s="17" t="s">
        <v>170</v>
      </c>
      <c r="F9" s="17"/>
      <c r="G9" s="19" t="str">
        <f ca="1">IF($A9="","",IF($I9="X",A9,CONCATENATE(VLOOKUP(A9,Competitors!$A$2:$I$650,3, FALSE)," ",VLOOKUP(A9,Competitors!$A$2:$I$650,2,FALSE))))</f>
        <v>Paul Beattie</v>
      </c>
      <c r="H9" s="20">
        <f t="shared" si="1"/>
        <v>1.7546296296296296E-2</v>
      </c>
      <c r="I9" t="str">
        <f t="shared" ca="1" si="2"/>
        <v>X</v>
      </c>
      <c r="J9" s="40" t="s">
        <v>179</v>
      </c>
    </row>
    <row r="10" spans="1:10" ht="14.25" x14ac:dyDescent="0.15">
      <c r="A10" s="17" t="str">
        <f t="shared" ca="1" si="0"/>
        <v>Alex Barrowman</v>
      </c>
      <c r="B10" s="17">
        <v>0</v>
      </c>
      <c r="C10" s="17">
        <v>25</v>
      </c>
      <c r="D10" s="17">
        <v>19</v>
      </c>
      <c r="E10" s="17" t="s">
        <v>170</v>
      </c>
      <c r="F10" s="17"/>
      <c r="G10" s="19" t="str">
        <f ca="1">IF($A10="","",IF($I10="X",A10,CONCATENATE(VLOOKUP(A10,Competitors!$A$2:$I$650,3, FALSE)," ",VLOOKUP(A10,Competitors!$A$2:$I$650,2,FALSE))))</f>
        <v>Alex Barrowman</v>
      </c>
      <c r="H10" s="20">
        <f t="shared" si="1"/>
        <v>1.758101851851852E-2</v>
      </c>
      <c r="I10" t="str">
        <f t="shared" ca="1" si="2"/>
        <v>X</v>
      </c>
      <c r="J10" s="40" t="s">
        <v>180</v>
      </c>
    </row>
    <row r="11" spans="1:10" ht="14.25" x14ac:dyDescent="0.15">
      <c r="A11" s="17" t="str">
        <f t="shared" ca="1" si="0"/>
        <v>Pete Bradshaw</v>
      </c>
      <c r="B11" s="17">
        <v>0</v>
      </c>
      <c r="C11" s="17">
        <v>25</v>
      </c>
      <c r="D11" s="17">
        <v>36</v>
      </c>
      <c r="E11" s="17" t="s">
        <v>170</v>
      </c>
      <c r="F11" s="17"/>
      <c r="G11" s="19" t="str">
        <f ca="1">IF($A11="","",IF($I11="X",A11,CONCATENATE(VLOOKUP(A11,Competitors!$A$2:$I$650,3, FALSE)," ",VLOOKUP(A11,Competitors!$A$2:$I$650,2,FALSE))))</f>
        <v>Pete Bradshaw</v>
      </c>
      <c r="H11" s="20">
        <f t="shared" si="1"/>
        <v>1.7777777777777778E-2</v>
      </c>
      <c r="I11" t="str">
        <f t="shared" ca="1" si="2"/>
        <v>X</v>
      </c>
      <c r="J11" s="40" t="s">
        <v>181</v>
      </c>
    </row>
    <row r="12" spans="1:10" ht="14.25" x14ac:dyDescent="0.15">
      <c r="A12" s="17" t="str">
        <f t="shared" ca="1" si="0"/>
        <v>Diego Patteri</v>
      </c>
      <c r="B12" s="17">
        <v>0</v>
      </c>
      <c r="C12" s="17">
        <v>25</v>
      </c>
      <c r="D12" s="17">
        <v>48</v>
      </c>
      <c r="E12" s="17" t="s">
        <v>170</v>
      </c>
      <c r="F12" s="17"/>
      <c r="G12" s="19" t="str">
        <f ca="1">IF($A12="","",IF($I12="X",A12,CONCATENATE(VLOOKUP(A12,Competitors!$A$2:$I$650,3, FALSE)," ",VLOOKUP(A12,Competitors!$A$2:$I$650,2,FALSE))))</f>
        <v>Diego Patteri</v>
      </c>
      <c r="H12" s="20">
        <f t="shared" si="1"/>
        <v>1.7916666666666668E-2</v>
      </c>
      <c r="I12" t="str">
        <f t="shared" ca="1" si="2"/>
        <v>X</v>
      </c>
      <c r="J12" s="40" t="s">
        <v>182</v>
      </c>
    </row>
    <row r="13" spans="1:10" ht="14.25" x14ac:dyDescent="0.15">
      <c r="A13" s="17" t="str">
        <f t="shared" ca="1" si="0"/>
        <v>Richard Golding</v>
      </c>
      <c r="B13" s="17">
        <v>0</v>
      </c>
      <c r="C13" s="17">
        <v>25</v>
      </c>
      <c r="D13" s="17">
        <v>49</v>
      </c>
      <c r="E13" s="17" t="s">
        <v>170</v>
      </c>
      <c r="F13" s="17"/>
      <c r="G13" s="19" t="str">
        <f ca="1">IF($A13="","",IF($I13="X",A13,CONCATENATE(VLOOKUP(A13,Competitors!$A$2:$I$650,3, FALSE)," ",VLOOKUP(A13,Competitors!$A$2:$I$650,2,FALSE))))</f>
        <v>Richard Golding</v>
      </c>
      <c r="H13" s="20">
        <f t="shared" si="1"/>
        <v>1.7928240740740741E-2</v>
      </c>
      <c r="I13" t="str">
        <f t="shared" ca="1" si="2"/>
        <v>X</v>
      </c>
      <c r="J13" s="40" t="s">
        <v>183</v>
      </c>
    </row>
    <row r="14" spans="1:10" ht="14.25" x14ac:dyDescent="0.15">
      <c r="A14" s="17" t="str">
        <f t="shared" ca="1" si="0"/>
        <v>Malcolm Smith</v>
      </c>
      <c r="B14" s="17">
        <v>0</v>
      </c>
      <c r="C14" s="17">
        <v>25</v>
      </c>
      <c r="D14" s="17">
        <v>58</v>
      </c>
      <c r="E14" s="17" t="s">
        <v>173</v>
      </c>
      <c r="F14" s="17"/>
      <c r="G14" s="19" t="str">
        <f ca="1">IF($A14="","",IF($I14="X",A14,CONCATENATE(VLOOKUP(A14,Competitors!$A$2:$I$650,3, FALSE)," ",VLOOKUP(A14,Competitors!$A$2:$I$650,2,FALSE))))</f>
        <v>Malcolm Smith</v>
      </c>
      <c r="H14" s="20">
        <f t="shared" si="1"/>
        <v>1.8032407407407407E-2</v>
      </c>
      <c r="I14" t="str">
        <f t="shared" ca="1" si="2"/>
        <v>X</v>
      </c>
      <c r="J14" s="40" t="s">
        <v>184</v>
      </c>
    </row>
    <row r="15" spans="1:10" ht="14.25" x14ac:dyDescent="0.15">
      <c r="A15" s="17" t="str">
        <f t="shared" ca="1" si="0"/>
        <v>Phil Wilkinson (RFW)</v>
      </c>
      <c r="B15" s="17">
        <v>0</v>
      </c>
      <c r="C15" s="17">
        <v>26</v>
      </c>
      <c r="D15" s="17">
        <v>18</v>
      </c>
      <c r="E15" s="17" t="s">
        <v>173</v>
      </c>
      <c r="F15" s="17"/>
      <c r="G15" s="19" t="str">
        <f ca="1">IF($A15="","",IF($I15="X",A15,CONCATENATE(VLOOKUP(A15,Competitors!$A$2:$I$650,3, FALSE)," ",VLOOKUP(A15,Competitors!$A$2:$I$650,2,FALSE))))</f>
        <v>Phil Wilkinson (RFW)</v>
      </c>
      <c r="H15" s="20">
        <f t="shared" si="1"/>
        <v>1.8263888888888889E-2</v>
      </c>
      <c r="I15" t="str">
        <f t="shared" ca="1" si="2"/>
        <v>X</v>
      </c>
      <c r="J15" s="40" t="s">
        <v>157</v>
      </c>
    </row>
    <row r="16" spans="1:10" ht="14.25" x14ac:dyDescent="0.15">
      <c r="A16" s="17" t="str">
        <f t="shared" ca="1" si="0"/>
        <v>Adam Wells (RFW)</v>
      </c>
      <c r="B16" s="17">
        <v>0</v>
      </c>
      <c r="C16" s="17">
        <v>26</v>
      </c>
      <c r="D16" s="17">
        <v>40</v>
      </c>
      <c r="E16" s="17" t="s">
        <v>173</v>
      </c>
      <c r="F16" s="17"/>
      <c r="G16" s="19" t="str">
        <f ca="1">IF($A16="","",IF($I16="X",A16,CONCATENATE(VLOOKUP(A16,Competitors!$A$2:$I$650,3, FALSE)," ",VLOOKUP(A16,Competitors!$A$2:$I$650,2,FALSE))))</f>
        <v>Adam Wells (RFW)</v>
      </c>
      <c r="H16" s="20">
        <f t="shared" si="1"/>
        <v>1.8518518518518517E-2</v>
      </c>
      <c r="I16" t="str">
        <f t="shared" ca="1" si="2"/>
        <v>X</v>
      </c>
      <c r="J16" s="40" t="s">
        <v>150</v>
      </c>
    </row>
    <row r="17" spans="1:10" ht="14.25" x14ac:dyDescent="0.15">
      <c r="A17" s="17" t="str">
        <f t="shared" ca="1" si="0"/>
        <v>Leah Cuthbertson</v>
      </c>
      <c r="B17" s="17">
        <v>0</v>
      </c>
      <c r="C17" s="17">
        <v>26</v>
      </c>
      <c r="D17" s="17">
        <v>49</v>
      </c>
      <c r="E17" s="17" t="s">
        <v>170</v>
      </c>
      <c r="F17" s="17"/>
      <c r="G17" s="19" t="str">
        <f ca="1">IF($A17="","",IF($I17="X",A17,CONCATENATE(VLOOKUP(A17,Competitors!$A$2:$I$650,3, FALSE)," ",VLOOKUP(A17,Competitors!$A$2:$I$650,2,FALSE))))</f>
        <v>Leah Cuthbertson</v>
      </c>
      <c r="H17" s="20">
        <f t="shared" si="1"/>
        <v>1.8622685185185187E-2</v>
      </c>
      <c r="I17" t="str">
        <f t="shared" ca="1" si="2"/>
        <v>X</v>
      </c>
      <c r="J17" s="40" t="s">
        <v>185</v>
      </c>
    </row>
    <row r="18" spans="1:10" ht="14.25" x14ac:dyDescent="0.15">
      <c r="A18" s="17" t="str">
        <f t="shared" ca="1" si="0"/>
        <v>Mark Tomlinson</v>
      </c>
      <c r="B18" s="17">
        <v>0</v>
      </c>
      <c r="C18" s="17">
        <v>26</v>
      </c>
      <c r="D18" s="17">
        <v>50</v>
      </c>
      <c r="E18" s="17" t="s">
        <v>173</v>
      </c>
      <c r="F18" s="17"/>
      <c r="G18" s="19" t="str">
        <f ca="1">IF($A18="","",IF($I18="X",A18,CONCATENATE(VLOOKUP(A18,Competitors!$A$2:$I$650,3, FALSE)," ",VLOOKUP(A18,Competitors!$A$2:$I$650,2,FALSE))))</f>
        <v>Mark Tomlinson</v>
      </c>
      <c r="H18" s="20">
        <f t="shared" si="1"/>
        <v>1.863425925925926E-2</v>
      </c>
      <c r="I18" t="str">
        <f t="shared" ca="1" si="2"/>
        <v>X</v>
      </c>
      <c r="J18" s="40" t="s">
        <v>186</v>
      </c>
    </row>
    <row r="19" spans="1:10" ht="14.25" x14ac:dyDescent="0.15">
      <c r="A19" s="17">
        <f t="shared" ca="1" si="0"/>
        <v>1161</v>
      </c>
      <c r="B19" s="17">
        <v>0</v>
      </c>
      <c r="C19" s="17">
        <v>27</v>
      </c>
      <c r="D19" s="17">
        <v>6</v>
      </c>
      <c r="E19" s="17" t="s">
        <v>173</v>
      </c>
      <c r="F19" s="17"/>
      <c r="G19" s="19" t="str">
        <f ca="1">IF($A19="","",IF($I19="X",A19,CONCATENATE(VLOOKUP(A19,Competitors!$A$2:$I$650,3, FALSE)," ",VLOOKUP(A19,Competitors!$A$2:$I$650,2,FALSE))))</f>
        <v>Maciej Suchocki</v>
      </c>
      <c r="H19" s="20">
        <f t="shared" si="1"/>
        <v>1.8819444444444444E-2</v>
      </c>
      <c r="I19" t="str">
        <f t="shared" ca="1" si="2"/>
        <v/>
      </c>
      <c r="J19" s="40" t="s">
        <v>587</v>
      </c>
    </row>
    <row r="20" spans="1:10" ht="14.25" x14ac:dyDescent="0.15">
      <c r="A20" s="17" t="str">
        <f t="shared" ca="1" si="0"/>
        <v>John Beckett</v>
      </c>
      <c r="B20" s="17">
        <v>0</v>
      </c>
      <c r="C20" s="17">
        <v>27</v>
      </c>
      <c r="D20" s="17">
        <v>56</v>
      </c>
      <c r="E20" s="17" t="s">
        <v>173</v>
      </c>
      <c r="F20" s="17"/>
      <c r="G20" s="19" t="str">
        <f ca="1">IF($A20="","",IF($I20="X",A20,CONCATENATE(VLOOKUP(A20,Competitors!$A$2:$I$650,3, FALSE)," ",VLOOKUP(A20,Competitors!$A$2:$I$650,2,FALSE))))</f>
        <v>John Beckett</v>
      </c>
      <c r="H20" s="20">
        <f t="shared" si="1"/>
        <v>1.9398148148148147E-2</v>
      </c>
      <c r="I20" t="str">
        <f t="shared" ca="1" si="2"/>
        <v>X</v>
      </c>
      <c r="J20" s="40" t="s">
        <v>187</v>
      </c>
    </row>
    <row r="21" spans="1:10" ht="14.25" x14ac:dyDescent="0.15">
      <c r="A21" s="17">
        <f t="shared" ca="1" si="0"/>
        <v>1094</v>
      </c>
      <c r="B21" s="17">
        <v>0</v>
      </c>
      <c r="C21" s="17">
        <v>28</v>
      </c>
      <c r="D21" s="17">
        <v>27</v>
      </c>
      <c r="E21" s="17" t="s">
        <v>173</v>
      </c>
      <c r="F21" s="17"/>
      <c r="G21" s="19" t="str">
        <f ca="1">IF($A21="","",IF($I21="X",A21,CONCATENATE(VLOOKUP(A21,Competitors!$A$2:$I$650,3, FALSE)," ",VLOOKUP(A21,Competitors!$A$2:$I$650,2,FALSE))))</f>
        <v>Andy Poulton</v>
      </c>
      <c r="H21" s="20">
        <f t="shared" si="1"/>
        <v>1.9756944444444445E-2</v>
      </c>
      <c r="I21" t="str">
        <f t="shared" ca="1" si="2"/>
        <v/>
      </c>
      <c r="J21" s="40" t="s">
        <v>579</v>
      </c>
    </row>
    <row r="22" spans="1:10" ht="14.25" x14ac:dyDescent="0.15">
      <c r="A22" s="17" t="str">
        <f t="shared" ca="1" si="0"/>
        <v>Loz Staples</v>
      </c>
      <c r="B22" s="17">
        <v>0</v>
      </c>
      <c r="C22" s="17">
        <v>28</v>
      </c>
      <c r="D22" s="17">
        <v>38</v>
      </c>
      <c r="E22" s="17" t="s">
        <v>173</v>
      </c>
      <c r="F22" s="17"/>
      <c r="G22" s="19" t="str">
        <f ca="1">IF($A22="","",IF($I22="X",A22,CONCATENATE(VLOOKUP(A22,Competitors!$A$2:$I$650,3, FALSE)," ",VLOOKUP(A22,Competitors!$A$2:$I$650,2,FALSE))))</f>
        <v>Loz Staples</v>
      </c>
      <c r="H22" s="20">
        <f t="shared" si="1"/>
        <v>1.9884259259259258E-2</v>
      </c>
      <c r="I22" t="str">
        <f t="shared" ca="1" si="2"/>
        <v>X</v>
      </c>
      <c r="J22" s="40" t="s">
        <v>188</v>
      </c>
    </row>
    <row r="23" spans="1:10" ht="14.25" x14ac:dyDescent="0.15">
      <c r="A23" s="17">
        <f t="shared" ca="1" si="0"/>
        <v>567</v>
      </c>
      <c r="B23" s="17">
        <v>0</v>
      </c>
      <c r="C23" s="17">
        <v>28</v>
      </c>
      <c r="D23" s="17">
        <v>38</v>
      </c>
      <c r="E23" s="17" t="s">
        <v>170</v>
      </c>
      <c r="F23" s="17"/>
      <c r="G23" s="19" t="str">
        <f ca="1">IF($A23="","",IF($I23="X",A23,CONCATENATE(VLOOKUP(A23,Competitors!$A$2:$I$650,3, FALSE)," ",VLOOKUP(A23,Competitors!$A$2:$I$650,2,FALSE))))</f>
        <v>Lawrence Cox</v>
      </c>
      <c r="H23" s="20">
        <f t="shared" si="1"/>
        <v>1.9884259259259258E-2</v>
      </c>
      <c r="I23" t="str">
        <f t="shared" ca="1" si="2"/>
        <v/>
      </c>
      <c r="J23" s="40" t="s">
        <v>593</v>
      </c>
    </row>
    <row r="24" spans="1:10" ht="14.25" x14ac:dyDescent="0.15">
      <c r="A24" s="17" t="str">
        <f t="shared" ca="1" si="0"/>
        <v>Ed Watson (Ratae)</v>
      </c>
      <c r="B24" s="17">
        <v>0</v>
      </c>
      <c r="C24" s="17">
        <v>28</v>
      </c>
      <c r="D24" s="17">
        <v>49</v>
      </c>
      <c r="E24" s="17" t="s">
        <v>170</v>
      </c>
      <c r="F24" s="17"/>
      <c r="G24" s="19" t="str">
        <f ca="1">IF($A24="","",IF($I24="X",A24,CONCATENATE(VLOOKUP(A24,Competitors!$A$2:$I$650,3, FALSE)," ",VLOOKUP(A24,Competitors!$A$2:$I$650,2,FALSE))))</f>
        <v>Ed Watson (Ratae)</v>
      </c>
      <c r="H24" s="20">
        <f t="shared" si="1"/>
        <v>2.0011574074074074E-2</v>
      </c>
      <c r="I24" t="str">
        <f t="shared" ca="1" si="2"/>
        <v>X</v>
      </c>
      <c r="J24" s="40" t="s">
        <v>189</v>
      </c>
    </row>
    <row r="25" spans="1:10" ht="14.25" x14ac:dyDescent="0.15">
      <c r="A25" s="17">
        <f t="shared" ca="1" si="0"/>
        <v>1107</v>
      </c>
      <c r="B25" s="17">
        <v>0</v>
      </c>
      <c r="C25" s="17">
        <v>29</v>
      </c>
      <c r="D25" s="17">
        <v>8</v>
      </c>
      <c r="E25" s="17" t="s">
        <v>170</v>
      </c>
      <c r="F25" s="17"/>
      <c r="G25" s="19" t="str">
        <f ca="1">IF($A25="","",IF($I25="X",A25,CONCATENATE(VLOOKUP(A25,Competitors!$A$2:$I$650,3, FALSE)," ",VLOOKUP(A25,Competitors!$A$2:$I$650,2,FALSE))))</f>
        <v>Milly Pinnock</v>
      </c>
      <c r="H25" s="20">
        <f t="shared" si="1"/>
        <v>2.0231481481481482E-2</v>
      </c>
      <c r="I25" t="str">
        <f t="shared" ca="1" si="2"/>
        <v/>
      </c>
      <c r="J25" s="40" t="s">
        <v>600</v>
      </c>
    </row>
    <row r="26" spans="1:10" ht="14.25" x14ac:dyDescent="0.15">
      <c r="A26" s="17" t="str">
        <f t="shared" ca="1" si="0"/>
        <v>Carolyn Pfalzgraf</v>
      </c>
      <c r="B26" s="17">
        <v>0</v>
      </c>
      <c r="C26" s="17">
        <v>29</v>
      </c>
      <c r="D26" s="17">
        <v>13</v>
      </c>
      <c r="E26" s="17" t="s">
        <v>173</v>
      </c>
      <c r="F26" s="17"/>
      <c r="G26" s="19" t="str">
        <f ca="1">IF($A26="","",IF($I26="X",A26,CONCATENATE(VLOOKUP(A26,Competitors!$A$2:$I$650,3, FALSE)," ",VLOOKUP(A26,Competitors!$A$2:$I$650,2,FALSE))))</f>
        <v>Carolyn Pfalzgraf</v>
      </c>
      <c r="H26" s="20">
        <f t="shared" si="1"/>
        <v>2.0289351851851854E-2</v>
      </c>
      <c r="I26" t="str">
        <f t="shared" ca="1" si="2"/>
        <v>X</v>
      </c>
      <c r="J26" s="40" t="s">
        <v>190</v>
      </c>
    </row>
    <row r="27" spans="1:10" ht="14.25" x14ac:dyDescent="0.15">
      <c r="A27" s="17" t="str">
        <f t="shared" ca="1" si="0"/>
        <v>Mike Deely</v>
      </c>
      <c r="B27" s="17">
        <v>0</v>
      </c>
      <c r="C27" s="17">
        <v>29</v>
      </c>
      <c r="D27" s="17">
        <v>55</v>
      </c>
      <c r="E27" s="17" t="s">
        <v>170</v>
      </c>
      <c r="F27" s="17"/>
      <c r="G27" s="19" t="str">
        <f ca="1">IF($A27="","",IF($I27="X",A27,CONCATENATE(VLOOKUP(A27,Competitors!$A$2:$I$650,3, FALSE)," ",VLOOKUP(A27,Competitors!$A$2:$I$650,2,FALSE))))</f>
        <v>Mike Deely</v>
      </c>
      <c r="H27" s="20">
        <f t="shared" si="1"/>
        <v>2.0775462962962964E-2</v>
      </c>
      <c r="I27" t="str">
        <f t="shared" ca="1" si="2"/>
        <v>X</v>
      </c>
      <c r="J27" s="40" t="s">
        <v>191</v>
      </c>
    </row>
    <row r="28" spans="1:10" ht="14.25" x14ac:dyDescent="0.15">
      <c r="A28" s="17" t="s">
        <v>192</v>
      </c>
      <c r="B28" s="17">
        <v>0</v>
      </c>
      <c r="C28" s="17">
        <v>29</v>
      </c>
      <c r="D28" s="17">
        <v>58</v>
      </c>
      <c r="E28" s="17" t="s">
        <v>173</v>
      </c>
      <c r="F28" s="17"/>
      <c r="G28" s="19" t="str">
        <f>IF($A28="","",IF($I28="X",A28,CONCATENATE(VLOOKUP(A28,Competitors!$A$2:$I$650,3, FALSE)," ",VLOOKUP(A28,Competitors!$A$2:$I$650,2,FALSE))))</f>
        <v>David Morgan</v>
      </c>
      <c r="H28" s="20">
        <f t="shared" si="1"/>
        <v>2.0810185185185185E-2</v>
      </c>
      <c r="I28" t="str">
        <f t="shared" si="2"/>
        <v>X</v>
      </c>
      <c r="J28" s="40" t="s">
        <v>192</v>
      </c>
    </row>
    <row r="29" spans="1:10" ht="14.25" x14ac:dyDescent="0.15">
      <c r="A29" s="17" t="str">
        <f t="shared" ca="1" si="0"/>
        <v>Philip Merritt</v>
      </c>
      <c r="B29" s="17">
        <v>0</v>
      </c>
      <c r="C29" s="17">
        <v>30</v>
      </c>
      <c r="D29" s="17">
        <v>17</v>
      </c>
      <c r="E29" s="17" t="s">
        <v>173</v>
      </c>
      <c r="F29" s="17"/>
      <c r="G29" s="19" t="str">
        <f ca="1">IF($A29="","",IF($I29="X",A29,CONCATENATE(VLOOKUP(A29,Competitors!$A$2:$I$650,3, FALSE)," ",VLOOKUP(A29,Competitors!$A$2:$I$650,2,FALSE))))</f>
        <v>Philip Merritt</v>
      </c>
      <c r="H29" s="20">
        <f t="shared" si="1"/>
        <v>2.1030092592592593E-2</v>
      </c>
      <c r="I29" t="str">
        <f t="shared" ca="1" si="2"/>
        <v>X</v>
      </c>
      <c r="J29" s="40" t="s">
        <v>193</v>
      </c>
    </row>
    <row r="30" spans="1:10" ht="14.25" x14ac:dyDescent="0.15">
      <c r="A30" s="17" t="str">
        <f t="shared" ca="1" si="0"/>
        <v>David Creese</v>
      </c>
      <c r="B30" s="17">
        <v>0</v>
      </c>
      <c r="C30" s="17">
        <v>30</v>
      </c>
      <c r="D30" s="17">
        <v>19</v>
      </c>
      <c r="E30" s="17" t="s">
        <v>173</v>
      </c>
      <c r="F30" s="17"/>
      <c r="G30" s="19" t="str">
        <f ca="1">IF($A30="","",IF($I30="X",A30,CONCATENATE(VLOOKUP(A30,Competitors!$A$2:$I$650,3, FALSE)," ",VLOOKUP(A30,Competitors!$A$2:$I$650,2,FALSE))))</f>
        <v>David Creese</v>
      </c>
      <c r="H30" s="20">
        <f t="shared" si="1"/>
        <v>2.105324074074074E-2</v>
      </c>
      <c r="I30" t="str">
        <f t="shared" ca="1" si="2"/>
        <v>X</v>
      </c>
      <c r="J30" s="40" t="s">
        <v>194</v>
      </c>
    </row>
    <row r="31" spans="1:10" ht="14.25" x14ac:dyDescent="0.15">
      <c r="A31" s="17" t="str">
        <f t="shared" ca="1" si="0"/>
        <v>Isaac Barral</v>
      </c>
      <c r="B31" s="17">
        <v>0</v>
      </c>
      <c r="C31" s="17">
        <v>30</v>
      </c>
      <c r="D31" s="17">
        <v>36</v>
      </c>
      <c r="E31" s="17" t="s">
        <v>173</v>
      </c>
      <c r="F31" s="17"/>
      <c r="G31" s="19" t="str">
        <f ca="1">IF($A31="","",IF($I31="X",A31,CONCATENATE(VLOOKUP(A31,Competitors!$A$2:$I$650,3, FALSE)," ",VLOOKUP(A31,Competitors!$A$2:$I$650,2,FALSE))))</f>
        <v>Isaac Barral</v>
      </c>
      <c r="H31" s="20">
        <f t="shared" si="1"/>
        <v>2.1250000000000002E-2</v>
      </c>
      <c r="I31" t="str">
        <f t="shared" ca="1" si="2"/>
        <v>X</v>
      </c>
      <c r="J31" s="40" t="s">
        <v>195</v>
      </c>
    </row>
    <row r="32" spans="1:10" ht="14.25" x14ac:dyDescent="0.15">
      <c r="A32" s="17" t="str">
        <f t="shared" ca="1" si="0"/>
        <v>Bethany Spencer</v>
      </c>
      <c r="B32" s="17">
        <v>0</v>
      </c>
      <c r="C32" s="17">
        <v>31</v>
      </c>
      <c r="D32" s="17">
        <v>20</v>
      </c>
      <c r="E32" s="17" t="s">
        <v>173</v>
      </c>
      <c r="F32" s="17"/>
      <c r="G32" s="19" t="str">
        <f ca="1">IF($A32="","",IF($I32="X",A32,CONCATENATE(VLOOKUP(A32,Competitors!$A$2:$I$650,3, FALSE)," ",VLOOKUP(A32,Competitors!$A$2:$I$650,2,FALSE))))</f>
        <v>Bethany Spencer</v>
      </c>
      <c r="H32" s="20">
        <f t="shared" si="1"/>
        <v>2.1759259259259259E-2</v>
      </c>
      <c r="I32" t="str">
        <f t="shared" ca="1" si="2"/>
        <v>X</v>
      </c>
      <c r="J32" s="40" t="s">
        <v>196</v>
      </c>
    </row>
    <row r="33" spans="1:10" ht="14.25" x14ac:dyDescent="0.15">
      <c r="A33" s="17" t="str">
        <f t="shared" ca="1" si="0"/>
        <v>Noel Toone</v>
      </c>
      <c r="B33" s="17">
        <v>0</v>
      </c>
      <c r="C33" s="17">
        <v>31</v>
      </c>
      <c r="D33" s="17">
        <v>20</v>
      </c>
      <c r="E33" s="17" t="s">
        <v>170</v>
      </c>
      <c r="F33" s="17"/>
      <c r="G33" s="19" t="str">
        <f ca="1">IF($A33="","",IF($I33="X",A33,CONCATENATE(VLOOKUP(A33,Competitors!$A$2:$I$650,3, FALSE)," ",VLOOKUP(A33,Competitors!$A$2:$I$650,2,FALSE))))</f>
        <v>Noel Toone</v>
      </c>
      <c r="H33" s="20">
        <f t="shared" si="1"/>
        <v>2.1759259259259259E-2</v>
      </c>
      <c r="I33" t="str">
        <f t="shared" ca="1" si="2"/>
        <v>X</v>
      </c>
      <c r="J33" s="40" t="s">
        <v>197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>Hayley Moore</v>
      </c>
      <c r="B34" s="17">
        <v>0</v>
      </c>
      <c r="C34" s="17">
        <v>32</v>
      </c>
      <c r="D34" s="17">
        <v>1</v>
      </c>
      <c r="E34" s="17" t="s">
        <v>170</v>
      </c>
      <c r="F34" s="17"/>
      <c r="G34" s="19" t="str">
        <f ca="1">IF($A34="","",IF($I34="X",A34,CONCATENATE(VLOOKUP(A34,Competitors!$A$2:$I$650,3, FALSE)," ",VLOOKUP(A34,Competitors!$A$2:$I$650,2,FALSE))))</f>
        <v>Hayley Moore</v>
      </c>
      <c r="H34" s="20">
        <f t="shared" si="1"/>
        <v>2.2233796296296297E-2</v>
      </c>
      <c r="I34" t="str">
        <f t="shared" ca="1" si="2"/>
        <v>X</v>
      </c>
      <c r="J34" s="40" t="s">
        <v>198</v>
      </c>
    </row>
    <row r="35" spans="1:10" ht="14.25" x14ac:dyDescent="0.15">
      <c r="A35" s="17">
        <f t="shared" ca="1" si="3"/>
        <v>674</v>
      </c>
      <c r="B35" s="17">
        <v>0</v>
      </c>
      <c r="C35" s="17">
        <v>32</v>
      </c>
      <c r="D35" s="17">
        <v>7</v>
      </c>
      <c r="E35" s="17" t="s">
        <v>173</v>
      </c>
      <c r="F35" s="17"/>
      <c r="G35" s="19" t="str">
        <f ca="1">IF($A35="","",IF($I35="X",A35,CONCATENATE(VLOOKUP(A35,Competitors!$A$2:$I$650,3, FALSE)," ",VLOOKUP(A35,Competitors!$A$2:$I$650,2,FALSE))))</f>
        <v>Jennifer Clegg</v>
      </c>
      <c r="H35" s="20">
        <f t="shared" si="1"/>
        <v>2.2303240740740742E-2</v>
      </c>
      <c r="I35" t="str">
        <f t="shared" ca="1" si="2"/>
        <v/>
      </c>
      <c r="J35" s="40" t="s">
        <v>641</v>
      </c>
    </row>
    <row r="36" spans="1:10" ht="14.25" x14ac:dyDescent="0.15">
      <c r="A36" s="17" t="str">
        <f t="shared" ca="1" si="3"/>
        <v>Martin Webb</v>
      </c>
      <c r="B36" s="17">
        <v>0</v>
      </c>
      <c r="C36" s="17">
        <v>33</v>
      </c>
      <c r="D36" s="17">
        <v>6</v>
      </c>
      <c r="E36" s="17" t="s">
        <v>173</v>
      </c>
      <c r="F36" s="17"/>
      <c r="G36" s="19" t="str">
        <f ca="1">IF($A36="","",IF($I36="X",A36,CONCATENATE(VLOOKUP(A36,Competitors!$A$2:$I$650,3, FALSE)," ",VLOOKUP(A36,Competitors!$A$2:$I$650,2,FALSE))))</f>
        <v>Martin Webb</v>
      </c>
      <c r="H36" s="20">
        <f t="shared" si="1"/>
        <v>2.298611111111111E-2</v>
      </c>
      <c r="I36" t="str">
        <f t="shared" ca="1" si="2"/>
        <v>X</v>
      </c>
      <c r="J36" s="40" t="s">
        <v>199</v>
      </c>
    </row>
    <row r="37" spans="1:10" ht="14.25" x14ac:dyDescent="0.15">
      <c r="A37" s="17" t="str">
        <f t="shared" ca="1" si="3"/>
        <v>Maria Cayford</v>
      </c>
      <c r="B37" s="17">
        <v>0</v>
      </c>
      <c r="C37" s="17">
        <v>33</v>
      </c>
      <c r="D37" s="17">
        <v>42</v>
      </c>
      <c r="E37" s="17" t="s">
        <v>173</v>
      </c>
      <c r="F37" s="17"/>
      <c r="G37" s="19" t="str">
        <f ca="1">IF($A37="","",IF($I37="X",A37,CONCATENATE(VLOOKUP(A37,Competitors!$A$2:$I$650,3, FALSE)," ",VLOOKUP(A37,Competitors!$A$2:$I$650,2,FALSE))))</f>
        <v>Maria Cayford</v>
      </c>
      <c r="H37" s="20">
        <f t="shared" si="1"/>
        <v>2.3402777777777779E-2</v>
      </c>
      <c r="I37" t="str">
        <f t="shared" ca="1" si="2"/>
        <v>X</v>
      </c>
      <c r="J37" s="40" t="s">
        <v>200</v>
      </c>
    </row>
    <row r="38" spans="1:10" ht="14.25" x14ac:dyDescent="0.15">
      <c r="A38" s="17" t="str">
        <f t="shared" ca="1" si="3"/>
        <v>Des Roberts</v>
      </c>
      <c r="B38" s="17">
        <v>0</v>
      </c>
      <c r="C38" s="17">
        <v>34</v>
      </c>
      <c r="D38" s="17">
        <v>7</v>
      </c>
      <c r="E38" s="17" t="s">
        <v>170</v>
      </c>
      <c r="F38" s="17"/>
      <c r="G38" s="19" t="str">
        <f ca="1">IF($A38="","",IF($I38="X",A38,CONCATENATE(VLOOKUP(A38,Competitors!$A$2:$I$650,3, FALSE)," ",VLOOKUP(A38,Competitors!$A$2:$I$650,2,FALSE))))</f>
        <v>Des Roberts</v>
      </c>
      <c r="H38" s="20">
        <f t="shared" si="1"/>
        <v>2.3692129629629629E-2</v>
      </c>
      <c r="I38" t="str">
        <f t="shared" ca="1" si="2"/>
        <v>X</v>
      </c>
      <c r="J38" s="40" t="s">
        <v>201</v>
      </c>
    </row>
    <row r="39" spans="1:10" ht="14.25" x14ac:dyDescent="0.15">
      <c r="A39" s="17" t="str">
        <f t="shared" ca="1" si="3"/>
        <v>David Cook</v>
      </c>
      <c r="B39" s="17">
        <v>0</v>
      </c>
      <c r="C39" s="17">
        <v>35</v>
      </c>
      <c r="D39" s="17">
        <v>28</v>
      </c>
      <c r="E39" s="17" t="s">
        <v>170</v>
      </c>
      <c r="F39" s="17"/>
      <c r="G39" s="19" t="str">
        <f ca="1">IF($A39="","",IF($I39="X",A39,CONCATENATE(VLOOKUP(A39,Competitors!$A$2:$I$650,3, FALSE)," ",VLOOKUP(A39,Competitors!$A$2:$I$650,2,FALSE))))</f>
        <v>David Cook</v>
      </c>
      <c r="H39" s="20">
        <f t="shared" si="1"/>
        <v>2.462962962962963E-2</v>
      </c>
      <c r="I39" t="str">
        <f t="shared" ca="1" si="2"/>
        <v>X</v>
      </c>
      <c r="J39" s="40" t="s">
        <v>202</v>
      </c>
    </row>
    <row r="40" spans="1:10" ht="14.25" x14ac:dyDescent="0.15">
      <c r="A40" s="17" t="str">
        <f t="shared" ca="1" si="3"/>
        <v>Lynne Scofield (RFW)</v>
      </c>
      <c r="B40" s="17">
        <v>0</v>
      </c>
      <c r="C40" s="17">
        <v>36</v>
      </c>
      <c r="D40" s="17">
        <v>48</v>
      </c>
      <c r="E40" s="17" t="s">
        <v>170</v>
      </c>
      <c r="F40" s="17"/>
      <c r="G40" s="19" t="str">
        <f ca="1">IF($A40="","",IF($I40="X",A40,CONCATENATE(VLOOKUP(A40,Competitors!$A$2:$I$650,3, FALSE)," ",VLOOKUP(A40,Competitors!$A$2:$I$650,2,FALSE))))</f>
        <v>Lynne Scofield (RFW)</v>
      </c>
      <c r="H40" s="20">
        <f t="shared" si="1"/>
        <v>2.5555555555555557E-2</v>
      </c>
      <c r="I40" t="str">
        <f t="shared" ca="1" si="2"/>
        <v>X</v>
      </c>
      <c r="J40" s="40" t="s">
        <v>155</v>
      </c>
    </row>
    <row r="41" spans="1:10" ht="14.25" x14ac:dyDescent="0.15">
      <c r="A41" s="17">
        <f t="shared" ca="1" si="3"/>
        <v>1298</v>
      </c>
      <c r="B41" s="17">
        <v>0</v>
      </c>
      <c r="C41" s="17">
        <v>38</v>
      </c>
      <c r="D41" s="17">
        <v>56</v>
      </c>
      <c r="E41" s="17" t="s">
        <v>170</v>
      </c>
      <c r="F41" s="17"/>
      <c r="G41" s="19" t="str">
        <f ca="1">IF($A41="","",IF($I41="X",A41,CONCATENATE(VLOOKUP(A41,Competitors!$A$2:$I$650,3, FALSE)," ",VLOOKUP(A41,Competitors!$A$2:$I$650,2,FALSE))))</f>
        <v>Jane Moore</v>
      </c>
      <c r="H41" s="20">
        <f t="shared" si="1"/>
        <v>2.7037037037037037E-2</v>
      </c>
      <c r="I41" t="str">
        <f t="shared" ca="1" si="2"/>
        <v/>
      </c>
      <c r="J41" s="40" t="s">
        <v>614</v>
      </c>
    </row>
    <row r="42" spans="1:10" ht="14.25" x14ac:dyDescent="0.15">
      <c r="A42" s="17" t="str">
        <f t="shared" ca="1" si="3"/>
        <v>Terry Sykes</v>
      </c>
      <c r="B42" s="17">
        <v>0</v>
      </c>
      <c r="C42" s="17">
        <v>45</v>
      </c>
      <c r="D42" s="17">
        <v>29</v>
      </c>
      <c r="E42" s="17" t="s">
        <v>170</v>
      </c>
      <c r="F42" s="17"/>
      <c r="G42" s="19" t="str">
        <f ca="1">IF($A42="","",IF($I42="X",A42,CONCATENATE(VLOOKUP(A42,Competitors!$A$2:$I$650,3, FALSE)," ",VLOOKUP(A42,Competitors!$A$2:$I$650,2,FALSE))))</f>
        <v>Terry Sykes</v>
      </c>
      <c r="H42" s="20">
        <f t="shared" si="1"/>
        <v>3.1585648148148147E-2</v>
      </c>
      <c r="I42" t="str">
        <f t="shared" ca="1" si="2"/>
        <v>X</v>
      </c>
      <c r="J42" s="40" t="s">
        <v>203</v>
      </c>
    </row>
    <row r="43" spans="1:10" ht="14.25" x14ac:dyDescent="0.15">
      <c r="A43" s="17" t="str">
        <f t="shared" ca="1" si="3"/>
        <v>Gregory Ashley</v>
      </c>
      <c r="B43" s="17">
        <v>1</v>
      </c>
      <c r="C43" s="17">
        <v>0</v>
      </c>
      <c r="D43" s="17">
        <v>0</v>
      </c>
      <c r="E43" s="17"/>
      <c r="F43" s="17" t="s">
        <v>205</v>
      </c>
      <c r="G43" s="19" t="str">
        <f ca="1">IF($A43="","",IF($I43="X",A43,CONCATENATE(VLOOKUP(A43,Competitors!$A$2:$I$650,3, FALSE)," ",VLOOKUP(A43,Competitors!$A$2:$I$650,2,FALSE))))</f>
        <v>Gregory Ashley</v>
      </c>
      <c r="H43" s="20">
        <f t="shared" si="1"/>
        <v>4.1666666666666664E-2</v>
      </c>
      <c r="I43" t="str">
        <f t="shared" ca="1" si="2"/>
        <v>X</v>
      </c>
      <c r="J43" s="40" t="s">
        <v>204</v>
      </c>
    </row>
    <row r="44" spans="1:10" ht="14.25" x14ac:dyDescent="0.15">
      <c r="A44" s="17" t="str">
        <f t="shared" ca="1" si="3"/>
        <v>Cameron Walker</v>
      </c>
      <c r="B44" s="17">
        <v>2</v>
      </c>
      <c r="C44" s="17">
        <v>0</v>
      </c>
      <c r="D44" s="17">
        <v>0</v>
      </c>
      <c r="E44" s="17"/>
      <c r="F44" s="17" t="s">
        <v>205</v>
      </c>
      <c r="G44" s="19" t="str">
        <f ca="1">IF($A44="","",IF($I44="X",A44,CONCATENATE(VLOOKUP(A44,Competitors!$A$2:$I$650,3, FALSE)," ",VLOOKUP(A44,Competitors!$A$2:$I$650,2,FALSE))))</f>
        <v>Cameron Walker</v>
      </c>
      <c r="H44" s="20">
        <f t="shared" si="1"/>
        <v>8.3333333333333329E-2</v>
      </c>
      <c r="I44" t="str">
        <f t="shared" ca="1" si="2"/>
        <v>X</v>
      </c>
      <c r="J44" s="40" t="s">
        <v>206</v>
      </c>
    </row>
    <row r="45" spans="1:10" ht="14.25" x14ac:dyDescent="0.15">
      <c r="A45" s="17" t="str">
        <f t="shared" ca="1" si="3"/>
        <v>Jack Patmore</v>
      </c>
      <c r="B45" s="17">
        <v>3</v>
      </c>
      <c r="C45" s="17">
        <v>0</v>
      </c>
      <c r="D45" s="17">
        <v>0</v>
      </c>
      <c r="E45" s="17"/>
      <c r="F45" s="17" t="s">
        <v>205</v>
      </c>
      <c r="G45" s="19" t="str">
        <f ca="1">IF($A45="","",IF($I45="X",A45,CONCATENATE(VLOOKUP(A45,Competitors!$A$2:$I$650,3, FALSE)," ",VLOOKUP(A45,Competitors!$A$2:$I$650,2,FALSE))))</f>
        <v>Jack Patmore</v>
      </c>
      <c r="H45" s="20">
        <f t="shared" si="1"/>
        <v>0.125</v>
      </c>
      <c r="I45" t="str">
        <f t="shared" ca="1" si="2"/>
        <v>X</v>
      </c>
      <c r="J45" s="40" t="s">
        <v>207</v>
      </c>
    </row>
    <row r="46" spans="1:10" ht="14.25" x14ac:dyDescent="0.15">
      <c r="A46" s="17" t="str">
        <f t="shared" ca="1" si="3"/>
        <v>Chris Spray (Ratae)</v>
      </c>
      <c r="B46" s="17">
        <v>4</v>
      </c>
      <c r="C46" s="17">
        <v>0</v>
      </c>
      <c r="D46" s="17">
        <v>0</v>
      </c>
      <c r="E46" s="17"/>
      <c r="F46" s="17" t="s">
        <v>205</v>
      </c>
      <c r="G46" s="19" t="str">
        <f ca="1">IF($A46="","",IF($I46="X",A46,CONCATENATE(VLOOKUP(A46,Competitors!$A$2:$I$650,3, FALSE)," ",VLOOKUP(A46,Competitors!$A$2:$I$650,2,FALSE))))</f>
        <v>Chris Spray (Ratae)</v>
      </c>
      <c r="H46" s="20">
        <f t="shared" si="1"/>
        <v>0.16666666666666666</v>
      </c>
      <c r="I46" t="str">
        <f t="shared" ca="1" si="2"/>
        <v>X</v>
      </c>
      <c r="J46" s="40" t="s">
        <v>142</v>
      </c>
    </row>
    <row r="47" spans="1:10" ht="14.25" x14ac:dyDescent="0.15">
      <c r="A47" s="17" t="str">
        <f t="shared" ca="1" si="3"/>
        <v>Steven Brierley</v>
      </c>
      <c r="B47" s="17">
        <v>5</v>
      </c>
      <c r="C47" s="17">
        <v>0</v>
      </c>
      <c r="D47" s="17">
        <v>0</v>
      </c>
      <c r="E47" s="17"/>
      <c r="F47" s="17" t="s">
        <v>205</v>
      </c>
      <c r="G47" s="19" t="str">
        <f ca="1">IF($A47="","",IF($I47="X",A47,CONCATENATE(VLOOKUP(A47,Competitors!$A$2:$I$650,3, FALSE)," ",VLOOKUP(A47,Competitors!$A$2:$I$650,2,FALSE))))</f>
        <v>Steven Brierley</v>
      </c>
      <c r="H47" s="20">
        <f t="shared" si="1"/>
        <v>0.20833333333333334</v>
      </c>
      <c r="I47" t="str">
        <f t="shared" ca="1" si="2"/>
        <v>X</v>
      </c>
      <c r="J47" s="40" t="s">
        <v>208</v>
      </c>
    </row>
    <row r="48" spans="1:10" ht="14.25" x14ac:dyDescent="0.15">
      <c r="A48" s="17">
        <f t="shared" ca="1" si="3"/>
        <v>1364</v>
      </c>
      <c r="B48" s="17">
        <v>6</v>
      </c>
      <c r="C48" s="17">
        <v>0</v>
      </c>
      <c r="D48" s="17">
        <v>0</v>
      </c>
      <c r="E48" s="17"/>
      <c r="F48" s="17" t="s">
        <v>205</v>
      </c>
      <c r="G48" s="19" t="str">
        <f ca="1">IF($A48="","",IF($I48="X",A48,CONCATENATE(VLOOKUP(A48,Competitors!$A$2:$I$650,3, FALSE)," ",VLOOKUP(A48,Competitors!$A$2:$I$650,2,FALSE))))</f>
        <v>Laurence Noble</v>
      </c>
      <c r="H48" s="20">
        <f t="shared" si="1"/>
        <v>0.25</v>
      </c>
      <c r="I48" t="str">
        <f t="shared" ca="1" si="2"/>
        <v/>
      </c>
      <c r="J48" s="40" t="s">
        <v>209</v>
      </c>
    </row>
    <row r="49" spans="1:10" ht="14.25" x14ac:dyDescent="0.15">
      <c r="A49" s="17" t="str">
        <f t="shared" ca="1" si="3"/>
        <v/>
      </c>
      <c r="B49" s="17"/>
      <c r="C49" s="17"/>
      <c r="D49" s="17"/>
      <c r="E49" s="17"/>
      <c r="F49" s="17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7"/>
      <c r="D50" s="17"/>
      <c r="E50" s="17"/>
      <c r="F50" s="17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7"/>
      <c r="D51" s="17"/>
      <c r="E51" s="17"/>
      <c r="F51" s="17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7"/>
      <c r="D52" s="17"/>
      <c r="E52" s="17"/>
      <c r="F52" s="17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7"/>
      <c r="D53" s="17"/>
      <c r="E53" s="17"/>
      <c r="F53" s="17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7"/>
      <c r="D54" s="17"/>
      <c r="E54" s="17"/>
      <c r="F54" s="17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7"/>
      <c r="D55" s="17"/>
      <c r="E55" s="17"/>
      <c r="F55" s="17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7"/>
      <c r="D56" s="17"/>
      <c r="E56" s="17"/>
      <c r="F56" s="17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7"/>
      <c r="D57" s="17"/>
      <c r="E57" s="17"/>
      <c r="F57" s="17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7"/>
      <c r="D58" s="17"/>
      <c r="E58" s="17"/>
      <c r="F58" s="17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7"/>
      <c r="D59" s="17"/>
      <c r="E59" s="17"/>
      <c r="F59" s="17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7"/>
      <c r="D60" s="17"/>
      <c r="E60" s="17"/>
      <c r="F60" s="17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7"/>
      <c r="D61" s="17"/>
      <c r="E61" s="17"/>
      <c r="F61" s="17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7"/>
      <c r="D62" s="17"/>
      <c r="E62" s="17"/>
      <c r="F62" s="17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7"/>
      <c r="D63" s="17"/>
      <c r="E63" s="17"/>
      <c r="F63" s="17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7"/>
      <c r="D64" s="17"/>
      <c r="E64" s="17"/>
      <c r="F64" s="17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7"/>
      <c r="D65" s="17"/>
      <c r="E65" s="17"/>
      <c r="F65" s="17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7"/>
      <c r="D66" s="17"/>
      <c r="E66" s="17"/>
      <c r="F66" s="17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7"/>
      <c r="D67" s="17"/>
      <c r="E67" s="17"/>
      <c r="F67" s="17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7"/>
      <c r="D68" s="17"/>
      <c r="E68" s="17"/>
      <c r="F68" s="17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7"/>
      <c r="D69" s="17"/>
      <c r="E69" s="17"/>
      <c r="F69" s="17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7"/>
      <c r="D70" s="17"/>
      <c r="E70" s="17"/>
      <c r="F70" s="17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7"/>
      <c r="D71" s="17"/>
      <c r="E71" s="17"/>
      <c r="F71" s="17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7"/>
      <c r="D72" s="17"/>
      <c r="E72" s="17"/>
      <c r="F72" s="17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7"/>
      <c r="D73" s="17"/>
      <c r="E73" s="17"/>
      <c r="F73" s="17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7"/>
      <c r="D74" s="17"/>
      <c r="E74" s="17"/>
      <c r="F74" s="17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7"/>
      <c r="D75" s="17"/>
      <c r="E75" s="17"/>
      <c r="F75" s="17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7"/>
      <c r="D76" s="17"/>
      <c r="E76" s="17"/>
      <c r="F76" s="17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7"/>
      <c r="D77" s="17"/>
      <c r="E77" s="17"/>
      <c r="F77" s="17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7"/>
      <c r="D78" s="17"/>
      <c r="E78" s="17"/>
      <c r="F78" s="17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7"/>
      <c r="D79" s="17"/>
      <c r="E79" s="17"/>
      <c r="F79" s="17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7"/>
      <c r="D80" s="17"/>
      <c r="E80" s="17"/>
      <c r="F80" s="17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7"/>
      <c r="D81" s="17"/>
      <c r="E81" s="17"/>
      <c r="F81" s="17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7"/>
      <c r="D82" s="17"/>
      <c r="E82" s="17"/>
      <c r="F82" s="17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7"/>
      <c r="D83" s="17"/>
      <c r="E83" s="17"/>
      <c r="F83" s="17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7"/>
      <c r="D84" s="17"/>
      <c r="E84" s="17"/>
      <c r="F84" s="17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7"/>
      <c r="D85" s="17"/>
      <c r="E85" s="17"/>
      <c r="F85" s="17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7"/>
      <c r="D86" s="17"/>
      <c r="E86" s="17"/>
      <c r="F86" s="17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7"/>
      <c r="D87" s="17"/>
      <c r="E87" s="17"/>
      <c r="F87" s="17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7"/>
      <c r="D88" s="17"/>
      <c r="E88" s="17"/>
      <c r="F88" s="17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7"/>
      <c r="D89" s="17"/>
      <c r="E89" s="17"/>
      <c r="F89" s="17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7"/>
      <c r="D90" s="17"/>
      <c r="E90" s="17"/>
      <c r="F90" s="17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7"/>
      <c r="D91" s="17"/>
      <c r="E91" s="17"/>
      <c r="F91" s="17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7"/>
      <c r="D92" s="17"/>
      <c r="E92" s="17"/>
      <c r="F92" s="17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7"/>
      <c r="D93" s="17"/>
      <c r="E93" s="17"/>
      <c r="F93" s="17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7"/>
      <c r="D94" s="17"/>
      <c r="E94" s="17"/>
      <c r="F94" s="17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7"/>
      <c r="D95" s="17"/>
      <c r="E95" s="17"/>
      <c r="F95" s="17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7"/>
      <c r="D96" s="17"/>
      <c r="E96" s="17"/>
      <c r="F96" s="17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7"/>
      <c r="D97" s="17"/>
      <c r="E97" s="17"/>
      <c r="F97" s="17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7"/>
      <c r="D98" s="17"/>
      <c r="E98" s="17"/>
      <c r="F98" s="17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7"/>
      <c r="D99" s="17"/>
      <c r="E99" s="17"/>
      <c r="F99" s="17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7"/>
      <c r="D100" s="17"/>
      <c r="E100" s="17"/>
      <c r="F100" s="17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7"/>
      <c r="D101" s="17"/>
      <c r="E101" s="17"/>
      <c r="F101" s="17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74" priority="1">
      <formula>TEXT($B$104,"@")="Y"</formula>
    </cfRule>
  </conditionalFormatting>
  <conditionalFormatting sqref="G2:H101">
    <cfRule type="expression" dxfId="73" priority="3">
      <formula>$I2="X"</formula>
    </cfRule>
  </conditionalFormatting>
  <conditionalFormatting sqref="H2:H101">
    <cfRule type="expression" dxfId="72" priority="2">
      <formula>TEXT($B$104,"@")="Y"</formula>
    </cfRule>
  </conditionalFormatting>
  <printOptions horizontalCentered="1"/>
  <pageMargins left="0.62992125984251968" right="0.70866141732283472" top="1.7322834645669292" bottom="0.39370078740157483" header="0.31496062992125984" footer="0.31496062992125984"/>
  <pageSetup paperSize="9" scale="45" orientation="portrait" r:id="rId1"/>
  <headerFooter>
    <oddHeader>&amp;C&amp;24WVCC champs 2016 results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163D-788C-4CAA-B81E-353241D86369}">
  <sheetPr codeName="Sheet35">
    <pageSetUpPr fitToPage="1"/>
  </sheetPr>
  <dimension ref="A1:J104"/>
  <sheetViews>
    <sheetView zoomScaleNormal="100" workbookViewId="0">
      <selection activeCell="O11" sqref="O11"/>
    </sheetView>
  </sheetViews>
  <sheetFormatPr defaultColWidth="9.16796875" defaultRowHeight="12.75" x14ac:dyDescent="0.15"/>
  <cols>
    <col min="1" max="1" width="15.23828125" bestFit="1" customWidth="1"/>
    <col min="2" max="3" width="4.71875" customWidth="1"/>
    <col min="4" max="4" width="6.203125" bestFit="1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  <col min="10" max="10" width="16.31640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>
        <f t="shared" ref="A2:A33" ca="1" si="0">IF(J2="","",_xlfn.XLOOKUP(J2,ClubNames,ClubNumbers,_xlfn.XLOOKUP(J2,RoundRobinRiderNames,RoundRobinRiderDecoratedNames,J2)))</f>
        <v>407</v>
      </c>
      <c r="B2" s="17">
        <v>0</v>
      </c>
      <c r="C2" s="17">
        <v>9</v>
      </c>
      <c r="D2" s="17">
        <v>34</v>
      </c>
      <c r="E2" s="17"/>
      <c r="F2" s="17"/>
      <c r="G2" s="19" t="str">
        <f ca="1">IF($A2="","",IF($I2="X",A2,CONCATENATE(VLOOKUP(A2,Competitors!$A$2:$I$650,3, FALSE)," ",VLOOKUP(A2,Competitors!$A$2:$I$650,2,FALSE))))</f>
        <v>Hans van Nierop</v>
      </c>
      <c r="H2" s="20">
        <f>IF(LEFT($E2,1)="D",UPPER($E2),(B2*3600+C2*60+D2)/86400)</f>
        <v>6.6435185185185182E-3</v>
      </c>
      <c r="I2" t="str">
        <f ca="1">IF(OR(A2="",ISNUMBER(A2)),"","X")</f>
        <v/>
      </c>
      <c r="J2" s="40" t="s">
        <v>583</v>
      </c>
    </row>
    <row r="3" spans="1:10" ht="14.25" x14ac:dyDescent="0.15">
      <c r="A3" s="17">
        <f t="shared" ca="1" si="0"/>
        <v>933</v>
      </c>
      <c r="B3" s="17">
        <v>0</v>
      </c>
      <c r="C3" s="17">
        <v>9</v>
      </c>
      <c r="D3" s="17">
        <v>34</v>
      </c>
      <c r="E3" s="17" t="s">
        <v>170</v>
      </c>
      <c r="F3" s="17"/>
      <c r="G3" s="19" t="str">
        <f ca="1">IF($A3="","",IF($I3="X",A3,CONCATENATE(VLOOKUP(A3,Competitors!$A$2:$I$650,3, FALSE)," ",VLOOKUP(A3,Competitors!$A$2:$I$650,2,FALSE))))</f>
        <v>Ed Grandidge</v>
      </c>
      <c r="H3" s="20">
        <f t="shared" ref="H3:H66" si="1">IF(LEFT($E3,1)="D",UPPER($E3),(B3*3600+C3*60+D3)/86400)</f>
        <v>6.6435185185185182E-3</v>
      </c>
      <c r="I3" t="str">
        <f t="shared" ref="I3:I66" ca="1" si="2">IF(OR(A3="",ISNUMBER(A3)),"","X")</f>
        <v/>
      </c>
      <c r="J3" s="40" t="s">
        <v>581</v>
      </c>
    </row>
    <row r="4" spans="1:10" ht="14.25" x14ac:dyDescent="0.15">
      <c r="A4" s="17">
        <f t="shared" ca="1" si="0"/>
        <v>1144</v>
      </c>
      <c r="B4" s="17">
        <v>0</v>
      </c>
      <c r="C4" s="17">
        <v>9</v>
      </c>
      <c r="D4" s="17">
        <v>54</v>
      </c>
      <c r="E4" s="17" t="s">
        <v>170</v>
      </c>
      <c r="F4" s="17"/>
      <c r="G4" s="19" t="str">
        <f ca="1">IF($A4="","",IF($I4="X",A4,CONCATENATE(VLOOKUP(A4,Competitors!$A$2:$I$650,3, FALSE)," ",VLOOKUP(A4,Competitors!$A$2:$I$650,2,FALSE))))</f>
        <v>Jamie Kershaw</v>
      </c>
      <c r="H4" s="20">
        <f t="shared" si="1"/>
        <v>6.875E-3</v>
      </c>
      <c r="I4" t="str">
        <f t="shared" ca="1" si="2"/>
        <v/>
      </c>
      <c r="J4" s="40" t="s">
        <v>584</v>
      </c>
    </row>
    <row r="5" spans="1:10" ht="14.25" x14ac:dyDescent="0.15">
      <c r="A5" s="17">
        <f t="shared" ca="1" si="0"/>
        <v>1094</v>
      </c>
      <c r="B5" s="17">
        <v>0</v>
      </c>
      <c r="C5" s="17">
        <v>9</v>
      </c>
      <c r="D5" s="17">
        <v>56</v>
      </c>
      <c r="E5" s="17"/>
      <c r="F5" s="17"/>
      <c r="G5" s="19" t="str">
        <f ca="1">IF($A5="","",IF($I5="X",A5,CONCATENATE(VLOOKUP(A5,Competitors!$A$2:$I$650,3, FALSE)," ",VLOOKUP(A5,Competitors!$A$2:$I$650,2,FALSE))))</f>
        <v>Andy Poulton</v>
      </c>
      <c r="H5" s="20">
        <f t="shared" si="1"/>
        <v>6.898148148148148E-3</v>
      </c>
      <c r="I5" t="str">
        <f t="shared" ca="1" si="2"/>
        <v/>
      </c>
      <c r="J5" s="40" t="s">
        <v>579</v>
      </c>
    </row>
    <row r="6" spans="1:10" ht="14.25" x14ac:dyDescent="0.15">
      <c r="A6" s="17">
        <f t="shared" ca="1" si="0"/>
        <v>35</v>
      </c>
      <c r="B6" s="17">
        <v>0</v>
      </c>
      <c r="C6" s="17">
        <v>10</v>
      </c>
      <c r="D6" s="17">
        <v>2</v>
      </c>
      <c r="E6" s="17"/>
      <c r="F6" s="17"/>
      <c r="G6" s="19" t="str">
        <f ca="1">IF($A6="","",IF($I6="X",A6,CONCATENATE(VLOOKUP(A6,Competitors!$A$2:$I$650,3, FALSE)," ",VLOOKUP(A6,Competitors!$A$2:$I$650,2,FALSE))))</f>
        <v>Matt Plews</v>
      </c>
      <c r="H6" s="20">
        <f t="shared" si="1"/>
        <v>6.9675925925925929E-3</v>
      </c>
      <c r="I6" t="str">
        <f t="shared" ca="1" si="2"/>
        <v/>
      </c>
      <c r="J6" s="40" t="s">
        <v>588</v>
      </c>
    </row>
    <row r="7" spans="1:10" ht="14.25" x14ac:dyDescent="0.15">
      <c r="A7" s="17">
        <f t="shared" ca="1" si="0"/>
        <v>1023</v>
      </c>
      <c r="B7" s="17">
        <v>0</v>
      </c>
      <c r="C7" s="17">
        <v>10</v>
      </c>
      <c r="D7" s="17">
        <v>8</v>
      </c>
      <c r="E7" s="17"/>
      <c r="F7" s="17"/>
      <c r="G7" s="19" t="str">
        <f ca="1">IF($A7="","",IF($I7="X",A7,CONCATENATE(VLOOKUP(A7,Competitors!$A$2:$I$650,3, FALSE)," ",VLOOKUP(A7,Competitors!$A$2:$I$650,2,FALSE))))</f>
        <v>Gary Roberts</v>
      </c>
      <c r="H7" s="20">
        <f t="shared" si="1"/>
        <v>7.037037037037037E-3</v>
      </c>
      <c r="I7" t="str">
        <f t="shared" ca="1" si="2"/>
        <v/>
      </c>
      <c r="J7" s="40" t="s">
        <v>582</v>
      </c>
    </row>
    <row r="8" spans="1:10" ht="14.25" x14ac:dyDescent="0.15">
      <c r="A8" s="17">
        <f t="shared" ca="1" si="0"/>
        <v>1375</v>
      </c>
      <c r="B8" s="17">
        <v>0</v>
      </c>
      <c r="C8" s="17">
        <v>10</v>
      </c>
      <c r="D8" s="17">
        <v>10</v>
      </c>
      <c r="E8" s="17"/>
      <c r="F8" s="17"/>
      <c r="G8" s="19" t="str">
        <f ca="1">IF($A8="","",IF($I8="X",A8,CONCATENATE(VLOOKUP(A8,Competitors!$A$2:$I$650,3, FALSE)," ",VLOOKUP(A8,Competitors!$A$2:$I$650,2,FALSE))))</f>
        <v>Tom Spencer</v>
      </c>
      <c r="H8" s="20">
        <f t="shared" si="1"/>
        <v>7.060185185185185E-3</v>
      </c>
      <c r="I8" t="str">
        <f t="shared" ca="1" si="2"/>
        <v/>
      </c>
      <c r="J8" s="40" t="s">
        <v>595</v>
      </c>
    </row>
    <row r="9" spans="1:10" ht="14.25" x14ac:dyDescent="0.15">
      <c r="A9" s="17">
        <f t="shared" ca="1" si="0"/>
        <v>1364</v>
      </c>
      <c r="B9" s="17">
        <v>0</v>
      </c>
      <c r="C9" s="17">
        <v>10</v>
      </c>
      <c r="D9" s="17">
        <v>11</v>
      </c>
      <c r="E9" s="17"/>
      <c r="F9" s="17"/>
      <c r="G9" s="19" t="str">
        <f ca="1">IF($A9="","",IF($I9="X",A9,CONCATENATE(VLOOKUP(A9,Competitors!$A$2:$I$650,3, FALSE)," ",VLOOKUP(A9,Competitors!$A$2:$I$650,2,FALSE))))</f>
        <v>Laurence Noble</v>
      </c>
      <c r="H9" s="20">
        <f t="shared" si="1"/>
        <v>7.0717592592592594E-3</v>
      </c>
      <c r="I9" t="str">
        <f t="shared" ca="1" si="2"/>
        <v/>
      </c>
      <c r="J9" s="40" t="s">
        <v>209</v>
      </c>
    </row>
    <row r="10" spans="1:10" ht="14.25" x14ac:dyDescent="0.15">
      <c r="A10" s="17">
        <f t="shared" ca="1" si="0"/>
        <v>756</v>
      </c>
      <c r="B10" s="17">
        <v>0</v>
      </c>
      <c r="C10" s="17">
        <v>10</v>
      </c>
      <c r="D10" s="17">
        <v>15</v>
      </c>
      <c r="E10" s="17"/>
      <c r="F10" s="17"/>
      <c r="G10" s="19" t="str">
        <f ca="1">IF($A10="","",IF($I10="X",A10,CONCATENATE(VLOOKUP(A10,Competitors!$A$2:$I$650,3, FALSE)," ",VLOOKUP(A10,Competitors!$A$2:$I$650,2,FALSE))))</f>
        <v>Josh van Nierop</v>
      </c>
      <c r="H10" s="20">
        <f t="shared" si="1"/>
        <v>7.1180555555555554E-3</v>
      </c>
      <c r="I10" t="str">
        <f t="shared" ca="1" si="2"/>
        <v/>
      </c>
      <c r="J10" s="40" t="s">
        <v>592</v>
      </c>
    </row>
    <row r="11" spans="1:10" ht="14.25" x14ac:dyDescent="0.15">
      <c r="A11" s="17">
        <f t="shared" ca="1" si="0"/>
        <v>415</v>
      </c>
      <c r="B11" s="17">
        <v>0</v>
      </c>
      <c r="C11" s="17">
        <v>10</v>
      </c>
      <c r="D11" s="17">
        <v>18</v>
      </c>
      <c r="E11" s="17" t="s">
        <v>170</v>
      </c>
      <c r="F11" s="17"/>
      <c r="G11" s="19" t="str">
        <f ca="1">IF($A11="","",IF($I11="X",A11,CONCATENATE(VLOOKUP(A11,Competitors!$A$2:$I$650,3, FALSE)," ",VLOOKUP(A11,Competitors!$A$2:$I$650,2,FALSE))))</f>
        <v>Nik Kershaw</v>
      </c>
      <c r="H11" s="20">
        <f t="shared" si="1"/>
        <v>7.1527777777777779E-3</v>
      </c>
      <c r="I11" t="str">
        <f t="shared" ca="1" si="2"/>
        <v/>
      </c>
      <c r="J11" s="40" t="s">
        <v>594</v>
      </c>
    </row>
    <row r="12" spans="1:10" ht="14.25" x14ac:dyDescent="0.15">
      <c r="A12" s="17">
        <f t="shared" ca="1" si="0"/>
        <v>1192</v>
      </c>
      <c r="B12" s="17">
        <v>0</v>
      </c>
      <c r="C12" s="17">
        <v>10</v>
      </c>
      <c r="D12" s="17">
        <v>28</v>
      </c>
      <c r="E12" s="17"/>
      <c r="F12" s="17"/>
      <c r="G12" s="19" t="str">
        <f ca="1">IF($A12="","",IF($I12="X",A12,CONCATENATE(VLOOKUP(A12,Competitors!$A$2:$I$650,3, FALSE)," ",VLOOKUP(A12,Competitors!$A$2:$I$650,2,FALSE))))</f>
        <v>Dale Norris</v>
      </c>
      <c r="H12" s="20">
        <f t="shared" si="1"/>
        <v>7.2685185185185188E-3</v>
      </c>
      <c r="I12" t="str">
        <f t="shared" ca="1" si="2"/>
        <v/>
      </c>
      <c r="J12" s="40" t="s">
        <v>590</v>
      </c>
    </row>
    <row r="13" spans="1:10" ht="14.25" x14ac:dyDescent="0.15">
      <c r="A13" s="17">
        <f t="shared" ca="1" si="0"/>
        <v>1024</v>
      </c>
      <c r="B13" s="17">
        <v>0</v>
      </c>
      <c r="C13" s="17">
        <v>10</v>
      </c>
      <c r="D13" s="17">
        <v>35</v>
      </c>
      <c r="E13" s="17"/>
      <c r="F13" s="17"/>
      <c r="G13" s="19" t="str">
        <f ca="1">IF($A13="","",IF($I13="X",A13,CONCATENATE(VLOOKUP(A13,Competitors!$A$2:$I$650,3, FALSE)," ",VLOOKUP(A13,Competitors!$A$2:$I$650,2,FALSE))))</f>
        <v>Jax Roberts</v>
      </c>
      <c r="H13" s="20">
        <f t="shared" si="1"/>
        <v>7.3495370370370372E-3</v>
      </c>
      <c r="I13" t="str">
        <f t="shared" ca="1" si="2"/>
        <v/>
      </c>
      <c r="J13" s="40" t="s">
        <v>608</v>
      </c>
    </row>
    <row r="14" spans="1:10" ht="14.25" x14ac:dyDescent="0.15">
      <c r="A14" s="17">
        <f t="shared" ca="1" si="0"/>
        <v>1152</v>
      </c>
      <c r="B14" s="17">
        <v>0</v>
      </c>
      <c r="C14" s="17">
        <v>10</v>
      </c>
      <c r="D14" s="17">
        <v>37</v>
      </c>
      <c r="E14" s="17" t="s">
        <v>170</v>
      </c>
      <c r="F14" s="17"/>
      <c r="G14" s="19" t="str">
        <f ca="1">IF($A14="","",IF($I14="X",A14,CONCATENATE(VLOOKUP(A14,Competitors!$A$2:$I$650,3, FALSE)," ",VLOOKUP(A14,Competitors!$A$2:$I$650,2,FALSE))))</f>
        <v>Ruby Isaac</v>
      </c>
      <c r="H14" s="20">
        <f t="shared" si="1"/>
        <v>7.3726851851851852E-3</v>
      </c>
      <c r="I14" t="str">
        <f t="shared" ca="1" si="2"/>
        <v/>
      </c>
      <c r="J14" s="40" t="s">
        <v>602</v>
      </c>
    </row>
    <row r="15" spans="1:10" ht="14.25" x14ac:dyDescent="0.15">
      <c r="A15" s="17">
        <f t="shared" ca="1" si="0"/>
        <v>1237</v>
      </c>
      <c r="B15" s="17">
        <v>0</v>
      </c>
      <c r="C15" s="17">
        <v>10</v>
      </c>
      <c r="D15" s="17">
        <v>57</v>
      </c>
      <c r="E15" s="17" t="s">
        <v>170</v>
      </c>
      <c r="F15" s="17"/>
      <c r="G15" s="19" t="str">
        <f ca="1">IF($A15="","",IF($I15="X",A15,CONCATENATE(VLOOKUP(A15,Competitors!$A$2:$I$650,3, FALSE)," ",VLOOKUP(A15,Competitors!$A$2:$I$650,2,FALSE))))</f>
        <v>John Abbott</v>
      </c>
      <c r="H15" s="20">
        <f t="shared" si="1"/>
        <v>7.6041666666666671E-3</v>
      </c>
      <c r="I15" t="str">
        <f t="shared" ca="1" si="2"/>
        <v/>
      </c>
      <c r="J15" s="40" t="s">
        <v>598</v>
      </c>
    </row>
    <row r="16" spans="1:10" ht="14.25" x14ac:dyDescent="0.15">
      <c r="A16" s="17">
        <f t="shared" ca="1" si="0"/>
        <v>846</v>
      </c>
      <c r="B16" s="17">
        <v>0</v>
      </c>
      <c r="C16" s="17">
        <v>11</v>
      </c>
      <c r="D16" s="17">
        <v>4</v>
      </c>
      <c r="E16" s="17"/>
      <c r="F16" s="17"/>
      <c r="G16" s="19" t="str">
        <f ca="1">IF($A16="","",IF($I16="X",A16,CONCATENATE(VLOOKUP(A16,Competitors!$A$2:$I$650,3, FALSE)," ",VLOOKUP(A16,Competitors!$A$2:$I$650,2,FALSE))))</f>
        <v>Roger Kockelbergh</v>
      </c>
      <c r="H16" s="20">
        <f t="shared" si="1"/>
        <v>7.6851851851851855E-3</v>
      </c>
      <c r="I16" t="str">
        <f t="shared" ca="1" si="2"/>
        <v/>
      </c>
      <c r="J16" s="40" t="s">
        <v>601</v>
      </c>
    </row>
    <row r="17" spans="1:10" ht="14.25" x14ac:dyDescent="0.15">
      <c r="A17" s="17">
        <f t="shared" ca="1" si="0"/>
        <v>203</v>
      </c>
      <c r="B17" s="17">
        <v>0</v>
      </c>
      <c r="C17" s="17">
        <v>11</v>
      </c>
      <c r="D17" s="17">
        <v>9</v>
      </c>
      <c r="E17" s="17"/>
      <c r="F17" s="17"/>
      <c r="G17" s="19" t="str">
        <f ca="1">IF($A17="","",IF($I17="X",A17,CONCATENATE(VLOOKUP(A17,Competitors!$A$2:$I$650,3, FALSE)," ",VLOOKUP(A17,Competitors!$A$2:$I$650,2,FALSE))))</f>
        <v>Adrian Killworth</v>
      </c>
      <c r="H17" s="20">
        <f t="shared" si="1"/>
        <v>7.743055555555556E-3</v>
      </c>
      <c r="I17" t="str">
        <f t="shared" ca="1" si="2"/>
        <v/>
      </c>
      <c r="J17" s="40" t="s">
        <v>603</v>
      </c>
    </row>
    <row r="18" spans="1:10" ht="14.25" x14ac:dyDescent="0.15">
      <c r="A18" s="17">
        <f t="shared" ca="1" si="0"/>
        <v>616</v>
      </c>
      <c r="B18" s="17">
        <v>0</v>
      </c>
      <c r="C18" s="17">
        <v>11</v>
      </c>
      <c r="D18" s="17">
        <v>13</v>
      </c>
      <c r="E18" s="17"/>
      <c r="F18" s="17"/>
      <c r="G18" s="19" t="str">
        <f ca="1">IF($A18="","",IF($I18="X",A18,CONCATENATE(VLOOKUP(A18,Competitors!$A$2:$I$650,3, FALSE)," ",VLOOKUP(A18,Competitors!$A$2:$I$650,2,FALSE))))</f>
        <v>Simon Ward</v>
      </c>
      <c r="H18" s="20">
        <f t="shared" si="1"/>
        <v>7.789351851851852E-3</v>
      </c>
      <c r="I18" t="str">
        <f t="shared" ca="1" si="2"/>
        <v/>
      </c>
      <c r="J18" s="40" t="s">
        <v>610</v>
      </c>
    </row>
    <row r="19" spans="1:10" ht="14.25" x14ac:dyDescent="0.15">
      <c r="A19" s="17">
        <f t="shared" ca="1" si="0"/>
        <v>1107</v>
      </c>
      <c r="B19" s="17">
        <v>0</v>
      </c>
      <c r="C19" s="17">
        <v>11</v>
      </c>
      <c r="D19" s="17">
        <v>17</v>
      </c>
      <c r="E19" s="17" t="s">
        <v>170</v>
      </c>
      <c r="F19" s="17"/>
      <c r="G19" s="19" t="str">
        <f ca="1">IF($A19="","",IF($I19="X",A19,CONCATENATE(VLOOKUP(A19,Competitors!$A$2:$I$650,3, FALSE)," ",VLOOKUP(A19,Competitors!$A$2:$I$650,2,FALSE))))</f>
        <v>Milly Pinnock</v>
      </c>
      <c r="H19" s="20">
        <f t="shared" si="1"/>
        <v>7.8356481481481489E-3</v>
      </c>
      <c r="I19" t="str">
        <f t="shared" ca="1" si="2"/>
        <v/>
      </c>
      <c r="J19" s="40" t="s">
        <v>600</v>
      </c>
    </row>
    <row r="20" spans="1:10" ht="14.25" x14ac:dyDescent="0.15">
      <c r="A20" s="17">
        <f t="shared" ca="1" si="0"/>
        <v>1129</v>
      </c>
      <c r="B20" s="17">
        <v>0</v>
      </c>
      <c r="C20" s="17">
        <v>11</v>
      </c>
      <c r="D20" s="17">
        <v>29</v>
      </c>
      <c r="E20" s="17"/>
      <c r="F20" s="17"/>
      <c r="G20" s="19" t="str">
        <f ca="1">IF($A20="","",IF($I20="X",A20,CONCATENATE(VLOOKUP(A20,Competitors!$A$2:$I$650,3, FALSE)," ",VLOOKUP(A20,Competitors!$A$2:$I$650,2,FALSE))))</f>
        <v>Doug Tincello</v>
      </c>
      <c r="H20" s="20">
        <f t="shared" si="1"/>
        <v>7.9745370370370369E-3</v>
      </c>
      <c r="I20" t="str">
        <f t="shared" ca="1" si="2"/>
        <v/>
      </c>
      <c r="J20" s="40" t="s">
        <v>596</v>
      </c>
    </row>
    <row r="21" spans="1:10" ht="14.25" x14ac:dyDescent="0.15">
      <c r="A21" s="17">
        <f t="shared" ca="1" si="0"/>
        <v>1244</v>
      </c>
      <c r="B21" s="17">
        <v>0</v>
      </c>
      <c r="C21" s="17">
        <v>12</v>
      </c>
      <c r="D21" s="17">
        <v>23</v>
      </c>
      <c r="E21" s="17" t="s">
        <v>170</v>
      </c>
      <c r="F21" s="17"/>
      <c r="G21" s="19" t="str">
        <f ca="1">IF($A21="","",IF($I21="X",A21,CONCATENATE(VLOOKUP(A21,Competitors!$A$2:$I$650,3, FALSE)," ",VLOOKUP(A21,Competitors!$A$2:$I$650,2,FALSE))))</f>
        <v>Steven Latham</v>
      </c>
      <c r="H21" s="20">
        <f t="shared" si="1"/>
        <v>8.5995370370370375E-3</v>
      </c>
      <c r="I21" t="str">
        <f t="shared" ca="1" si="2"/>
        <v/>
      </c>
      <c r="J21" s="40" t="s">
        <v>618</v>
      </c>
    </row>
    <row r="22" spans="1:10" ht="14.25" x14ac:dyDescent="0.15">
      <c r="A22" s="17">
        <f t="shared" ca="1" si="0"/>
        <v>989</v>
      </c>
      <c r="B22" s="17">
        <v>0</v>
      </c>
      <c r="C22" s="17">
        <v>14</v>
      </c>
      <c r="D22" s="17">
        <v>45</v>
      </c>
      <c r="E22" s="17"/>
      <c r="F22" s="17"/>
      <c r="G22" s="19" t="str">
        <f ca="1">IF($A22="","",IF($I22="X",A22,CONCATENATE(VLOOKUP(A22,Competitors!$A$2:$I$650,3, FALSE)," ",VLOOKUP(A22,Competitors!$A$2:$I$650,2,FALSE))))</f>
        <v>Jason Williams</v>
      </c>
      <c r="H22" s="20">
        <f t="shared" si="1"/>
        <v>1.0243055555555556E-2</v>
      </c>
      <c r="I22" t="str">
        <f t="shared" ca="1" si="2"/>
        <v/>
      </c>
      <c r="J22" s="40" t="s">
        <v>585</v>
      </c>
    </row>
    <row r="23" spans="1:10" ht="14.25" x14ac:dyDescent="0.15">
      <c r="A23" s="17">
        <f t="shared" ca="1" si="0"/>
        <v>715</v>
      </c>
      <c r="B23" s="17">
        <v>1</v>
      </c>
      <c r="C23" s="17">
        <v>0</v>
      </c>
      <c r="D23" s="17">
        <v>0</v>
      </c>
      <c r="E23" s="17"/>
      <c r="F23" s="17" t="s">
        <v>210</v>
      </c>
      <c r="G23" s="19" t="str">
        <f ca="1">IF($A23="","",IF($I23="X",A23,CONCATENATE(VLOOKUP(A23,Competitors!$A$2:$I$650,3, FALSE)," ",VLOOKUP(A23,Competitors!$A$2:$I$650,2,FALSE))))</f>
        <v>Steven Coulam</v>
      </c>
      <c r="H23" s="20">
        <f t="shared" si="1"/>
        <v>4.1666666666666664E-2</v>
      </c>
      <c r="I23" t="str">
        <f t="shared" ca="1" si="2"/>
        <v/>
      </c>
      <c r="J23" s="40" t="s">
        <v>623</v>
      </c>
    </row>
    <row r="24" spans="1:10" ht="14.25" x14ac:dyDescent="0.15">
      <c r="A24" s="17" t="str">
        <f t="shared" ca="1" si="0"/>
        <v/>
      </c>
      <c r="B24" s="17"/>
      <c r="C24" s="17"/>
      <c r="D24" s="17"/>
      <c r="E24" s="17"/>
      <c r="F24" s="17"/>
      <c r="G24" s="19" t="str">
        <f ca="1">IF($A24="","",IF($I24="X",A24,CONCATENATE(VLOOKUP(A24,Competitors!$A$2:$I$650,3, FALSE)," ",VLOOKUP(A24,Competitors!$A$2:$I$650,2,FALSE))))</f>
        <v/>
      </c>
      <c r="H24" s="20">
        <f t="shared" si="1"/>
        <v>0</v>
      </c>
      <c r="I24" t="str">
        <f t="shared" ca="1" si="2"/>
        <v/>
      </c>
      <c r="J24" s="40" t="s">
        <v>173</v>
      </c>
    </row>
    <row r="25" spans="1:10" ht="14.25" x14ac:dyDescent="0.15">
      <c r="A25" s="17" t="str">
        <f t="shared" ca="1" si="0"/>
        <v/>
      </c>
      <c r="B25" s="17"/>
      <c r="C25" s="17"/>
      <c r="D25" s="17"/>
      <c r="E25" s="17"/>
      <c r="F25" s="17"/>
      <c r="G25" s="19" t="str">
        <f ca="1">IF($A25="","",IF($I25="X",A25,CONCATENATE(VLOOKUP(A25,Competitors!$A$2:$I$650,3, FALSE)," ",VLOOKUP(A25,Competitors!$A$2:$I$650,2,FALSE))))</f>
        <v/>
      </c>
      <c r="H25" s="20">
        <f t="shared" si="1"/>
        <v>0</v>
      </c>
      <c r="I25" t="str">
        <f t="shared" ca="1" si="2"/>
        <v/>
      </c>
      <c r="J25" s="40" t="s">
        <v>173</v>
      </c>
    </row>
    <row r="26" spans="1:10" ht="14.25" x14ac:dyDescent="0.15">
      <c r="A26" s="17" t="str">
        <f t="shared" ca="1" si="0"/>
        <v/>
      </c>
      <c r="B26" s="17"/>
      <c r="C26" s="17"/>
      <c r="D26" s="17"/>
      <c r="E26" s="17"/>
      <c r="F26" s="17"/>
      <c r="G26" s="19" t="str">
        <f ca="1">IF($A26="","",IF($I26="X",A26,CONCATENATE(VLOOKUP(A26,Competitors!$A$2:$I$650,3, FALSE)," ",VLOOKUP(A26,Competitors!$A$2:$I$650,2,FALSE))))</f>
        <v/>
      </c>
      <c r="H26" s="20">
        <f t="shared" si="1"/>
        <v>0</v>
      </c>
      <c r="I26" t="str">
        <f t="shared" ca="1" si="2"/>
        <v/>
      </c>
      <c r="J26" s="40" t="s">
        <v>173</v>
      </c>
    </row>
    <row r="27" spans="1:10" ht="14.25" x14ac:dyDescent="0.15">
      <c r="A27" s="17" t="str">
        <f t="shared" ca="1" si="0"/>
        <v/>
      </c>
      <c r="B27" s="17"/>
      <c r="C27" s="17"/>
      <c r="D27" s="17"/>
      <c r="E27" s="17"/>
      <c r="F27" s="17"/>
      <c r="G27" s="19" t="str">
        <f ca="1">IF($A27="","",IF($I27="X",A27,CONCATENATE(VLOOKUP(A27,Competitors!$A$2:$I$650,3, FALSE)," ",VLOOKUP(A27,Competitors!$A$2:$I$650,2,FALSE))))</f>
        <v/>
      </c>
      <c r="H27" s="20">
        <f t="shared" si="1"/>
        <v>0</v>
      </c>
      <c r="I27" t="str">
        <f t="shared" ca="1" si="2"/>
        <v/>
      </c>
      <c r="J27" s="40" t="s">
        <v>173</v>
      </c>
    </row>
    <row r="28" spans="1:10" ht="14.25" x14ac:dyDescent="0.15">
      <c r="A28" s="17" t="str">
        <f t="shared" ca="1" si="0"/>
        <v/>
      </c>
      <c r="B28" s="17"/>
      <c r="C28" s="17"/>
      <c r="D28" s="17"/>
      <c r="E28" s="17"/>
      <c r="F28" s="17"/>
      <c r="G28" s="19" t="str">
        <f ca="1">IF($A28="","",IF($I28="X",A28,CONCATENATE(VLOOKUP(A28,Competitors!$A$2:$I$650,3, FALSE)," ",VLOOKUP(A28,Competitors!$A$2:$I$650,2,FALSE))))</f>
        <v/>
      </c>
      <c r="H28" s="20">
        <f t="shared" si="1"/>
        <v>0</v>
      </c>
      <c r="I28" t="str">
        <f t="shared" ca="1" si="2"/>
        <v/>
      </c>
      <c r="J28" s="40" t="s">
        <v>173</v>
      </c>
    </row>
    <row r="29" spans="1:10" ht="14.25" x14ac:dyDescent="0.15">
      <c r="A29" s="17" t="str">
        <f t="shared" ca="1" si="0"/>
        <v/>
      </c>
      <c r="B29" s="17"/>
      <c r="C29" s="17"/>
      <c r="D29" s="17"/>
      <c r="E29" s="17"/>
      <c r="F29" s="17"/>
      <c r="G29" s="19" t="str">
        <f ca="1">IF($A29="","",IF($I29="X",A29,CONCATENATE(VLOOKUP(A29,Competitors!$A$2:$I$650,3, FALSE)," ",VLOOKUP(A29,Competitors!$A$2:$I$650,2,FALSE))))</f>
        <v/>
      </c>
      <c r="H29" s="20">
        <f t="shared" si="1"/>
        <v>0</v>
      </c>
      <c r="I29" t="str">
        <f t="shared" ca="1" si="2"/>
        <v/>
      </c>
      <c r="J29" s="40" t="s">
        <v>173</v>
      </c>
    </row>
    <row r="30" spans="1:10" ht="14.25" x14ac:dyDescent="0.15">
      <c r="A30" s="17" t="str">
        <f t="shared" ca="1" si="0"/>
        <v/>
      </c>
      <c r="B30" s="17"/>
      <c r="C30" s="17"/>
      <c r="D30" s="17"/>
      <c r="E30" s="17"/>
      <c r="F30" s="17"/>
      <c r="G30" s="19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17" t="str">
        <f t="shared" ca="1" si="0"/>
        <v/>
      </c>
      <c r="B31" s="17"/>
      <c r="C31" s="17"/>
      <c r="D31" s="17"/>
      <c r="E31" s="17"/>
      <c r="F31" s="17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7"/>
      <c r="D32" s="17"/>
      <c r="E32" s="17"/>
      <c r="F32" s="17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7"/>
      <c r="D33" s="17"/>
      <c r="E33" s="17"/>
      <c r="F33" s="17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7"/>
      <c r="D34" s="17"/>
      <c r="E34" s="17"/>
      <c r="F34" s="17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7"/>
      <c r="D35" s="17"/>
      <c r="E35" s="17"/>
      <c r="F35" s="17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7"/>
      <c r="D36" s="17"/>
      <c r="E36" s="17"/>
      <c r="F36" s="17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7"/>
      <c r="D37" s="17"/>
      <c r="E37" s="17"/>
      <c r="F37" s="17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7"/>
      <c r="D38" s="17"/>
      <c r="E38" s="17"/>
      <c r="F38" s="17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7"/>
      <c r="D39" s="17"/>
      <c r="E39" s="17"/>
      <c r="F39" s="17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7"/>
      <c r="D40" s="17"/>
      <c r="E40" s="17"/>
      <c r="F40" s="17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7"/>
      <c r="D41" s="17"/>
      <c r="E41" s="17"/>
      <c r="F41" s="17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7"/>
      <c r="D42" s="17"/>
      <c r="E42" s="17"/>
      <c r="F42" s="17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7"/>
      <c r="D43" s="17"/>
      <c r="E43" s="17"/>
      <c r="F43" s="17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7"/>
      <c r="D44" s="17"/>
      <c r="E44" s="17"/>
      <c r="F44" s="17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7"/>
      <c r="D45" s="17"/>
      <c r="E45" s="17"/>
      <c r="F45" s="17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7"/>
      <c r="D46" s="17"/>
      <c r="E46" s="17"/>
      <c r="F46" s="17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7"/>
      <c r="D47" s="17"/>
      <c r="E47" s="17"/>
      <c r="F47" s="17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7"/>
      <c r="D48" s="17"/>
      <c r="E48" s="17"/>
      <c r="F48" s="17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7"/>
      <c r="D49" s="17"/>
      <c r="E49" s="17"/>
      <c r="F49" s="17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7"/>
      <c r="D50" s="17"/>
      <c r="E50" s="17"/>
      <c r="F50" s="17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7"/>
      <c r="D51" s="17"/>
      <c r="E51" s="17"/>
      <c r="F51" s="17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7"/>
      <c r="D52" s="17"/>
      <c r="E52" s="17"/>
      <c r="F52" s="17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7"/>
      <c r="D53" s="17"/>
      <c r="E53" s="17"/>
      <c r="F53" s="17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7"/>
      <c r="D54" s="17"/>
      <c r="E54" s="17"/>
      <c r="F54" s="17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7"/>
      <c r="D55" s="17"/>
      <c r="E55" s="17"/>
      <c r="F55" s="17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7"/>
      <c r="D56" s="17"/>
      <c r="E56" s="17"/>
      <c r="F56" s="17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7"/>
      <c r="D57" s="17"/>
      <c r="E57" s="17"/>
      <c r="F57" s="17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7"/>
      <c r="D58" s="17"/>
      <c r="E58" s="17"/>
      <c r="F58" s="17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7"/>
      <c r="D59" s="17"/>
      <c r="E59" s="17"/>
      <c r="F59" s="17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7"/>
      <c r="D60" s="17"/>
      <c r="E60" s="17"/>
      <c r="F60" s="17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7"/>
      <c r="D61" s="17"/>
      <c r="E61" s="17"/>
      <c r="F61" s="17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7"/>
      <c r="D62" s="17"/>
      <c r="E62" s="17"/>
      <c r="F62" s="17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7"/>
      <c r="D63" s="17"/>
      <c r="E63" s="17"/>
      <c r="F63" s="17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7"/>
      <c r="D64" s="17"/>
      <c r="E64" s="17"/>
      <c r="F64" s="17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7"/>
      <c r="D65" s="17"/>
      <c r="E65" s="17"/>
      <c r="F65" s="17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7"/>
      <c r="D66" s="17"/>
      <c r="E66" s="17"/>
      <c r="F66" s="17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7"/>
      <c r="D67" s="17"/>
      <c r="E67" s="17"/>
      <c r="F67" s="17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7"/>
      <c r="D68" s="17"/>
      <c r="E68" s="17"/>
      <c r="F68" s="17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7"/>
      <c r="D69" s="17"/>
      <c r="E69" s="17"/>
      <c r="F69" s="17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7"/>
      <c r="D70" s="17"/>
      <c r="E70" s="17"/>
      <c r="F70" s="17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7"/>
      <c r="D71" s="17"/>
      <c r="E71" s="17"/>
      <c r="F71" s="17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7"/>
      <c r="D72" s="17"/>
      <c r="E72" s="17"/>
      <c r="F72" s="17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7"/>
      <c r="D73" s="17"/>
      <c r="E73" s="17"/>
      <c r="F73" s="17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7"/>
      <c r="D74" s="17"/>
      <c r="E74" s="17"/>
      <c r="F74" s="17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7"/>
      <c r="D75" s="17"/>
      <c r="E75" s="17"/>
      <c r="F75" s="17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7"/>
      <c r="D76" s="17"/>
      <c r="E76" s="17"/>
      <c r="F76" s="17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7"/>
      <c r="D77" s="17"/>
      <c r="E77" s="17"/>
      <c r="F77" s="17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7"/>
      <c r="D78" s="17"/>
      <c r="E78" s="17"/>
      <c r="F78" s="17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7"/>
      <c r="D79" s="17"/>
      <c r="E79" s="17"/>
      <c r="F79" s="17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7"/>
      <c r="D80" s="17"/>
      <c r="E80" s="17"/>
      <c r="F80" s="17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7"/>
      <c r="D81" s="17"/>
      <c r="E81" s="17"/>
      <c r="F81" s="17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7"/>
      <c r="D82" s="17"/>
      <c r="E82" s="17"/>
      <c r="F82" s="17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7"/>
      <c r="D83" s="17"/>
      <c r="E83" s="17"/>
      <c r="F83" s="17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7"/>
      <c r="D84" s="17"/>
      <c r="E84" s="17"/>
      <c r="F84" s="17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7"/>
      <c r="D85" s="17"/>
      <c r="E85" s="17"/>
      <c r="F85" s="17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7"/>
      <c r="D86" s="17"/>
      <c r="E86" s="17"/>
      <c r="F86" s="17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7"/>
      <c r="D87" s="17"/>
      <c r="E87" s="17"/>
      <c r="F87" s="17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7"/>
      <c r="D88" s="17"/>
      <c r="E88" s="17"/>
      <c r="F88" s="17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7"/>
      <c r="D89" s="17"/>
      <c r="E89" s="17"/>
      <c r="F89" s="17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7"/>
      <c r="D90" s="17"/>
      <c r="E90" s="17"/>
      <c r="F90" s="17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7"/>
      <c r="D91" s="17"/>
      <c r="E91" s="17"/>
      <c r="F91" s="17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7"/>
      <c r="D92" s="17"/>
      <c r="E92" s="17"/>
      <c r="F92" s="17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7"/>
      <c r="D93" s="17"/>
      <c r="E93" s="17"/>
      <c r="F93" s="17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7"/>
      <c r="D94" s="17"/>
      <c r="E94" s="17"/>
      <c r="F94" s="17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7"/>
      <c r="D95" s="17"/>
      <c r="E95" s="17"/>
      <c r="F95" s="17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7"/>
      <c r="D96" s="17"/>
      <c r="E96" s="17"/>
      <c r="F96" s="17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7"/>
      <c r="D97" s="17"/>
      <c r="E97" s="17"/>
      <c r="F97" s="17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7"/>
      <c r="D98" s="17"/>
      <c r="E98" s="17"/>
      <c r="F98" s="17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7"/>
      <c r="D99" s="17"/>
      <c r="E99" s="17"/>
      <c r="F99" s="17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7"/>
      <c r="D100" s="17"/>
      <c r="E100" s="17"/>
      <c r="F100" s="17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7"/>
      <c r="D101" s="17"/>
      <c r="E101" s="17"/>
      <c r="F101" s="17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71" priority="1">
      <formula>TEXT($B$104,"@")="Y"</formula>
    </cfRule>
  </conditionalFormatting>
  <conditionalFormatting sqref="G2:H101">
    <cfRule type="expression" dxfId="70" priority="3">
      <formula>$I2="X"</formula>
    </cfRule>
  </conditionalFormatting>
  <conditionalFormatting sqref="H2:H101">
    <cfRule type="expression" dxfId="69" priority="2">
      <formula>TEXT($B$104,"@")="Y"</formula>
    </cfRule>
  </conditionalFormatting>
  <printOptions horizontalCentered="1"/>
  <pageMargins left="0.62992125984251968" right="0.70866141732283472" top="1.7322834645669292" bottom="0.39370078740157483" header="0.31496062992125984" footer="0.31496062992125984"/>
  <pageSetup paperSize="9" scale="45" orientation="portrait" r:id="rId1"/>
  <headerFooter>
    <oddHeader>&amp;C&amp;24WVCC champs 2016 results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97C1-5202-4420-867D-E11BF91D37BF}">
  <sheetPr codeName="Sheet36">
    <pageSetUpPr fitToPage="1"/>
  </sheetPr>
  <dimension ref="A1:J104"/>
  <sheetViews>
    <sheetView zoomScaleNormal="100" workbookViewId="0">
      <selection activeCell="O11" sqref="O11"/>
    </sheetView>
  </sheetViews>
  <sheetFormatPr defaultColWidth="9.16796875" defaultRowHeight="12.75" x14ac:dyDescent="0.15"/>
  <cols>
    <col min="1" max="1" width="21.98046875" bestFit="1" customWidth="1"/>
    <col min="2" max="3" width="4.71875" customWidth="1"/>
    <col min="4" max="4" width="6.203125" bestFit="1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  <col min="10" max="10" width="16.31640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24">
        <f t="shared" ref="A2:A33" ca="1" si="0">IF(J2="","",_xlfn.XLOOKUP(J2,ClubNames,ClubNumbers,_xlfn.XLOOKUP(J2,RoundRobinRiderNames,RoundRobinRiderDecoratedNames,J2)))</f>
        <v>407</v>
      </c>
      <c r="B2" s="17">
        <v>0</v>
      </c>
      <c r="C2" s="17">
        <v>58</v>
      </c>
      <c r="D2" s="17">
        <v>22</v>
      </c>
      <c r="E2" s="17"/>
      <c r="F2" s="17"/>
      <c r="G2" s="19" t="str">
        <f ca="1">IF($A2="","",IF($I2="X",A2,CONCATENATE(VLOOKUP(A2,Competitors!$A$2:$I$650,3, FALSE)," ",VLOOKUP(A2,Competitors!$A$2:$I$650,2,FALSE))))</f>
        <v>Hans van Nierop</v>
      </c>
      <c r="H2" s="20">
        <f>IF(LEFT($E2,1)="D",UPPER($E2),(B2*3600+C2*60+D2)/86400)</f>
        <v>4.0532407407407406E-2</v>
      </c>
      <c r="I2" t="str">
        <f ca="1">IF(OR(A2="",ISNUMBER(A2)),"","X")</f>
        <v/>
      </c>
      <c r="J2" s="40" t="s">
        <v>583</v>
      </c>
    </row>
    <row r="3" spans="1:10" ht="14.25" x14ac:dyDescent="0.15">
      <c r="A3" s="24">
        <f t="shared" ca="1" si="0"/>
        <v>1094</v>
      </c>
      <c r="B3" s="17">
        <v>1</v>
      </c>
      <c r="C3" s="17">
        <v>1</v>
      </c>
      <c r="D3" s="17">
        <v>7</v>
      </c>
      <c r="E3" s="17"/>
      <c r="F3" s="17"/>
      <c r="G3" s="19" t="str">
        <f ca="1">IF($A3="","",IF($I3="X",A3,CONCATENATE(VLOOKUP(A3,Competitors!$A$2:$I$650,3, FALSE)," ",VLOOKUP(A3,Competitors!$A$2:$I$650,2,FALSE))))</f>
        <v>Andy Poulton</v>
      </c>
      <c r="H3" s="20">
        <f t="shared" ref="H3:H66" si="1">IF(LEFT($E3,1)="D",UPPER($E3),(B3*3600+C3*60+D3)/86400)</f>
        <v>4.2442129629629628E-2</v>
      </c>
      <c r="I3" t="str">
        <f t="shared" ref="I3:I66" ca="1" si="2">IF(OR(A3="",ISNUMBER(A3)),"","X")</f>
        <v/>
      </c>
      <c r="J3" s="40" t="s">
        <v>579</v>
      </c>
    </row>
    <row r="4" spans="1:10" ht="14.25" x14ac:dyDescent="0.15">
      <c r="A4" s="24" t="str">
        <f t="shared" ca="1" si="0"/>
        <v>Phil Wilkinson (RFW)</v>
      </c>
      <c r="B4" s="17">
        <v>1</v>
      </c>
      <c r="C4" s="17">
        <v>1</v>
      </c>
      <c r="D4" s="17">
        <v>55</v>
      </c>
      <c r="E4" s="17"/>
      <c r="F4" s="17"/>
      <c r="G4" s="19" t="str">
        <f ca="1">IF($A4="","",IF($I4="X",A4,CONCATENATE(VLOOKUP(A4,Competitors!$A$2:$I$650,3, FALSE)," ",VLOOKUP(A4,Competitors!$A$2:$I$650,2,FALSE))))</f>
        <v>Phil Wilkinson (RFW)</v>
      </c>
      <c r="H4" s="20">
        <f t="shared" si="1"/>
        <v>4.2997685185185187E-2</v>
      </c>
      <c r="I4" t="str">
        <f t="shared" ca="1" si="2"/>
        <v>X</v>
      </c>
      <c r="J4" s="40" t="s">
        <v>157</v>
      </c>
    </row>
    <row r="5" spans="1:10" ht="14.25" x14ac:dyDescent="0.15">
      <c r="A5" s="24">
        <f t="shared" ca="1" si="0"/>
        <v>1023</v>
      </c>
      <c r="B5" s="17">
        <v>1</v>
      </c>
      <c r="C5" s="17">
        <v>2</v>
      </c>
      <c r="D5" s="17">
        <v>11</v>
      </c>
      <c r="E5" s="17"/>
      <c r="F5" s="17"/>
      <c r="G5" s="19" t="str">
        <f ca="1">IF($A5="","",IF($I5="X",A5,CONCATENATE(VLOOKUP(A5,Competitors!$A$2:$I$650,3, FALSE)," ",VLOOKUP(A5,Competitors!$A$2:$I$650,2,FALSE))))</f>
        <v>Gary Roberts</v>
      </c>
      <c r="H5" s="20">
        <f t="shared" si="1"/>
        <v>4.3182870370370371E-2</v>
      </c>
      <c r="I5" t="str">
        <f t="shared" ca="1" si="2"/>
        <v/>
      </c>
      <c r="J5" s="40" t="s">
        <v>582</v>
      </c>
    </row>
    <row r="6" spans="1:10" ht="14.25" x14ac:dyDescent="0.15">
      <c r="A6" s="24">
        <f t="shared" ca="1" si="0"/>
        <v>699</v>
      </c>
      <c r="B6" s="17">
        <v>1</v>
      </c>
      <c r="C6" s="17">
        <v>2</v>
      </c>
      <c r="D6" s="17">
        <v>14</v>
      </c>
      <c r="E6" s="17"/>
      <c r="F6" s="17"/>
      <c r="G6" s="19" t="str">
        <f ca="1">IF($A6="","",IF($I6="X",A6,CONCATENATE(VLOOKUP(A6,Competitors!$A$2:$I$650,3, FALSE)," ",VLOOKUP(A6,Competitors!$A$2:$I$650,2,FALSE))))</f>
        <v>Jonathan Durnin</v>
      </c>
      <c r="H6" s="20">
        <f t="shared" si="1"/>
        <v>4.3217592592592592E-2</v>
      </c>
      <c r="I6" t="str">
        <f t="shared" ca="1" si="2"/>
        <v/>
      </c>
      <c r="J6" s="40" t="s">
        <v>586</v>
      </c>
    </row>
    <row r="7" spans="1:10" ht="14.25" x14ac:dyDescent="0.15">
      <c r="A7" s="24">
        <f t="shared" ca="1" si="0"/>
        <v>1144</v>
      </c>
      <c r="B7" s="17">
        <v>1</v>
      </c>
      <c r="C7" s="17">
        <v>2</v>
      </c>
      <c r="D7" s="17">
        <v>22</v>
      </c>
      <c r="E7" s="17" t="s">
        <v>170</v>
      </c>
      <c r="F7" s="17"/>
      <c r="G7" s="19" t="str">
        <f ca="1">IF($A7="","",IF($I7="X",A7,CONCATENATE(VLOOKUP(A7,Competitors!$A$2:$I$650,3, FALSE)," ",VLOOKUP(A7,Competitors!$A$2:$I$650,2,FALSE))))</f>
        <v>Jamie Kershaw</v>
      </c>
      <c r="H7" s="20">
        <f t="shared" si="1"/>
        <v>4.3310185185185188E-2</v>
      </c>
      <c r="I7" t="str">
        <f t="shared" ca="1" si="2"/>
        <v/>
      </c>
      <c r="J7" s="40" t="s">
        <v>584</v>
      </c>
    </row>
    <row r="8" spans="1:10" ht="14.25" x14ac:dyDescent="0.15">
      <c r="A8" s="24">
        <f t="shared" ca="1" si="0"/>
        <v>1161</v>
      </c>
      <c r="B8" s="17">
        <v>1</v>
      </c>
      <c r="C8" s="17">
        <v>3</v>
      </c>
      <c r="D8" s="17">
        <v>0</v>
      </c>
      <c r="E8" s="17"/>
      <c r="F8" s="17"/>
      <c r="G8" s="19" t="str">
        <f ca="1">IF($A8="","",IF($I8="X",A8,CONCATENATE(VLOOKUP(A8,Competitors!$A$2:$I$650,3, FALSE)," ",VLOOKUP(A8,Competitors!$A$2:$I$650,2,FALSE))))</f>
        <v>Maciej Suchocki</v>
      </c>
      <c r="H8" s="20">
        <f t="shared" si="1"/>
        <v>4.3749999999999997E-2</v>
      </c>
      <c r="I8" t="str">
        <f t="shared" ca="1" si="2"/>
        <v/>
      </c>
      <c r="J8" s="40" t="s">
        <v>587</v>
      </c>
    </row>
    <row r="9" spans="1:10" ht="14.25" x14ac:dyDescent="0.15">
      <c r="A9" s="24">
        <f t="shared" ca="1" si="0"/>
        <v>1055</v>
      </c>
      <c r="B9" s="17">
        <v>1</v>
      </c>
      <c r="C9" s="17">
        <v>4</v>
      </c>
      <c r="D9" s="17">
        <v>37</v>
      </c>
      <c r="E9" s="17"/>
      <c r="F9" s="17"/>
      <c r="G9" s="19" t="str">
        <f ca="1">IF($A9="","",IF($I9="X",A9,CONCATENATE(VLOOKUP(A9,Competitors!$A$2:$I$650,3, FALSE)," ",VLOOKUP(A9,Competitors!$A$2:$I$650,2,FALSE))))</f>
        <v>Austin Smith</v>
      </c>
      <c r="H9" s="20">
        <f t="shared" si="1"/>
        <v>4.4872685185185182E-2</v>
      </c>
      <c r="I9" t="str">
        <f t="shared" ca="1" si="2"/>
        <v/>
      </c>
      <c r="J9" s="40" t="s">
        <v>589</v>
      </c>
    </row>
    <row r="10" spans="1:10" ht="14.25" x14ac:dyDescent="0.15">
      <c r="A10" s="24">
        <f t="shared" ca="1" si="0"/>
        <v>415</v>
      </c>
      <c r="B10" s="17">
        <v>1</v>
      </c>
      <c r="C10" s="17">
        <v>5</v>
      </c>
      <c r="D10" s="17">
        <v>31</v>
      </c>
      <c r="E10" s="17" t="s">
        <v>170</v>
      </c>
      <c r="F10" s="17"/>
      <c r="G10" s="19" t="str">
        <f ca="1">IF($A10="","",IF($I10="X",A10,CONCATENATE(VLOOKUP(A10,Competitors!$A$2:$I$650,3, FALSE)," ",VLOOKUP(A10,Competitors!$A$2:$I$650,2,FALSE))))</f>
        <v>Nik Kershaw</v>
      </c>
      <c r="H10" s="20">
        <f t="shared" si="1"/>
        <v>4.5497685185185183E-2</v>
      </c>
      <c r="I10" t="str">
        <f t="shared" ca="1" si="2"/>
        <v/>
      </c>
      <c r="J10" s="40" t="s">
        <v>594</v>
      </c>
    </row>
    <row r="11" spans="1:10" ht="14.25" x14ac:dyDescent="0.15">
      <c r="A11" s="24">
        <f t="shared" ca="1" si="0"/>
        <v>1129</v>
      </c>
      <c r="B11" s="17">
        <v>1</v>
      </c>
      <c r="C11" s="17">
        <v>9</v>
      </c>
      <c r="D11" s="17">
        <v>2</v>
      </c>
      <c r="E11" s="17"/>
      <c r="F11" s="17"/>
      <c r="G11" s="19" t="str">
        <f ca="1">IF($A11="","",IF($I11="X",A11,CONCATENATE(VLOOKUP(A11,Competitors!$A$2:$I$650,3, FALSE)," ",VLOOKUP(A11,Competitors!$A$2:$I$650,2,FALSE))))</f>
        <v>Doug Tincello</v>
      </c>
      <c r="H11" s="20">
        <f t="shared" si="1"/>
        <v>4.7939814814814817E-2</v>
      </c>
      <c r="I11" t="str">
        <f t="shared" ca="1" si="2"/>
        <v/>
      </c>
      <c r="J11" s="40" t="s">
        <v>596</v>
      </c>
    </row>
    <row r="12" spans="1:10" ht="14.25" x14ac:dyDescent="0.15">
      <c r="A12" s="24">
        <f t="shared" ca="1" si="0"/>
        <v>846</v>
      </c>
      <c r="B12" s="17">
        <v>1</v>
      </c>
      <c r="C12" s="17">
        <v>9</v>
      </c>
      <c r="D12" s="17">
        <v>13</v>
      </c>
      <c r="E12" s="17"/>
      <c r="F12" s="17"/>
      <c r="G12" s="19" t="str">
        <f ca="1">IF($A12="","",IF($I12="X",A12,CONCATENATE(VLOOKUP(A12,Competitors!$A$2:$I$650,3, FALSE)," ",VLOOKUP(A12,Competitors!$A$2:$I$650,2,FALSE))))</f>
        <v>Roger Kockelbergh</v>
      </c>
      <c r="H12" s="20">
        <f t="shared" si="1"/>
        <v>4.8067129629629626E-2</v>
      </c>
      <c r="I12" t="str">
        <f t="shared" ca="1" si="2"/>
        <v/>
      </c>
      <c r="J12" s="40" t="s">
        <v>601</v>
      </c>
    </row>
    <row r="13" spans="1:10" ht="14.25" x14ac:dyDescent="0.15">
      <c r="A13" s="24">
        <f t="shared" ca="1" si="0"/>
        <v>674</v>
      </c>
      <c r="B13" s="17">
        <v>1</v>
      </c>
      <c r="C13" s="17">
        <v>9</v>
      </c>
      <c r="D13" s="17">
        <v>39</v>
      </c>
      <c r="E13" s="17"/>
      <c r="F13" s="17"/>
      <c r="G13" s="19" t="str">
        <f ca="1">IF($A13="","",IF($I13="X",A13,CONCATENATE(VLOOKUP(A13,Competitors!$A$2:$I$650,3, FALSE)," ",VLOOKUP(A13,Competitors!$A$2:$I$650,2,FALSE))))</f>
        <v>Jennifer Clegg</v>
      </c>
      <c r="H13" s="20">
        <f t="shared" si="1"/>
        <v>4.8368055555555553E-2</v>
      </c>
      <c r="I13" t="str">
        <f t="shared" ca="1" si="2"/>
        <v/>
      </c>
      <c r="J13" s="40" t="s">
        <v>641</v>
      </c>
    </row>
    <row r="14" spans="1:10" ht="14.25" x14ac:dyDescent="0.15">
      <c r="A14" s="24" t="str">
        <f t="shared" ca="1" si="0"/>
        <v>James Brown</v>
      </c>
      <c r="B14" s="17">
        <v>1</v>
      </c>
      <c r="C14" s="17">
        <v>10</v>
      </c>
      <c r="D14" s="17">
        <v>11</v>
      </c>
      <c r="E14" s="17"/>
      <c r="F14" s="17"/>
      <c r="G14" s="19" t="str">
        <f ca="1">IF($A14="","",IF($I14="X",A14,CONCATENATE(VLOOKUP(A14,Competitors!$A$2:$I$650,3, FALSE)," ",VLOOKUP(A14,Competitors!$A$2:$I$650,2,FALSE))))</f>
        <v>James Brown</v>
      </c>
      <c r="H14" s="20">
        <f t="shared" si="1"/>
        <v>4.8738425925925928E-2</v>
      </c>
      <c r="I14" t="str">
        <f t="shared" ca="1" si="2"/>
        <v>X</v>
      </c>
      <c r="J14" s="40" t="s">
        <v>211</v>
      </c>
    </row>
    <row r="15" spans="1:10" ht="14.25" x14ac:dyDescent="0.15">
      <c r="A15" s="24">
        <f t="shared" ca="1" si="0"/>
        <v>1107</v>
      </c>
      <c r="B15" s="17">
        <v>1</v>
      </c>
      <c r="C15" s="17">
        <v>10</v>
      </c>
      <c r="D15" s="17">
        <v>47</v>
      </c>
      <c r="E15" s="17" t="s">
        <v>170</v>
      </c>
      <c r="F15" s="17"/>
      <c r="G15" s="19" t="str">
        <f ca="1">IF($A15="","",IF($I15="X",A15,CONCATENATE(VLOOKUP(A15,Competitors!$A$2:$I$650,3, FALSE)," ",VLOOKUP(A15,Competitors!$A$2:$I$650,2,FALSE))))</f>
        <v>Milly Pinnock</v>
      </c>
      <c r="H15" s="20">
        <f t="shared" si="1"/>
        <v>4.9155092592592591E-2</v>
      </c>
      <c r="I15" t="str">
        <f t="shared" ca="1" si="2"/>
        <v/>
      </c>
      <c r="J15" s="40" t="s">
        <v>600</v>
      </c>
    </row>
    <row r="16" spans="1:10" ht="14.25" x14ac:dyDescent="0.15">
      <c r="A16" s="24">
        <f t="shared" ca="1" si="0"/>
        <v>616</v>
      </c>
      <c r="B16" s="17">
        <v>1</v>
      </c>
      <c r="C16" s="17">
        <v>11</v>
      </c>
      <c r="D16" s="17">
        <v>54</v>
      </c>
      <c r="E16" s="17"/>
      <c r="F16" s="17"/>
      <c r="G16" s="19" t="str">
        <f ca="1">IF($A16="","",IF($I16="X",A16,CONCATENATE(VLOOKUP(A16,Competitors!$A$2:$I$650,3, FALSE)," ",VLOOKUP(A16,Competitors!$A$2:$I$650,2,FALSE))))</f>
        <v>Simon Ward</v>
      </c>
      <c r="H16" s="20">
        <f t="shared" si="1"/>
        <v>4.9930555555555554E-2</v>
      </c>
      <c r="I16" t="str">
        <f t="shared" ca="1" si="2"/>
        <v/>
      </c>
      <c r="J16" s="40" t="s">
        <v>610</v>
      </c>
    </row>
    <row r="17" spans="1:10" ht="14.25" x14ac:dyDescent="0.15">
      <c r="A17" s="24">
        <f t="shared" ca="1" si="0"/>
        <v>23</v>
      </c>
      <c r="B17" s="17">
        <v>1</v>
      </c>
      <c r="C17" s="17">
        <v>12</v>
      </c>
      <c r="D17" s="17">
        <v>3</v>
      </c>
      <c r="E17" s="17"/>
      <c r="F17" s="17"/>
      <c r="G17" s="19" t="str">
        <f ca="1">IF($A17="","",IF($I17="X",A17,CONCATENATE(VLOOKUP(A17,Competitors!$A$2:$I$650,3, FALSE)," ",VLOOKUP(A17,Competitors!$A$2:$I$650,2,FALSE))))</f>
        <v>Chris Hyde</v>
      </c>
      <c r="H17" s="20">
        <f t="shared" si="1"/>
        <v>5.0034722222222223E-2</v>
      </c>
      <c r="I17" t="str">
        <f t="shared" ca="1" si="2"/>
        <v/>
      </c>
      <c r="J17" s="40" t="s">
        <v>606</v>
      </c>
    </row>
    <row r="18" spans="1:10" ht="14.25" x14ac:dyDescent="0.15">
      <c r="A18" s="24">
        <f t="shared" ca="1" si="0"/>
        <v>704</v>
      </c>
      <c r="B18" s="17">
        <v>1</v>
      </c>
      <c r="C18" s="17">
        <v>12</v>
      </c>
      <c r="D18" s="17">
        <v>32</v>
      </c>
      <c r="E18" s="17"/>
      <c r="F18" s="17"/>
      <c r="G18" s="19" t="str">
        <f ca="1">IF($A18="","",IF($I18="X",A18,CONCATENATE(VLOOKUP(A18,Competitors!$A$2:$I$650,3, FALSE)," ",VLOOKUP(A18,Competitors!$A$2:$I$650,2,FALSE))))</f>
        <v>Chris Dainty</v>
      </c>
      <c r="H18" s="20">
        <f t="shared" si="1"/>
        <v>5.0370370370370371E-2</v>
      </c>
      <c r="I18" t="str">
        <f t="shared" ca="1" si="2"/>
        <v/>
      </c>
      <c r="J18" s="40" t="s">
        <v>605</v>
      </c>
    </row>
    <row r="19" spans="1:10" ht="14.25" x14ac:dyDescent="0.15">
      <c r="A19" s="24">
        <f t="shared" ca="1" si="0"/>
        <v>1024</v>
      </c>
      <c r="B19" s="17">
        <v>1</v>
      </c>
      <c r="C19" s="17">
        <v>12</v>
      </c>
      <c r="D19" s="17">
        <v>42</v>
      </c>
      <c r="E19" s="17"/>
      <c r="F19" s="17"/>
      <c r="G19" s="19" t="str">
        <f ca="1">IF($A19="","",IF($I19="X",A19,CONCATENATE(VLOOKUP(A19,Competitors!$A$2:$I$650,3, FALSE)," ",VLOOKUP(A19,Competitors!$A$2:$I$650,2,FALSE))))</f>
        <v>Jax Roberts</v>
      </c>
      <c r="H19" s="20">
        <f t="shared" si="1"/>
        <v>5.0486111111111114E-2</v>
      </c>
      <c r="I19" t="str">
        <f t="shared" ca="1" si="2"/>
        <v/>
      </c>
      <c r="J19" s="40" t="s">
        <v>608</v>
      </c>
    </row>
    <row r="20" spans="1:10" ht="14.25" x14ac:dyDescent="0.15">
      <c r="A20" s="24">
        <f t="shared" ca="1" si="0"/>
        <v>1298</v>
      </c>
      <c r="B20" s="17">
        <v>2</v>
      </c>
      <c r="C20" s="17">
        <v>0</v>
      </c>
      <c r="D20" s="17">
        <v>0</v>
      </c>
      <c r="E20" s="17"/>
      <c r="F20" s="17" t="s">
        <v>215</v>
      </c>
      <c r="G20" s="19" t="str">
        <f ca="1">IF($A20="","",IF($I20="X",A20,CONCATENATE(VLOOKUP(A20,Competitors!$A$2:$I$650,3, FALSE)," ",VLOOKUP(A20,Competitors!$A$2:$I$650,2,FALSE))))</f>
        <v>Jane Moore</v>
      </c>
      <c r="H20" s="20">
        <f t="shared" si="1"/>
        <v>8.3333333333333329E-2</v>
      </c>
      <c r="I20" t="str">
        <f t="shared" ca="1" si="2"/>
        <v/>
      </c>
      <c r="J20" s="40" t="s">
        <v>614</v>
      </c>
    </row>
    <row r="21" spans="1:10" ht="14.25" x14ac:dyDescent="0.15">
      <c r="A21" s="24" t="str">
        <f t="shared" ca="1" si="0"/>
        <v>Lynne Scofield (RFW)</v>
      </c>
      <c r="B21" s="17">
        <v>3</v>
      </c>
      <c r="C21" s="17">
        <v>0</v>
      </c>
      <c r="D21" s="17">
        <v>0</v>
      </c>
      <c r="E21" s="17"/>
      <c r="F21" s="17" t="s">
        <v>205</v>
      </c>
      <c r="G21" s="19" t="str">
        <f ca="1">IF($A21="","",IF($I21="X",A21,CONCATENATE(VLOOKUP(A21,Competitors!$A$2:$I$650,3, FALSE)," ",VLOOKUP(A21,Competitors!$A$2:$I$650,2,FALSE))))</f>
        <v>Lynne Scofield (RFW)</v>
      </c>
      <c r="H21" s="20">
        <f t="shared" si="1"/>
        <v>0.125</v>
      </c>
      <c r="I21" t="str">
        <f t="shared" ca="1" si="2"/>
        <v>X</v>
      </c>
      <c r="J21" s="40" t="s">
        <v>155</v>
      </c>
    </row>
    <row r="22" spans="1:10" ht="14.25" x14ac:dyDescent="0.15">
      <c r="A22" s="24">
        <f t="shared" ca="1" si="0"/>
        <v>203</v>
      </c>
      <c r="B22" s="17">
        <v>4</v>
      </c>
      <c r="C22" s="17">
        <v>0</v>
      </c>
      <c r="D22" s="17">
        <v>0</v>
      </c>
      <c r="E22" s="17"/>
      <c r="F22" s="17" t="s">
        <v>534</v>
      </c>
      <c r="G22" s="19" t="str">
        <f ca="1">IF($A22="","",IF($I22="X",A22,CONCATENATE(VLOOKUP(A22,Competitors!$A$2:$I$650,3, FALSE)," ",VLOOKUP(A22,Competitors!$A$2:$I$650,2,FALSE))))</f>
        <v>Adrian Killworth</v>
      </c>
      <c r="H22" s="20">
        <f t="shared" si="1"/>
        <v>0.16666666666666666</v>
      </c>
      <c r="I22" t="str">
        <f t="shared" ca="1" si="2"/>
        <v/>
      </c>
      <c r="J22" s="40" t="s">
        <v>603</v>
      </c>
    </row>
    <row r="23" spans="1:10" ht="14.25" x14ac:dyDescent="0.15">
      <c r="A23" s="24" t="str">
        <f t="shared" ca="1" si="0"/>
        <v/>
      </c>
      <c r="B23" s="17"/>
      <c r="C23" s="17"/>
      <c r="D23" s="17"/>
      <c r="E23" s="17"/>
      <c r="F23" s="17"/>
      <c r="G23" s="19" t="str">
        <f ca="1">IF($A23="","",IF($I23="X",A23,CONCATENATE(VLOOKUP(A23,Competitors!$A$2:$I$650,3, FALSE)," ",VLOOKUP(A23,Competitors!$A$2:$I$650,2,FALSE))))</f>
        <v/>
      </c>
      <c r="H23" s="20">
        <f t="shared" si="1"/>
        <v>0</v>
      </c>
      <c r="I23" t="str">
        <f t="shared" ca="1" si="2"/>
        <v/>
      </c>
      <c r="J23" s="40" t="s">
        <v>173</v>
      </c>
    </row>
    <row r="24" spans="1:10" ht="14.25" x14ac:dyDescent="0.15">
      <c r="A24" s="24" t="str">
        <f t="shared" ca="1" si="0"/>
        <v/>
      </c>
      <c r="B24" s="17"/>
      <c r="C24" s="17"/>
      <c r="D24" s="17"/>
      <c r="E24" s="17"/>
      <c r="F24" s="17"/>
      <c r="G24" s="19" t="str">
        <f ca="1">IF($A24="","",IF($I24="X",A24,CONCATENATE(VLOOKUP(A24,Competitors!$A$2:$I$650,3, FALSE)," ",VLOOKUP(A24,Competitors!$A$2:$I$650,2,FALSE))))</f>
        <v/>
      </c>
      <c r="H24" s="20">
        <f t="shared" si="1"/>
        <v>0</v>
      </c>
      <c r="I24" t="str">
        <f t="shared" ca="1" si="2"/>
        <v/>
      </c>
      <c r="J24" s="40" t="s">
        <v>173</v>
      </c>
    </row>
    <row r="25" spans="1:10" ht="14.25" x14ac:dyDescent="0.15">
      <c r="A25" s="24" t="str">
        <f t="shared" ca="1" si="0"/>
        <v/>
      </c>
      <c r="B25" s="17"/>
      <c r="C25" s="17"/>
      <c r="D25" s="17"/>
      <c r="E25" s="17"/>
      <c r="F25" s="17"/>
      <c r="G25" s="19" t="str">
        <f ca="1">IF($A25="","",IF($I25="X",A25,CONCATENATE(VLOOKUP(A25,Competitors!$A$2:$I$650,3, FALSE)," ",VLOOKUP(A25,Competitors!$A$2:$I$650,2,FALSE))))</f>
        <v/>
      </c>
      <c r="H25" s="20">
        <f t="shared" si="1"/>
        <v>0</v>
      </c>
      <c r="I25" t="str">
        <f t="shared" ca="1" si="2"/>
        <v/>
      </c>
      <c r="J25" s="40" t="s">
        <v>173</v>
      </c>
    </row>
    <row r="26" spans="1:10" ht="14.25" x14ac:dyDescent="0.15">
      <c r="A26" s="24" t="str">
        <f t="shared" ca="1" si="0"/>
        <v/>
      </c>
      <c r="B26" s="17"/>
      <c r="C26" s="17"/>
      <c r="D26" s="17"/>
      <c r="E26" s="17"/>
      <c r="F26" s="17"/>
      <c r="G26" s="19" t="str">
        <f ca="1">IF($A26="","",IF($I26="X",A26,CONCATENATE(VLOOKUP(A26,Competitors!$A$2:$I$650,3, FALSE)," ",VLOOKUP(A26,Competitors!$A$2:$I$650,2,FALSE))))</f>
        <v/>
      </c>
      <c r="H26" s="20">
        <f t="shared" si="1"/>
        <v>0</v>
      </c>
      <c r="I26" t="str">
        <f t="shared" ca="1" si="2"/>
        <v/>
      </c>
      <c r="J26" s="40" t="s">
        <v>173</v>
      </c>
    </row>
    <row r="27" spans="1:10" ht="14.25" x14ac:dyDescent="0.15">
      <c r="A27" s="24" t="str">
        <f t="shared" ca="1" si="0"/>
        <v/>
      </c>
      <c r="B27" s="17"/>
      <c r="C27" s="17"/>
      <c r="D27" s="17"/>
      <c r="E27" s="17"/>
      <c r="F27" s="17"/>
      <c r="G27" s="19" t="str">
        <f ca="1">IF($A27="","",IF($I27="X",A27,CONCATENATE(VLOOKUP(A27,Competitors!$A$2:$I$650,3, FALSE)," ",VLOOKUP(A27,Competitors!$A$2:$I$650,2,FALSE))))</f>
        <v/>
      </c>
      <c r="H27" s="20">
        <f t="shared" si="1"/>
        <v>0</v>
      </c>
      <c r="I27" t="str">
        <f t="shared" ca="1" si="2"/>
        <v/>
      </c>
      <c r="J27" s="40" t="s">
        <v>173</v>
      </c>
    </row>
    <row r="28" spans="1:10" ht="14.25" x14ac:dyDescent="0.15">
      <c r="A28" s="24" t="str">
        <f t="shared" ca="1" si="0"/>
        <v/>
      </c>
      <c r="B28" s="17"/>
      <c r="C28" s="17"/>
      <c r="D28" s="17"/>
      <c r="E28" s="17"/>
      <c r="F28" s="17"/>
      <c r="G28" s="19" t="str">
        <f ca="1">IF($A28="","",IF($I28="X",A28,CONCATENATE(VLOOKUP(A28,Competitors!$A$2:$I$650,3, FALSE)," ",VLOOKUP(A28,Competitors!$A$2:$I$650,2,FALSE))))</f>
        <v/>
      </c>
      <c r="H28" s="20">
        <f t="shared" si="1"/>
        <v>0</v>
      </c>
      <c r="I28" t="str">
        <f t="shared" ca="1" si="2"/>
        <v/>
      </c>
      <c r="J28" s="40" t="s">
        <v>173</v>
      </c>
    </row>
    <row r="29" spans="1:10" ht="14.25" x14ac:dyDescent="0.15">
      <c r="A29" s="24" t="str">
        <f t="shared" ca="1" si="0"/>
        <v/>
      </c>
      <c r="B29" s="17"/>
      <c r="C29" s="17"/>
      <c r="D29" s="17"/>
      <c r="E29" s="17"/>
      <c r="F29" s="17"/>
      <c r="G29" s="19" t="str">
        <f ca="1">IF($A29="","",IF($I29="X",A29,CONCATENATE(VLOOKUP(A29,Competitors!$A$2:$I$650,3, FALSE)," ",VLOOKUP(A29,Competitors!$A$2:$I$650,2,FALSE))))</f>
        <v/>
      </c>
      <c r="H29" s="20">
        <f t="shared" si="1"/>
        <v>0</v>
      </c>
      <c r="I29" t="str">
        <f t="shared" ca="1" si="2"/>
        <v/>
      </c>
      <c r="J29" s="40" t="s">
        <v>173</v>
      </c>
    </row>
    <row r="30" spans="1:10" ht="14.25" x14ac:dyDescent="0.15">
      <c r="A30" s="24" t="str">
        <f t="shared" ca="1" si="0"/>
        <v/>
      </c>
      <c r="B30" s="17"/>
      <c r="C30" s="17"/>
      <c r="D30" s="17"/>
      <c r="E30" s="17"/>
      <c r="F30" s="17"/>
      <c r="G30" s="19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24" t="str">
        <f t="shared" ca="1" si="0"/>
        <v/>
      </c>
      <c r="B31" s="17"/>
      <c r="C31" s="17"/>
      <c r="D31" s="17"/>
      <c r="E31" s="17"/>
      <c r="F31" s="17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24" t="str">
        <f t="shared" ca="1" si="0"/>
        <v/>
      </c>
      <c r="B32" s="17"/>
      <c r="C32" s="17"/>
      <c r="D32" s="17"/>
      <c r="E32" s="17"/>
      <c r="F32" s="17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24" t="str">
        <f t="shared" ca="1" si="0"/>
        <v/>
      </c>
      <c r="B33" s="17"/>
      <c r="C33" s="17"/>
      <c r="D33" s="17"/>
      <c r="E33" s="17"/>
      <c r="F33" s="17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24" t="str">
        <f t="shared" ref="A34:A65" ca="1" si="3">IF(J34="","",_xlfn.XLOOKUP(J34,ClubNames,ClubNumbers,_xlfn.XLOOKUP(J34,RoundRobinRiderNames,RoundRobinRiderDecoratedNames,J34)))</f>
        <v/>
      </c>
      <c r="B34" s="17"/>
      <c r="C34" s="17"/>
      <c r="D34" s="17"/>
      <c r="E34" s="17"/>
      <c r="F34" s="17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24" t="str">
        <f t="shared" ca="1" si="3"/>
        <v/>
      </c>
      <c r="B35" s="17"/>
      <c r="C35" s="17"/>
      <c r="D35" s="17"/>
      <c r="E35" s="17"/>
      <c r="F35" s="17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24" t="str">
        <f t="shared" ca="1" si="3"/>
        <v/>
      </c>
      <c r="B36" s="17"/>
      <c r="C36" s="17"/>
      <c r="D36" s="17"/>
      <c r="E36" s="17"/>
      <c r="F36" s="17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24" t="str">
        <f t="shared" ca="1" si="3"/>
        <v/>
      </c>
      <c r="B37" s="17"/>
      <c r="C37" s="17"/>
      <c r="D37" s="17"/>
      <c r="E37" s="17"/>
      <c r="F37" s="17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24" t="str">
        <f t="shared" ca="1" si="3"/>
        <v/>
      </c>
      <c r="B38" s="17"/>
      <c r="C38" s="17"/>
      <c r="D38" s="17"/>
      <c r="E38" s="17"/>
      <c r="F38" s="17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24" t="str">
        <f t="shared" ca="1" si="3"/>
        <v/>
      </c>
      <c r="B39" s="17"/>
      <c r="C39" s="17"/>
      <c r="D39" s="17"/>
      <c r="E39" s="17"/>
      <c r="F39" s="17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24" t="str">
        <f t="shared" ca="1" si="3"/>
        <v/>
      </c>
      <c r="B40" s="17"/>
      <c r="C40" s="17"/>
      <c r="D40" s="17"/>
      <c r="E40" s="17"/>
      <c r="F40" s="17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24" t="str">
        <f t="shared" ca="1" si="3"/>
        <v/>
      </c>
      <c r="B41" s="17"/>
      <c r="C41" s="17"/>
      <c r="D41" s="17"/>
      <c r="E41" s="17"/>
      <c r="F41" s="17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24" t="str">
        <f t="shared" ca="1" si="3"/>
        <v/>
      </c>
      <c r="B42" s="17"/>
      <c r="C42" s="17"/>
      <c r="D42" s="17"/>
      <c r="E42" s="17"/>
      <c r="F42" s="17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24" t="str">
        <f t="shared" ca="1" si="3"/>
        <v/>
      </c>
      <c r="B43" s="17"/>
      <c r="C43" s="17"/>
      <c r="D43" s="17"/>
      <c r="E43" s="17"/>
      <c r="F43" s="17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24" t="str">
        <f t="shared" ca="1" si="3"/>
        <v/>
      </c>
      <c r="B44" s="17"/>
      <c r="C44" s="17"/>
      <c r="D44" s="17"/>
      <c r="E44" s="17"/>
      <c r="F44" s="17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24" t="str">
        <f t="shared" ca="1" si="3"/>
        <v/>
      </c>
      <c r="B45" s="17"/>
      <c r="C45" s="17"/>
      <c r="D45" s="17"/>
      <c r="E45" s="17"/>
      <c r="F45" s="17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24" t="str">
        <f t="shared" ca="1" si="3"/>
        <v/>
      </c>
      <c r="B46" s="17"/>
      <c r="C46" s="17"/>
      <c r="D46" s="17"/>
      <c r="E46" s="17"/>
      <c r="F46" s="17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24" t="str">
        <f t="shared" ca="1" si="3"/>
        <v/>
      </c>
      <c r="B47" s="17"/>
      <c r="C47" s="17"/>
      <c r="D47" s="17"/>
      <c r="E47" s="17"/>
      <c r="F47" s="17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24" t="str">
        <f t="shared" ca="1" si="3"/>
        <v/>
      </c>
      <c r="B48" s="17"/>
      <c r="C48" s="17"/>
      <c r="D48" s="17"/>
      <c r="E48" s="17"/>
      <c r="F48" s="17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24" t="str">
        <f t="shared" ca="1" si="3"/>
        <v/>
      </c>
      <c r="B49" s="17"/>
      <c r="C49" s="17"/>
      <c r="D49" s="17"/>
      <c r="E49" s="17"/>
      <c r="F49" s="17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24" t="str">
        <f t="shared" ca="1" si="3"/>
        <v/>
      </c>
      <c r="B50" s="17"/>
      <c r="C50" s="17"/>
      <c r="D50" s="17"/>
      <c r="E50" s="17"/>
      <c r="F50" s="17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24" t="str">
        <f t="shared" ca="1" si="3"/>
        <v/>
      </c>
      <c r="B51" s="17"/>
      <c r="C51" s="17"/>
      <c r="D51" s="17"/>
      <c r="E51" s="17"/>
      <c r="F51" s="17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24" t="str">
        <f t="shared" ca="1" si="3"/>
        <v/>
      </c>
      <c r="B52" s="17"/>
      <c r="C52" s="17"/>
      <c r="D52" s="17"/>
      <c r="E52" s="17"/>
      <c r="F52" s="17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24" t="str">
        <f t="shared" ca="1" si="3"/>
        <v/>
      </c>
      <c r="B53" s="17"/>
      <c r="C53" s="17"/>
      <c r="D53" s="17"/>
      <c r="E53" s="17"/>
      <c r="F53" s="17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24" t="str">
        <f t="shared" ca="1" si="3"/>
        <v/>
      </c>
      <c r="B54" s="17"/>
      <c r="C54" s="17"/>
      <c r="D54" s="17"/>
      <c r="E54" s="17"/>
      <c r="F54" s="17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24" t="str">
        <f t="shared" ca="1" si="3"/>
        <v/>
      </c>
      <c r="B55" s="17"/>
      <c r="C55" s="17"/>
      <c r="D55" s="17"/>
      <c r="E55" s="17"/>
      <c r="F55" s="17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24" t="str">
        <f t="shared" ca="1" si="3"/>
        <v/>
      </c>
      <c r="B56" s="17"/>
      <c r="C56" s="17"/>
      <c r="D56" s="17"/>
      <c r="E56" s="17"/>
      <c r="F56" s="17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24" t="str">
        <f t="shared" ca="1" si="3"/>
        <v/>
      </c>
      <c r="B57" s="17"/>
      <c r="C57" s="17"/>
      <c r="D57" s="17"/>
      <c r="E57" s="17"/>
      <c r="F57" s="17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24" t="str">
        <f t="shared" ca="1" si="3"/>
        <v/>
      </c>
      <c r="B58" s="17"/>
      <c r="C58" s="17"/>
      <c r="D58" s="17"/>
      <c r="E58" s="17"/>
      <c r="F58" s="17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24" t="str">
        <f t="shared" ca="1" si="3"/>
        <v/>
      </c>
      <c r="B59" s="17"/>
      <c r="C59" s="17"/>
      <c r="D59" s="17"/>
      <c r="E59" s="17"/>
      <c r="F59" s="17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24" t="str">
        <f t="shared" ca="1" si="3"/>
        <v/>
      </c>
      <c r="B60" s="17"/>
      <c r="C60" s="17"/>
      <c r="D60" s="17"/>
      <c r="E60" s="17"/>
      <c r="F60" s="17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24" t="str">
        <f t="shared" ca="1" si="3"/>
        <v/>
      </c>
      <c r="B61" s="17"/>
      <c r="C61" s="17"/>
      <c r="D61" s="17"/>
      <c r="E61" s="17"/>
      <c r="F61" s="17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24" t="str">
        <f t="shared" ca="1" si="3"/>
        <v/>
      </c>
      <c r="B62" s="17"/>
      <c r="C62" s="17"/>
      <c r="D62" s="17"/>
      <c r="E62" s="17"/>
      <c r="F62" s="17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24" t="str">
        <f t="shared" ca="1" si="3"/>
        <v/>
      </c>
      <c r="B63" s="17"/>
      <c r="C63" s="17"/>
      <c r="D63" s="17"/>
      <c r="E63" s="17"/>
      <c r="F63" s="17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24" t="str">
        <f t="shared" ca="1" si="3"/>
        <v/>
      </c>
      <c r="B64" s="17"/>
      <c r="C64" s="17"/>
      <c r="D64" s="17"/>
      <c r="E64" s="17"/>
      <c r="F64" s="17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24" t="str">
        <f t="shared" ca="1" si="3"/>
        <v/>
      </c>
      <c r="B65" s="17"/>
      <c r="C65" s="17"/>
      <c r="D65" s="17"/>
      <c r="E65" s="17"/>
      <c r="F65" s="17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24" t="str">
        <f t="shared" ref="A66:A101" ca="1" si="4">IF(J66="","",_xlfn.XLOOKUP(J66,ClubNames,ClubNumbers,_xlfn.XLOOKUP(J66,RoundRobinRiderNames,RoundRobinRiderDecoratedNames,J66)))</f>
        <v/>
      </c>
      <c r="B66" s="17"/>
      <c r="C66" s="17"/>
      <c r="D66" s="17"/>
      <c r="E66" s="17"/>
      <c r="F66" s="17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24" t="str">
        <f t="shared" ca="1" si="4"/>
        <v/>
      </c>
      <c r="B67" s="17"/>
      <c r="C67" s="17"/>
      <c r="D67" s="17"/>
      <c r="E67" s="17"/>
      <c r="F67" s="17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24" t="str">
        <f t="shared" ca="1" si="4"/>
        <v/>
      </c>
      <c r="B68" s="17"/>
      <c r="C68" s="17"/>
      <c r="D68" s="17"/>
      <c r="E68" s="17"/>
      <c r="F68" s="17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24" t="str">
        <f t="shared" ca="1" si="4"/>
        <v/>
      </c>
      <c r="B69" s="17"/>
      <c r="C69" s="17"/>
      <c r="D69" s="17"/>
      <c r="E69" s="17"/>
      <c r="F69" s="17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24" t="str">
        <f t="shared" ca="1" si="4"/>
        <v/>
      </c>
      <c r="B70" s="17"/>
      <c r="C70" s="17"/>
      <c r="D70" s="17"/>
      <c r="E70" s="17"/>
      <c r="F70" s="17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24" t="str">
        <f t="shared" ca="1" si="4"/>
        <v/>
      </c>
      <c r="B71" s="17"/>
      <c r="C71" s="17"/>
      <c r="D71" s="17"/>
      <c r="E71" s="17"/>
      <c r="F71" s="17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24" t="str">
        <f t="shared" ca="1" si="4"/>
        <v/>
      </c>
      <c r="B72" s="17"/>
      <c r="C72" s="17"/>
      <c r="D72" s="17"/>
      <c r="E72" s="17"/>
      <c r="F72" s="17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24" t="str">
        <f t="shared" ca="1" si="4"/>
        <v/>
      </c>
      <c r="B73" s="17"/>
      <c r="C73" s="17"/>
      <c r="D73" s="17"/>
      <c r="E73" s="17"/>
      <c r="F73" s="17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24" t="str">
        <f t="shared" ca="1" si="4"/>
        <v/>
      </c>
      <c r="B74" s="17"/>
      <c r="C74" s="17"/>
      <c r="D74" s="17"/>
      <c r="E74" s="17"/>
      <c r="F74" s="17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24" t="str">
        <f t="shared" ca="1" si="4"/>
        <v/>
      </c>
      <c r="B75" s="17"/>
      <c r="C75" s="17"/>
      <c r="D75" s="17"/>
      <c r="E75" s="17"/>
      <c r="F75" s="17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24" t="str">
        <f t="shared" ca="1" si="4"/>
        <v/>
      </c>
      <c r="B76" s="17"/>
      <c r="C76" s="17"/>
      <c r="D76" s="17"/>
      <c r="E76" s="17"/>
      <c r="F76" s="17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24" t="str">
        <f t="shared" ca="1" si="4"/>
        <v/>
      </c>
      <c r="B77" s="17"/>
      <c r="C77" s="17"/>
      <c r="D77" s="17"/>
      <c r="E77" s="17"/>
      <c r="F77" s="17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24" t="str">
        <f t="shared" ca="1" si="4"/>
        <v/>
      </c>
      <c r="B78" s="17"/>
      <c r="C78" s="17"/>
      <c r="D78" s="17"/>
      <c r="E78" s="17"/>
      <c r="F78" s="17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24" t="str">
        <f t="shared" ca="1" si="4"/>
        <v/>
      </c>
      <c r="B79" s="17"/>
      <c r="C79" s="17"/>
      <c r="D79" s="17"/>
      <c r="E79" s="17"/>
      <c r="F79" s="17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24" t="str">
        <f t="shared" ca="1" si="4"/>
        <v/>
      </c>
      <c r="B80" s="17"/>
      <c r="C80" s="17"/>
      <c r="D80" s="17"/>
      <c r="E80" s="17"/>
      <c r="F80" s="17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24" t="str">
        <f t="shared" ca="1" si="4"/>
        <v/>
      </c>
      <c r="B81" s="17"/>
      <c r="C81" s="17"/>
      <c r="D81" s="17"/>
      <c r="E81" s="17"/>
      <c r="F81" s="17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24" t="str">
        <f t="shared" ca="1" si="4"/>
        <v/>
      </c>
      <c r="B82" s="17"/>
      <c r="C82" s="17"/>
      <c r="D82" s="17"/>
      <c r="E82" s="17"/>
      <c r="F82" s="17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24" t="str">
        <f t="shared" ca="1" si="4"/>
        <v/>
      </c>
      <c r="B83" s="17"/>
      <c r="C83" s="17"/>
      <c r="D83" s="17"/>
      <c r="E83" s="17"/>
      <c r="F83" s="17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24" t="str">
        <f t="shared" ca="1" si="4"/>
        <v/>
      </c>
      <c r="B84" s="17"/>
      <c r="C84" s="17"/>
      <c r="D84" s="17"/>
      <c r="E84" s="17"/>
      <c r="F84" s="17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24" t="str">
        <f t="shared" ca="1" si="4"/>
        <v/>
      </c>
      <c r="B85" s="17"/>
      <c r="C85" s="17"/>
      <c r="D85" s="17"/>
      <c r="E85" s="17"/>
      <c r="F85" s="17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24" t="str">
        <f t="shared" ca="1" si="4"/>
        <v/>
      </c>
      <c r="B86" s="17"/>
      <c r="C86" s="17"/>
      <c r="D86" s="17"/>
      <c r="E86" s="17"/>
      <c r="F86" s="17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24" t="str">
        <f t="shared" ca="1" si="4"/>
        <v/>
      </c>
      <c r="B87" s="17"/>
      <c r="C87" s="17"/>
      <c r="D87" s="17"/>
      <c r="E87" s="17"/>
      <c r="F87" s="17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24" t="str">
        <f t="shared" ca="1" si="4"/>
        <v/>
      </c>
      <c r="B88" s="17"/>
      <c r="C88" s="17"/>
      <c r="D88" s="17"/>
      <c r="E88" s="17"/>
      <c r="F88" s="17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24" t="str">
        <f t="shared" ca="1" si="4"/>
        <v/>
      </c>
      <c r="B89" s="17"/>
      <c r="C89" s="17"/>
      <c r="D89" s="17"/>
      <c r="E89" s="17"/>
      <c r="F89" s="17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24" t="str">
        <f t="shared" ca="1" si="4"/>
        <v/>
      </c>
      <c r="B90" s="17"/>
      <c r="C90" s="17"/>
      <c r="D90" s="17"/>
      <c r="E90" s="17"/>
      <c r="F90" s="17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24" t="str">
        <f t="shared" ca="1" si="4"/>
        <v/>
      </c>
      <c r="B91" s="17"/>
      <c r="C91" s="17"/>
      <c r="D91" s="17"/>
      <c r="E91" s="17"/>
      <c r="F91" s="17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24" t="str">
        <f t="shared" ca="1" si="4"/>
        <v/>
      </c>
      <c r="B92" s="17"/>
      <c r="C92" s="17"/>
      <c r="D92" s="17"/>
      <c r="E92" s="17"/>
      <c r="F92" s="17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24" t="str">
        <f t="shared" ca="1" si="4"/>
        <v/>
      </c>
      <c r="B93" s="17"/>
      <c r="C93" s="17"/>
      <c r="D93" s="17"/>
      <c r="E93" s="17"/>
      <c r="F93" s="17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24" t="str">
        <f t="shared" ca="1" si="4"/>
        <v/>
      </c>
      <c r="B94" s="17"/>
      <c r="C94" s="17"/>
      <c r="D94" s="17"/>
      <c r="E94" s="17"/>
      <c r="F94" s="17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24" t="str">
        <f t="shared" ca="1" si="4"/>
        <v/>
      </c>
      <c r="B95" s="17"/>
      <c r="C95" s="17"/>
      <c r="D95" s="17"/>
      <c r="E95" s="17"/>
      <c r="F95" s="17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24" t="str">
        <f t="shared" ca="1" si="4"/>
        <v/>
      </c>
      <c r="B96" s="17"/>
      <c r="C96" s="17"/>
      <c r="D96" s="17"/>
      <c r="E96" s="17"/>
      <c r="F96" s="17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24" t="str">
        <f t="shared" ca="1" si="4"/>
        <v/>
      </c>
      <c r="B97" s="17"/>
      <c r="C97" s="17"/>
      <c r="D97" s="17"/>
      <c r="E97" s="17"/>
      <c r="F97" s="17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24" t="str">
        <f t="shared" ca="1" si="4"/>
        <v/>
      </c>
      <c r="B98" s="17"/>
      <c r="C98" s="17"/>
      <c r="D98" s="17"/>
      <c r="E98" s="17"/>
      <c r="F98" s="17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24" t="str">
        <f t="shared" ca="1" si="4"/>
        <v/>
      </c>
      <c r="B99" s="17"/>
      <c r="C99" s="17"/>
      <c r="D99" s="17"/>
      <c r="E99" s="17"/>
      <c r="F99" s="17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24" t="str">
        <f t="shared" ca="1" si="4"/>
        <v/>
      </c>
      <c r="B100" s="17"/>
      <c r="C100" s="17"/>
      <c r="D100" s="17"/>
      <c r="E100" s="17"/>
      <c r="F100" s="17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24" t="str">
        <f t="shared" ca="1" si="4"/>
        <v/>
      </c>
      <c r="B101" s="17"/>
      <c r="C101" s="17"/>
      <c r="D101" s="17"/>
      <c r="E101" s="17"/>
      <c r="F101" s="17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68" priority="1">
      <formula>TEXT($B$104,"@")="Y"</formula>
    </cfRule>
  </conditionalFormatting>
  <conditionalFormatting sqref="G2:H101">
    <cfRule type="expression" dxfId="67" priority="3">
      <formula>$I2="X"</formula>
    </cfRule>
  </conditionalFormatting>
  <conditionalFormatting sqref="H2:H101">
    <cfRule type="expression" dxfId="66" priority="2">
      <formula>TEXT($B$104,"@")="Y"</formula>
    </cfRule>
  </conditionalFormatting>
  <printOptions horizontalCentered="1"/>
  <pageMargins left="0.62992125984251968" right="0.70866141732283472" top="1.7322834645669292" bottom="0.39370078740157483" header="0.31496062992125984" footer="0.31496062992125984"/>
  <pageSetup paperSize="9" scale="45" orientation="portrait" r:id="rId1"/>
  <headerFooter>
    <oddHeader>&amp;C&amp;24WVCC champs 2016 results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1FED-FDA6-4CE8-855C-917E145BFC0F}">
  <sheetPr codeName="Sheet37">
    <pageSetUpPr fitToPage="1"/>
  </sheetPr>
  <dimension ref="A1:J104"/>
  <sheetViews>
    <sheetView zoomScaleNormal="100" workbookViewId="0">
      <selection activeCell="K30" sqref="K30"/>
    </sheetView>
  </sheetViews>
  <sheetFormatPr defaultColWidth="9.16796875" defaultRowHeight="12.75" x14ac:dyDescent="0.15"/>
  <cols>
    <col min="1" max="1" width="24.67578125" bestFit="1" customWidth="1"/>
    <col min="2" max="4" width="4.71875" customWidth="1"/>
    <col min="5" max="6" width="11.0546875" customWidth="1"/>
    <col min="7" max="7" width="25.08203125" style="23" customWidth="1"/>
    <col min="8" max="8" width="14.6953125" style="23" bestFit="1" customWidth="1"/>
    <col min="9" max="9" width="19.28125" bestFit="1" customWidth="1"/>
    <col min="10" max="10" width="15.50781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6" t="s">
        <v>114</v>
      </c>
      <c r="H1" s="16" t="s">
        <v>169</v>
      </c>
      <c r="I1" t="s">
        <v>294</v>
      </c>
      <c r="J1" s="16" t="s">
        <v>640</v>
      </c>
    </row>
    <row r="2" spans="1:10" ht="14.25" x14ac:dyDescent="0.15">
      <c r="A2" s="17">
        <f t="shared" ref="A2:A33" ca="1" si="0">IF(J2="","",_xlfn.XLOOKUP(J2,ClubNames,ClubNumbers,_xlfn.XLOOKUP(J2,RoundRobinRiderNames,RoundRobinRiderDecoratedNames,J2)))</f>
        <v>407</v>
      </c>
      <c r="B2" s="17">
        <v>0</v>
      </c>
      <c r="C2" s="17">
        <v>24</v>
      </c>
      <c r="D2" s="17">
        <v>12</v>
      </c>
      <c r="E2" s="17"/>
      <c r="F2" s="17"/>
      <c r="G2" s="25" t="str">
        <f ca="1">IF($A2="","",IF($I2="X",A2,CONCATENATE(VLOOKUP(A2,Competitors!$A$2:$I$650,3, FALSE)," ",VLOOKUP(A2,Competitors!$A$2:$I$650,2,FALSE))))</f>
        <v>Hans van Nierop</v>
      </c>
      <c r="H2" s="20">
        <f>IF(LEFT($E2,1)="D",UPPER($E2),(B2*3600+C2*60+D2)/86400)</f>
        <v>1.6805555555555556E-2</v>
      </c>
      <c r="I2" t="str">
        <f ca="1">IF(OR(A2="",ISNUMBER(A2)),"","X")</f>
        <v/>
      </c>
      <c r="J2" s="40" t="s">
        <v>583</v>
      </c>
    </row>
    <row r="3" spans="1:10" ht="14.25" x14ac:dyDescent="0.15">
      <c r="A3" s="17" t="str">
        <f t="shared" ca="1" si="0"/>
        <v>Alex Whitmore (Ratae)</v>
      </c>
      <c r="B3" s="17">
        <v>0</v>
      </c>
      <c r="C3" s="17">
        <v>24</v>
      </c>
      <c r="D3" s="17">
        <v>43</v>
      </c>
      <c r="E3" s="17"/>
      <c r="F3" s="17"/>
      <c r="G3" s="25" t="str">
        <f ca="1">IF($A3="","",IF($I3="X",A3,CONCATENATE(VLOOKUP(A3,Competitors!$A$2:$I$650,3, FALSE)," ",VLOOKUP(A3,Competitors!$A$2:$I$650,2,FALSE))))</f>
        <v>Alex Whitmore (Ratae)</v>
      </c>
      <c r="H3" s="20">
        <f t="shared" ref="H3:H66" si="1">IF(LEFT($E3,1)="D",UPPER($E3),(B3*3600+C3*60+D3)/86400)</f>
        <v>1.7164351851851851E-2</v>
      </c>
      <c r="I3" t="str">
        <f t="shared" ref="I3:I66" ca="1" si="2">IF(OR(A3="",ISNUMBER(A3)),"","X")</f>
        <v>X</v>
      </c>
      <c r="J3" s="40" t="s">
        <v>139</v>
      </c>
    </row>
    <row r="4" spans="1:10" ht="14.25" x14ac:dyDescent="0.15">
      <c r="A4" s="17">
        <f t="shared" ca="1" si="0"/>
        <v>1144</v>
      </c>
      <c r="B4" s="17">
        <v>0</v>
      </c>
      <c r="C4" s="17">
        <v>25</v>
      </c>
      <c r="D4" s="17">
        <v>1</v>
      </c>
      <c r="E4" s="17" t="s">
        <v>170</v>
      </c>
      <c r="F4" s="17"/>
      <c r="G4" s="25" t="str">
        <f ca="1">IF($A4="","",IF($I4="X",A4,CONCATENATE(VLOOKUP(A4,Competitors!$A$2:$I$650,3, FALSE)," ",VLOOKUP(A4,Competitors!$A$2:$I$650,2,FALSE))))</f>
        <v>Jamie Kershaw</v>
      </c>
      <c r="H4" s="20">
        <f t="shared" si="1"/>
        <v>1.7372685185185185E-2</v>
      </c>
      <c r="I4" t="str">
        <f t="shared" ca="1" si="2"/>
        <v/>
      </c>
      <c r="J4" s="40" t="s">
        <v>584</v>
      </c>
    </row>
    <row r="5" spans="1:10" ht="14.25" x14ac:dyDescent="0.15">
      <c r="A5" s="17" t="str">
        <f t="shared" ca="1" si="0"/>
        <v>N Joyce</v>
      </c>
      <c r="B5" s="17">
        <v>0</v>
      </c>
      <c r="C5" s="17">
        <v>25</v>
      </c>
      <c r="D5" s="17">
        <v>6</v>
      </c>
      <c r="E5" s="17" t="s">
        <v>46</v>
      </c>
      <c r="F5" s="17"/>
      <c r="G5" s="25" t="str">
        <f ca="1">IF($A5="","",IF($I5="X",A5,CONCATENATE(VLOOKUP(A5,Competitors!$A$2:$I$650,3, FALSE)," ",VLOOKUP(A5,Competitors!$A$2:$I$650,2,FALSE))))</f>
        <v>N Joyce</v>
      </c>
      <c r="H5" s="20">
        <f t="shared" si="1"/>
        <v>1.7430555555555557E-2</v>
      </c>
      <c r="I5" t="str">
        <f t="shared" ca="1" si="2"/>
        <v>X</v>
      </c>
      <c r="J5" s="40" t="s">
        <v>212</v>
      </c>
    </row>
    <row r="6" spans="1:10" ht="14.25" x14ac:dyDescent="0.15">
      <c r="A6" s="17">
        <f t="shared" ca="1" si="0"/>
        <v>989</v>
      </c>
      <c r="B6" s="17">
        <v>0</v>
      </c>
      <c r="C6" s="17">
        <v>25</v>
      </c>
      <c r="D6" s="17">
        <v>28</v>
      </c>
      <c r="E6" s="17" t="s">
        <v>170</v>
      </c>
      <c r="F6" s="17"/>
      <c r="G6" s="25" t="str">
        <f ca="1">IF($A6="","",IF($I6="X",A6,CONCATENATE(VLOOKUP(A6,Competitors!$A$2:$I$650,3, FALSE)," ",VLOOKUP(A6,Competitors!$A$2:$I$650,2,FALSE))))</f>
        <v>Jason Williams</v>
      </c>
      <c r="H6" s="20">
        <f t="shared" si="1"/>
        <v>1.7685185185185186E-2</v>
      </c>
      <c r="I6" t="str">
        <f t="shared" ca="1" si="2"/>
        <v/>
      </c>
      <c r="J6" s="40" t="s">
        <v>585</v>
      </c>
    </row>
    <row r="7" spans="1:10" ht="14.25" x14ac:dyDescent="0.15">
      <c r="A7" s="17">
        <f t="shared" ca="1" si="0"/>
        <v>1161</v>
      </c>
      <c r="B7" s="17">
        <v>0</v>
      </c>
      <c r="C7" s="17">
        <v>25</v>
      </c>
      <c r="D7" s="17">
        <v>45</v>
      </c>
      <c r="E7" s="17"/>
      <c r="F7" s="17"/>
      <c r="G7" s="25" t="str">
        <f ca="1">IF($A7="","",IF($I7="X",A7,CONCATENATE(VLOOKUP(A7,Competitors!$A$2:$I$650,3, FALSE)," ",VLOOKUP(A7,Competitors!$A$2:$I$650,2,FALSE))))</f>
        <v>Maciej Suchocki</v>
      </c>
      <c r="H7" s="20">
        <f t="shared" si="1"/>
        <v>1.7881944444444443E-2</v>
      </c>
      <c r="I7" t="str">
        <f t="shared" ca="1" si="2"/>
        <v/>
      </c>
      <c r="J7" s="40" t="s">
        <v>587</v>
      </c>
    </row>
    <row r="8" spans="1:10" ht="14.25" x14ac:dyDescent="0.15">
      <c r="A8" s="17">
        <f t="shared" ca="1" si="0"/>
        <v>699</v>
      </c>
      <c r="B8" s="17">
        <v>0</v>
      </c>
      <c r="C8" s="17">
        <v>25</v>
      </c>
      <c r="D8" s="17">
        <v>49</v>
      </c>
      <c r="E8" s="17"/>
      <c r="F8" s="17"/>
      <c r="G8" s="25" t="str">
        <f ca="1">IF($A8="","",IF($I8="X",A8,CONCATENATE(VLOOKUP(A8,Competitors!$A$2:$I$650,3, FALSE)," ",VLOOKUP(A8,Competitors!$A$2:$I$650,2,FALSE))))</f>
        <v>Jonathan Durnin</v>
      </c>
      <c r="H8" s="20">
        <f t="shared" si="1"/>
        <v>1.7928240740740741E-2</v>
      </c>
      <c r="I8" t="str">
        <f t="shared" ca="1" si="2"/>
        <v/>
      </c>
      <c r="J8" s="40" t="s">
        <v>586</v>
      </c>
    </row>
    <row r="9" spans="1:10" ht="14.25" x14ac:dyDescent="0.15">
      <c r="A9" s="17">
        <f t="shared" ca="1" si="0"/>
        <v>415</v>
      </c>
      <c r="B9" s="17">
        <v>0</v>
      </c>
      <c r="C9" s="17">
        <v>26</v>
      </c>
      <c r="D9" s="17">
        <v>23</v>
      </c>
      <c r="E9" s="17" t="s">
        <v>170</v>
      </c>
      <c r="F9" s="17"/>
      <c r="G9" s="25" t="str">
        <f ca="1">IF($A9="","",IF($I9="X",A9,CONCATENATE(VLOOKUP(A9,Competitors!$A$2:$I$650,3, FALSE)," ",VLOOKUP(A9,Competitors!$A$2:$I$650,2,FALSE))))</f>
        <v>Nik Kershaw</v>
      </c>
      <c r="H9" s="20">
        <f t="shared" si="1"/>
        <v>1.832175925925926E-2</v>
      </c>
      <c r="I9" t="str">
        <f t="shared" ca="1" si="2"/>
        <v/>
      </c>
      <c r="J9" s="40" t="s">
        <v>594</v>
      </c>
    </row>
    <row r="10" spans="1:10" ht="14.25" x14ac:dyDescent="0.15">
      <c r="A10" s="17">
        <f t="shared" ca="1" si="0"/>
        <v>1055</v>
      </c>
      <c r="B10" s="17">
        <v>0</v>
      </c>
      <c r="C10" s="17">
        <v>26</v>
      </c>
      <c r="D10" s="17">
        <v>39</v>
      </c>
      <c r="E10" s="17" t="s">
        <v>170</v>
      </c>
      <c r="F10" s="17"/>
      <c r="G10" s="25" t="str">
        <f ca="1">IF($A10="","",IF($I10="X",A10,CONCATENATE(VLOOKUP(A10,Competitors!$A$2:$I$650,3, FALSE)," ",VLOOKUP(A10,Competitors!$A$2:$I$650,2,FALSE))))</f>
        <v>Austin Smith</v>
      </c>
      <c r="H10" s="20">
        <f t="shared" si="1"/>
        <v>1.8506944444444444E-2</v>
      </c>
      <c r="I10" t="str">
        <f t="shared" ca="1" si="2"/>
        <v/>
      </c>
      <c r="J10" s="40" t="s">
        <v>589</v>
      </c>
    </row>
    <row r="11" spans="1:10" ht="14.25" x14ac:dyDescent="0.15">
      <c r="A11" s="17">
        <f t="shared" ca="1" si="0"/>
        <v>1094</v>
      </c>
      <c r="B11" s="17">
        <v>0</v>
      </c>
      <c r="C11" s="17">
        <v>26</v>
      </c>
      <c r="D11" s="17">
        <v>53</v>
      </c>
      <c r="E11" s="17"/>
      <c r="F11" s="17"/>
      <c r="G11" s="25" t="str">
        <f ca="1">IF($A11="","",IF($I11="X",A11,CONCATENATE(VLOOKUP(A11,Competitors!$A$2:$I$650,3, FALSE)," ",VLOOKUP(A11,Competitors!$A$2:$I$650,2,FALSE))))</f>
        <v>Andy Poulton</v>
      </c>
      <c r="H11" s="20">
        <f t="shared" si="1"/>
        <v>1.8668981481481481E-2</v>
      </c>
      <c r="I11" t="str">
        <f t="shared" ca="1" si="2"/>
        <v/>
      </c>
      <c r="J11" s="40" t="s">
        <v>579</v>
      </c>
    </row>
    <row r="12" spans="1:10" ht="14.25" x14ac:dyDescent="0.15">
      <c r="A12" s="17">
        <f t="shared" ca="1" si="0"/>
        <v>1192</v>
      </c>
      <c r="B12" s="17">
        <v>0</v>
      </c>
      <c r="C12" s="17">
        <v>27</v>
      </c>
      <c r="D12" s="17">
        <v>0</v>
      </c>
      <c r="E12" s="17" t="s">
        <v>170</v>
      </c>
      <c r="F12" s="17"/>
      <c r="G12" s="25" t="str">
        <f ca="1">IF($A12="","",IF($I12="X",A12,CONCATENATE(VLOOKUP(A12,Competitors!$A$2:$I$650,3, FALSE)," ",VLOOKUP(A12,Competitors!$A$2:$I$650,2,FALSE))))</f>
        <v>Dale Norris</v>
      </c>
      <c r="H12" s="20">
        <f t="shared" si="1"/>
        <v>1.8749999999999999E-2</v>
      </c>
      <c r="I12" t="str">
        <f t="shared" ca="1" si="2"/>
        <v/>
      </c>
      <c r="J12" s="40" t="s">
        <v>590</v>
      </c>
    </row>
    <row r="13" spans="1:10" ht="14.25" x14ac:dyDescent="0.15">
      <c r="A13" s="17">
        <f t="shared" ca="1" si="0"/>
        <v>1237</v>
      </c>
      <c r="B13" s="17">
        <v>0</v>
      </c>
      <c r="C13" s="17">
        <v>27</v>
      </c>
      <c r="D13" s="17">
        <v>40</v>
      </c>
      <c r="E13" s="17" t="s">
        <v>170</v>
      </c>
      <c r="F13" s="17"/>
      <c r="G13" s="25" t="str">
        <f ca="1">IF($A13="","",IF($I13="X",A13,CONCATENATE(VLOOKUP(A13,Competitors!$A$2:$I$650,3, FALSE)," ",VLOOKUP(A13,Competitors!$A$2:$I$650,2,FALSE))))</f>
        <v>John Abbott</v>
      </c>
      <c r="H13" s="20">
        <f t="shared" si="1"/>
        <v>1.9212962962962963E-2</v>
      </c>
      <c r="I13" t="str">
        <f t="shared" ca="1" si="2"/>
        <v/>
      </c>
      <c r="J13" s="40" t="s">
        <v>598</v>
      </c>
    </row>
    <row r="14" spans="1:10" ht="14.25" x14ac:dyDescent="0.15">
      <c r="A14" s="17">
        <f t="shared" ca="1" si="0"/>
        <v>1129</v>
      </c>
      <c r="B14" s="17">
        <v>0</v>
      </c>
      <c r="C14" s="17">
        <v>28</v>
      </c>
      <c r="D14" s="17">
        <v>22</v>
      </c>
      <c r="E14" s="17" t="s">
        <v>46</v>
      </c>
      <c r="F14" s="17"/>
      <c r="G14" s="25" t="str">
        <f ca="1">IF($A14="","",IF($I14="X",A14,CONCATENATE(VLOOKUP(A14,Competitors!$A$2:$I$650,3, FALSE)," ",VLOOKUP(A14,Competitors!$A$2:$I$650,2,FALSE))))</f>
        <v>Doug Tincello</v>
      </c>
      <c r="H14" s="20">
        <f t="shared" si="1"/>
        <v>1.9699074074074074E-2</v>
      </c>
      <c r="I14" t="str">
        <f t="shared" ca="1" si="2"/>
        <v/>
      </c>
      <c r="J14" s="40" t="s">
        <v>596</v>
      </c>
    </row>
    <row r="15" spans="1:10" ht="14.25" x14ac:dyDescent="0.15">
      <c r="A15" s="17">
        <f t="shared" ca="1" si="0"/>
        <v>1152</v>
      </c>
      <c r="B15" s="17">
        <v>0</v>
      </c>
      <c r="C15" s="17">
        <v>28</v>
      </c>
      <c r="D15" s="17">
        <v>30</v>
      </c>
      <c r="E15" s="17"/>
      <c r="F15" s="17"/>
      <c r="G15" s="25" t="str">
        <f ca="1">IF($A15="","",IF($I15="X",A15,CONCATENATE(VLOOKUP(A15,Competitors!$A$2:$I$650,3, FALSE)," ",VLOOKUP(A15,Competitors!$A$2:$I$650,2,FALSE))))</f>
        <v>Ruby Isaac</v>
      </c>
      <c r="H15" s="20">
        <f t="shared" si="1"/>
        <v>1.9791666666666666E-2</v>
      </c>
      <c r="I15" t="str">
        <f t="shared" ca="1" si="2"/>
        <v/>
      </c>
      <c r="J15" s="40" t="s">
        <v>602</v>
      </c>
    </row>
    <row r="16" spans="1:10" ht="14.25" x14ac:dyDescent="0.15">
      <c r="A16" s="17">
        <f t="shared" ca="1" si="0"/>
        <v>203</v>
      </c>
      <c r="B16" s="17">
        <v>0</v>
      </c>
      <c r="C16" s="17">
        <v>28</v>
      </c>
      <c r="D16" s="17">
        <v>41</v>
      </c>
      <c r="E16" s="17"/>
      <c r="F16" s="17"/>
      <c r="G16" s="25" t="str">
        <f ca="1">IF($A16="","",IF($I16="X",A16,CONCATENATE(VLOOKUP(A16,Competitors!$A$2:$I$650,3, FALSE)," ",VLOOKUP(A16,Competitors!$A$2:$I$650,2,FALSE))))</f>
        <v>Adrian Killworth</v>
      </c>
      <c r="H16" s="20">
        <f t="shared" si="1"/>
        <v>1.9918981481481482E-2</v>
      </c>
      <c r="I16" t="str">
        <f t="shared" ca="1" si="2"/>
        <v/>
      </c>
      <c r="J16" s="40" t="s">
        <v>603</v>
      </c>
    </row>
    <row r="17" spans="1:10" ht="14.25" x14ac:dyDescent="0.15">
      <c r="A17" s="17">
        <f t="shared" ca="1" si="0"/>
        <v>1107</v>
      </c>
      <c r="B17" s="17">
        <v>0</v>
      </c>
      <c r="C17" s="17">
        <v>28</v>
      </c>
      <c r="D17" s="17">
        <v>42</v>
      </c>
      <c r="E17" s="17" t="s">
        <v>170</v>
      </c>
      <c r="F17" s="17"/>
      <c r="G17" s="25" t="str">
        <f ca="1">IF($A17="","",IF($I17="X",A17,CONCATENATE(VLOOKUP(A17,Competitors!$A$2:$I$650,3, FALSE)," ",VLOOKUP(A17,Competitors!$A$2:$I$650,2,FALSE))))</f>
        <v>Milly Pinnock</v>
      </c>
      <c r="H17" s="20">
        <f t="shared" si="1"/>
        <v>1.9930555555555556E-2</v>
      </c>
      <c r="I17" t="str">
        <f t="shared" ca="1" si="2"/>
        <v/>
      </c>
      <c r="J17" s="40" t="s">
        <v>600</v>
      </c>
    </row>
    <row r="18" spans="1:10" ht="14.25" x14ac:dyDescent="0.15">
      <c r="A18" s="17">
        <f t="shared" ca="1" si="0"/>
        <v>704</v>
      </c>
      <c r="B18" s="17">
        <v>0</v>
      </c>
      <c r="C18" s="17">
        <v>29</v>
      </c>
      <c r="D18" s="17">
        <v>45</v>
      </c>
      <c r="E18" s="17" t="s">
        <v>170</v>
      </c>
      <c r="F18" s="17"/>
      <c r="G18" s="25" t="str">
        <f ca="1">IF($A18="","",IF($I18="X",A18,CONCATENATE(VLOOKUP(A18,Competitors!$A$2:$I$650,3, FALSE)," ",VLOOKUP(A18,Competitors!$A$2:$I$650,2,FALSE))))</f>
        <v>Chris Dainty</v>
      </c>
      <c r="H18" s="20">
        <f t="shared" si="1"/>
        <v>2.0659722222222222E-2</v>
      </c>
      <c r="I18" t="str">
        <f t="shared" ca="1" si="2"/>
        <v/>
      </c>
      <c r="J18" s="40" t="s">
        <v>605</v>
      </c>
    </row>
    <row r="19" spans="1:10" ht="14.25" x14ac:dyDescent="0.15">
      <c r="A19" s="17" t="str">
        <f t="shared" ca="1" si="0"/>
        <v>Steve Pearce (Ratae)</v>
      </c>
      <c r="B19" s="17">
        <v>0</v>
      </c>
      <c r="C19" s="17">
        <v>29</v>
      </c>
      <c r="D19" s="17">
        <v>57</v>
      </c>
      <c r="E19" s="17" t="s">
        <v>170</v>
      </c>
      <c r="F19" s="17"/>
      <c r="G19" s="25" t="str">
        <f ca="1">IF($A19="","",IF($I19="X",A19,CONCATENATE(VLOOKUP(A19,Competitors!$A$2:$I$650,3, FALSE)," ",VLOOKUP(A19,Competitors!$A$2:$I$650,2,FALSE))))</f>
        <v>Steve Pearce (Ratae)</v>
      </c>
      <c r="H19" s="20">
        <f t="shared" si="1"/>
        <v>2.0798611111111111E-2</v>
      </c>
      <c r="I19" t="str">
        <f t="shared" ca="1" si="2"/>
        <v>X</v>
      </c>
      <c r="J19" s="40" t="s">
        <v>149</v>
      </c>
    </row>
    <row r="20" spans="1:10" ht="14.25" x14ac:dyDescent="0.15">
      <c r="A20" s="17" t="s">
        <v>213</v>
      </c>
      <c r="B20" s="17">
        <v>0</v>
      </c>
      <c r="C20" s="17">
        <v>30</v>
      </c>
      <c r="D20" s="17">
        <v>9</v>
      </c>
      <c r="E20" s="17" t="s">
        <v>170</v>
      </c>
      <c r="F20" s="17"/>
      <c r="G20" s="25" t="str">
        <f>IF($A20="","",IF($I20="X",A20,CONCATENATE(VLOOKUP(A20,Competitors!$A$2:$I$650,3, FALSE)," ",VLOOKUP(A20,Competitors!$A$2:$I$650,2,FALSE))))</f>
        <v>Miles Marr</v>
      </c>
      <c r="H20" s="20">
        <f t="shared" si="1"/>
        <v>2.0937500000000001E-2</v>
      </c>
      <c r="I20" t="str">
        <f t="shared" si="2"/>
        <v>X</v>
      </c>
      <c r="J20" s="40" t="s">
        <v>213</v>
      </c>
    </row>
    <row r="21" spans="1:10" ht="14.25" x14ac:dyDescent="0.15">
      <c r="A21" s="17" t="str">
        <f t="shared" ca="1" si="0"/>
        <v>Chris Bonsor (Ratae)</v>
      </c>
      <c r="B21" s="17">
        <v>0</v>
      </c>
      <c r="C21" s="17">
        <v>31</v>
      </c>
      <c r="D21" s="17">
        <v>23</v>
      </c>
      <c r="E21" s="17" t="s">
        <v>170</v>
      </c>
      <c r="F21" s="17"/>
      <c r="G21" s="25" t="str">
        <f ca="1">IF($A21="","",IF($I21="X",A21,CONCATENATE(VLOOKUP(A21,Competitors!$A$2:$I$650,3, FALSE)," ",VLOOKUP(A21,Competitors!$A$2:$I$650,2,FALSE))))</f>
        <v>Chris Bonsor (Ratae)</v>
      </c>
      <c r="H21" s="20">
        <f t="shared" si="1"/>
        <v>2.179398148148148E-2</v>
      </c>
      <c r="I21" t="str">
        <f t="shared" ca="1" si="2"/>
        <v>X</v>
      </c>
      <c r="J21" s="40" t="s">
        <v>141</v>
      </c>
    </row>
    <row r="22" spans="1:10" ht="14.25" x14ac:dyDescent="0.15">
      <c r="A22" s="17">
        <f t="shared" ca="1" si="0"/>
        <v>1048</v>
      </c>
      <c r="B22" s="17">
        <v>0</v>
      </c>
      <c r="C22" s="17">
        <v>31</v>
      </c>
      <c r="D22" s="17">
        <v>55</v>
      </c>
      <c r="E22" s="17" t="s">
        <v>170</v>
      </c>
      <c r="F22" s="17"/>
      <c r="G22" s="25" t="str">
        <f ca="1">IF($A22="","",IF($I22="X",A22,CONCATENATE(VLOOKUP(A22,Competitors!$A$2:$I$650,3, FALSE)," ",VLOOKUP(A22,Competitors!$A$2:$I$650,2,FALSE))))</f>
        <v>Andy Smith</v>
      </c>
      <c r="H22" s="20">
        <f t="shared" si="1"/>
        <v>2.2164351851851852E-2</v>
      </c>
      <c r="I22" t="str">
        <f t="shared" ca="1" si="2"/>
        <v/>
      </c>
      <c r="J22" s="40" t="s">
        <v>612</v>
      </c>
    </row>
    <row r="23" spans="1:10" ht="14.25" x14ac:dyDescent="0.15">
      <c r="A23" s="17">
        <f t="shared" ca="1" si="0"/>
        <v>1195</v>
      </c>
      <c r="B23" s="17">
        <v>0</v>
      </c>
      <c r="C23" s="17">
        <v>31</v>
      </c>
      <c r="D23" s="17">
        <v>56</v>
      </c>
      <c r="E23" s="17" t="s">
        <v>170</v>
      </c>
      <c r="F23" s="17"/>
      <c r="G23" s="25" t="str">
        <f ca="1">IF($A23="","",IF($I23="X",A23,CONCATENATE(VLOOKUP(A23,Competitors!$A$2:$I$650,3, FALSE)," ",VLOOKUP(A23,Competitors!$A$2:$I$650,2,FALSE))))</f>
        <v>Charlie Hardwicke</v>
      </c>
      <c r="H23" s="20">
        <f t="shared" si="1"/>
        <v>2.2175925925925925E-2</v>
      </c>
      <c r="I23" t="str">
        <f t="shared" ca="1" si="2"/>
        <v/>
      </c>
      <c r="J23" s="40" t="s">
        <v>613</v>
      </c>
    </row>
    <row r="24" spans="1:10" ht="14.25" x14ac:dyDescent="0.15">
      <c r="A24" s="17" t="str">
        <f t="shared" ca="1" si="0"/>
        <v>Brian Lincoln (Ratae)</v>
      </c>
      <c r="B24" s="17">
        <v>0</v>
      </c>
      <c r="C24" s="17">
        <v>32</v>
      </c>
      <c r="D24" s="17">
        <v>34</v>
      </c>
      <c r="E24" s="17"/>
      <c r="F24" s="17"/>
      <c r="G24" s="25" t="str">
        <f ca="1">IF($A24="","",IF($I24="X",A24,CONCATENATE(VLOOKUP(A24,Competitors!$A$2:$I$650,3, FALSE)," ",VLOOKUP(A24,Competitors!$A$2:$I$650,2,FALSE))))</f>
        <v>Brian Lincoln (Ratae)</v>
      </c>
      <c r="H24" s="20">
        <f t="shared" si="1"/>
        <v>2.2615740740740742E-2</v>
      </c>
      <c r="I24" t="str">
        <f t="shared" ca="1" si="2"/>
        <v>X</v>
      </c>
      <c r="J24" s="40" t="s">
        <v>140</v>
      </c>
    </row>
    <row r="25" spans="1:10" ht="14.25" x14ac:dyDescent="0.15">
      <c r="A25" s="17">
        <f t="shared" ca="1" si="0"/>
        <v>1332</v>
      </c>
      <c r="B25" s="17">
        <v>0</v>
      </c>
      <c r="C25" s="17">
        <v>33</v>
      </c>
      <c r="D25" s="17">
        <v>37</v>
      </c>
      <c r="E25" s="17" t="s">
        <v>170</v>
      </c>
      <c r="F25" s="17"/>
      <c r="G25" s="25" t="str">
        <f ca="1">IF($A25="","",IF($I25="X",A25,CONCATENATE(VLOOKUP(A25,Competitors!$A$2:$I$650,3, FALSE)," ",VLOOKUP(A25,Competitors!$A$2:$I$650,2,FALSE))))</f>
        <v>Jo Eaton</v>
      </c>
      <c r="H25" s="20">
        <f t="shared" si="1"/>
        <v>2.3344907407407408E-2</v>
      </c>
      <c r="I25" t="str">
        <f t="shared" ca="1" si="2"/>
        <v/>
      </c>
      <c r="J25" s="40" t="s">
        <v>615</v>
      </c>
    </row>
    <row r="26" spans="1:10" ht="14.25" x14ac:dyDescent="0.15">
      <c r="A26" s="17">
        <f t="shared" ca="1" si="0"/>
        <v>1298</v>
      </c>
      <c r="B26" s="17">
        <v>0</v>
      </c>
      <c r="C26" s="17">
        <v>35</v>
      </c>
      <c r="D26" s="17">
        <v>24</v>
      </c>
      <c r="E26" s="17" t="s">
        <v>170</v>
      </c>
      <c r="F26" s="17"/>
      <c r="G26" s="25" t="str">
        <f ca="1">IF($A26="","",IF($I26="X",A26,CONCATENATE(VLOOKUP(A26,Competitors!$A$2:$I$650,3, FALSE)," ",VLOOKUP(A26,Competitors!$A$2:$I$650,2,FALSE))))</f>
        <v>Jane Moore</v>
      </c>
      <c r="H26" s="20">
        <f t="shared" si="1"/>
        <v>2.4583333333333332E-2</v>
      </c>
      <c r="I26" t="str">
        <f t="shared" ca="1" si="2"/>
        <v/>
      </c>
      <c r="J26" s="40" t="s">
        <v>614</v>
      </c>
    </row>
    <row r="27" spans="1:10" ht="14.25" x14ac:dyDescent="0.15">
      <c r="A27" s="17" t="s">
        <v>663</v>
      </c>
      <c r="B27" s="17">
        <v>1</v>
      </c>
      <c r="C27" s="17">
        <v>1</v>
      </c>
      <c r="D27" s="17">
        <v>1</v>
      </c>
      <c r="E27" s="17"/>
      <c r="F27" s="17" t="s">
        <v>210</v>
      </c>
      <c r="G27" s="25" t="str">
        <f>IF($A27="","",IF($I27="X",A27,CONCATENATE(VLOOKUP(A27,Competitors!$A$2:$I$650,3, FALSE)," ",VLOOKUP(A27,Competitors!$A$2:$I$650,2,FALSE))))</f>
        <v>Harriet Evans</v>
      </c>
      <c r="H27" s="20">
        <f t="shared" si="1"/>
        <v>4.2372685185185187E-2</v>
      </c>
      <c r="I27" t="str">
        <f t="shared" si="2"/>
        <v>X</v>
      </c>
      <c r="J27" s="40" t="s">
        <v>663</v>
      </c>
    </row>
    <row r="28" spans="1:10" ht="14.25" x14ac:dyDescent="0.15">
      <c r="A28" s="17">
        <f t="shared" ca="1" si="0"/>
        <v>1244</v>
      </c>
      <c r="B28" s="17">
        <v>1</v>
      </c>
      <c r="C28" s="17">
        <v>1</v>
      </c>
      <c r="D28" s="17">
        <v>2</v>
      </c>
      <c r="E28" s="17"/>
      <c r="F28" s="17" t="s">
        <v>215</v>
      </c>
      <c r="G28" s="25" t="str">
        <f ca="1">IF($A28="","",IF($I28="X",A28,CONCATENATE(VLOOKUP(A28,Competitors!$A$2:$I$650,3, FALSE)," ",VLOOKUP(A28,Competitors!$A$2:$I$650,2,FALSE))))</f>
        <v>Steven Latham</v>
      </c>
      <c r="H28" s="20">
        <f t="shared" si="1"/>
        <v>4.238425925925926E-2</v>
      </c>
      <c r="I28" t="str">
        <f t="shared" ca="1" si="2"/>
        <v/>
      </c>
      <c r="J28" s="40" t="s">
        <v>618</v>
      </c>
    </row>
    <row r="29" spans="1:10" ht="14.25" x14ac:dyDescent="0.15">
      <c r="A29" s="17" t="str">
        <f t="shared" ca="1" si="0"/>
        <v>Marshall Briggs (Ratae)</v>
      </c>
      <c r="B29" s="17">
        <v>1</v>
      </c>
      <c r="C29" s="17">
        <v>1</v>
      </c>
      <c r="D29" s="17">
        <v>3</v>
      </c>
      <c r="E29" s="17"/>
      <c r="F29" s="17" t="s">
        <v>205</v>
      </c>
      <c r="G29" s="25" t="str">
        <f ca="1">IF($A29="","",IF($I29="X",A29,CONCATENATE(VLOOKUP(A29,Competitors!$A$2:$I$650,3, FALSE)," ",VLOOKUP(A29,Competitors!$A$2:$I$650,2,FALSE))))</f>
        <v>Marshall Briggs (Ratae)</v>
      </c>
      <c r="H29" s="20">
        <f t="shared" si="1"/>
        <v>4.2395833333333334E-2</v>
      </c>
      <c r="I29" t="str">
        <f t="shared" ca="1" si="2"/>
        <v>X</v>
      </c>
      <c r="J29" s="40" t="s">
        <v>146</v>
      </c>
    </row>
    <row r="30" spans="1:10" ht="14.25" x14ac:dyDescent="0.15">
      <c r="A30" s="17" t="str">
        <f t="shared" ca="1" si="0"/>
        <v/>
      </c>
      <c r="B30" s="17"/>
      <c r="C30" s="17"/>
      <c r="D30" s="17"/>
      <c r="E30" s="17"/>
      <c r="F30" s="17"/>
      <c r="G30" s="25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17" t="str">
        <f t="shared" ca="1" si="0"/>
        <v/>
      </c>
      <c r="B31" s="17"/>
      <c r="C31" s="17"/>
      <c r="D31" s="17"/>
      <c r="E31" s="17"/>
      <c r="F31" s="17"/>
      <c r="G31" s="25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7"/>
      <c r="D32" s="17"/>
      <c r="E32" s="17"/>
      <c r="F32" s="17"/>
      <c r="G32" s="25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7"/>
      <c r="D33" s="17"/>
      <c r="E33" s="17"/>
      <c r="F33" s="17"/>
      <c r="G33" s="25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7"/>
      <c r="D34" s="17"/>
      <c r="E34" s="17"/>
      <c r="F34" s="17"/>
      <c r="G34" s="25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7"/>
      <c r="D35" s="17"/>
      <c r="E35" s="17"/>
      <c r="F35" s="17"/>
      <c r="G35" s="25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7"/>
      <c r="D36" s="17"/>
      <c r="E36" s="17"/>
      <c r="F36" s="17"/>
      <c r="G36" s="25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7"/>
      <c r="D37" s="17"/>
      <c r="E37" s="17"/>
      <c r="F37" s="17"/>
      <c r="G37" s="25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7"/>
      <c r="D38" s="17"/>
      <c r="E38" s="17"/>
      <c r="F38" s="17"/>
      <c r="G38" s="25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7"/>
      <c r="D39" s="17"/>
      <c r="E39" s="17"/>
      <c r="F39" s="17"/>
      <c r="G39" s="25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7"/>
      <c r="D40" s="17"/>
      <c r="E40" s="17"/>
      <c r="F40" s="17"/>
      <c r="G40" s="25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7"/>
      <c r="D41" s="17"/>
      <c r="E41" s="17"/>
      <c r="F41" s="17"/>
      <c r="G41" s="25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7"/>
      <c r="D42" s="17"/>
      <c r="E42" s="17"/>
      <c r="F42" s="17"/>
      <c r="G42" s="25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7"/>
      <c r="D43" s="17"/>
      <c r="E43" s="17"/>
      <c r="F43" s="17"/>
      <c r="G43" s="25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7"/>
      <c r="D44" s="17"/>
      <c r="E44" s="17"/>
      <c r="F44" s="17"/>
      <c r="G44" s="25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7"/>
      <c r="D45" s="17"/>
      <c r="E45" s="17"/>
      <c r="F45" s="17"/>
      <c r="G45" s="25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7"/>
      <c r="D46" s="17"/>
      <c r="E46" s="17"/>
      <c r="F46" s="17"/>
      <c r="G46" s="25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7"/>
      <c r="D47" s="17"/>
      <c r="E47" s="17"/>
      <c r="F47" s="17"/>
      <c r="G47" s="25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7"/>
      <c r="D48" s="17"/>
      <c r="E48" s="17"/>
      <c r="F48" s="17"/>
      <c r="G48" s="25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7"/>
      <c r="D49" s="17"/>
      <c r="E49" s="17"/>
      <c r="F49" s="17"/>
      <c r="G49" s="25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7"/>
      <c r="D50" s="17"/>
      <c r="E50" s="17"/>
      <c r="F50" s="17"/>
      <c r="G50" s="25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7"/>
      <c r="D51" s="17"/>
      <c r="E51" s="17"/>
      <c r="F51" s="17"/>
      <c r="G51" s="25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7"/>
      <c r="D52" s="17"/>
      <c r="E52" s="17"/>
      <c r="F52" s="17"/>
      <c r="G52" s="25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7"/>
      <c r="D53" s="17"/>
      <c r="E53" s="17"/>
      <c r="F53" s="17"/>
      <c r="G53" s="25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7"/>
      <c r="D54" s="17"/>
      <c r="E54" s="17"/>
      <c r="F54" s="17"/>
      <c r="G54" s="25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7"/>
      <c r="D55" s="17"/>
      <c r="E55" s="17"/>
      <c r="F55" s="17"/>
      <c r="G55" s="25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7"/>
      <c r="D56" s="17"/>
      <c r="E56" s="17"/>
      <c r="F56" s="17"/>
      <c r="G56" s="25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7"/>
      <c r="D57" s="17"/>
      <c r="E57" s="17"/>
      <c r="F57" s="17"/>
      <c r="G57" s="25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7"/>
      <c r="D58" s="17"/>
      <c r="E58" s="17"/>
      <c r="F58" s="17"/>
      <c r="G58" s="25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7"/>
      <c r="D59" s="17"/>
      <c r="E59" s="17"/>
      <c r="F59" s="17"/>
      <c r="G59" s="25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7"/>
      <c r="D60" s="17"/>
      <c r="E60" s="17"/>
      <c r="F60" s="17"/>
      <c r="G60" s="25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7"/>
      <c r="D61" s="17"/>
      <c r="E61" s="17"/>
      <c r="F61" s="17"/>
      <c r="G61" s="25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7"/>
      <c r="D62" s="17"/>
      <c r="E62" s="17"/>
      <c r="F62" s="17"/>
      <c r="G62" s="25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7"/>
      <c r="D63" s="17"/>
      <c r="E63" s="17"/>
      <c r="F63" s="17"/>
      <c r="G63" s="25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7"/>
      <c r="D64" s="17"/>
      <c r="E64" s="17"/>
      <c r="F64" s="17"/>
      <c r="G64" s="25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7"/>
      <c r="D65" s="17"/>
      <c r="E65" s="17"/>
      <c r="F65" s="17"/>
      <c r="G65" s="25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7"/>
      <c r="D66" s="17"/>
      <c r="E66" s="17"/>
      <c r="F66" s="17"/>
      <c r="G66" s="25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7"/>
      <c r="D67" s="17"/>
      <c r="E67" s="17"/>
      <c r="F67" s="17"/>
      <c r="G67" s="25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7"/>
      <c r="D68" s="17"/>
      <c r="E68" s="17"/>
      <c r="F68" s="17"/>
      <c r="G68" s="25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7"/>
      <c r="D69" s="17"/>
      <c r="E69" s="17"/>
      <c r="F69" s="17"/>
      <c r="G69" s="25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7"/>
      <c r="D70" s="17"/>
      <c r="E70" s="17"/>
      <c r="F70" s="17"/>
      <c r="G70" s="25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7"/>
      <c r="D71" s="17"/>
      <c r="E71" s="17"/>
      <c r="F71" s="17"/>
      <c r="G71" s="25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7"/>
      <c r="D72" s="17"/>
      <c r="E72" s="17"/>
      <c r="F72" s="17"/>
      <c r="G72" s="25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7"/>
      <c r="D73" s="17"/>
      <c r="E73" s="17"/>
      <c r="F73" s="17"/>
      <c r="G73" s="25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7"/>
      <c r="D74" s="17"/>
      <c r="E74" s="17"/>
      <c r="F74" s="17"/>
      <c r="G74" s="25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7"/>
      <c r="D75" s="17"/>
      <c r="E75" s="17"/>
      <c r="F75" s="17"/>
      <c r="G75" s="25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7"/>
      <c r="D76" s="17"/>
      <c r="E76" s="17"/>
      <c r="F76" s="17"/>
      <c r="G76" s="25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7"/>
      <c r="D77" s="17"/>
      <c r="E77" s="17"/>
      <c r="F77" s="17"/>
      <c r="G77" s="25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7"/>
      <c r="D78" s="17"/>
      <c r="E78" s="17"/>
      <c r="F78" s="17"/>
      <c r="G78" s="25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7"/>
      <c r="D79" s="17"/>
      <c r="E79" s="17"/>
      <c r="F79" s="17"/>
      <c r="G79" s="25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7"/>
      <c r="D80" s="17"/>
      <c r="E80" s="17"/>
      <c r="F80" s="17"/>
      <c r="G80" s="25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7"/>
      <c r="D81" s="17"/>
      <c r="E81" s="17"/>
      <c r="F81" s="17"/>
      <c r="G81" s="25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7"/>
      <c r="D82" s="17"/>
      <c r="E82" s="17"/>
      <c r="F82" s="17"/>
      <c r="G82" s="25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7"/>
      <c r="D83" s="17"/>
      <c r="E83" s="17"/>
      <c r="F83" s="17"/>
      <c r="G83" s="25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7"/>
      <c r="D84" s="17"/>
      <c r="E84" s="17"/>
      <c r="F84" s="17"/>
      <c r="G84" s="25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7"/>
      <c r="D85" s="17"/>
      <c r="E85" s="17"/>
      <c r="F85" s="17"/>
      <c r="G85" s="25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7"/>
      <c r="D86" s="17"/>
      <c r="E86" s="17"/>
      <c r="F86" s="17"/>
      <c r="G86" s="25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7"/>
      <c r="D87" s="17"/>
      <c r="E87" s="17"/>
      <c r="F87" s="17"/>
      <c r="G87" s="25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7"/>
      <c r="D88" s="17"/>
      <c r="E88" s="17"/>
      <c r="F88" s="17"/>
      <c r="G88" s="25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7"/>
      <c r="D89" s="17"/>
      <c r="E89" s="17"/>
      <c r="F89" s="17"/>
      <c r="G89" s="25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7"/>
      <c r="D90" s="17"/>
      <c r="E90" s="17"/>
      <c r="F90" s="17"/>
      <c r="G90" s="25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7"/>
      <c r="D91" s="17"/>
      <c r="E91" s="17"/>
      <c r="F91" s="17"/>
      <c r="G91" s="25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7"/>
      <c r="D92" s="17"/>
      <c r="E92" s="17"/>
      <c r="F92" s="17"/>
      <c r="G92" s="25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7"/>
      <c r="D93" s="17"/>
      <c r="E93" s="17"/>
      <c r="F93" s="17"/>
      <c r="G93" s="25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7"/>
      <c r="D94" s="17"/>
      <c r="E94" s="17"/>
      <c r="F94" s="17"/>
      <c r="G94" s="25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7"/>
      <c r="D95" s="17"/>
      <c r="E95" s="17"/>
      <c r="F95" s="17"/>
      <c r="G95" s="25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7"/>
      <c r="D96" s="17"/>
      <c r="E96" s="17"/>
      <c r="F96" s="17"/>
      <c r="G96" s="25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7"/>
      <c r="D97" s="17"/>
      <c r="E97" s="17"/>
      <c r="F97" s="17"/>
      <c r="G97" s="25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7"/>
      <c r="D98" s="17"/>
      <c r="E98" s="17"/>
      <c r="F98" s="17"/>
      <c r="G98" s="25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7"/>
      <c r="D99" s="17"/>
      <c r="E99" s="17"/>
      <c r="F99" s="17"/>
      <c r="G99" s="25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7"/>
      <c r="D100" s="17"/>
      <c r="E100" s="17"/>
      <c r="F100" s="17"/>
      <c r="G100" s="25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7"/>
      <c r="D101" s="17"/>
      <c r="E101" s="17"/>
      <c r="F101" s="17"/>
      <c r="G101" s="25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ht="14.25" x14ac:dyDescent="0.15">
      <c r="G102" s="25"/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65" priority="1">
      <formula>TEXT($B$104,"@")="Y"</formula>
    </cfRule>
  </conditionalFormatting>
  <conditionalFormatting sqref="G2:H101">
    <cfRule type="expression" dxfId="64" priority="3">
      <formula>$I2="X"</formula>
    </cfRule>
  </conditionalFormatting>
  <conditionalFormatting sqref="H2:H101">
    <cfRule type="expression" dxfId="63" priority="2">
      <formula>TEXT($B$104,"@")="Y"</formula>
    </cfRule>
  </conditionalFormatting>
  <printOptions horizontalCentered="1"/>
  <pageMargins left="0.62992125984251968" right="0.70866141732283472" top="1.7322834645669292" bottom="0.39370078740157483" header="0.31496062992125984" footer="0.31496062992125984"/>
  <pageSetup paperSize="9" scale="45" orientation="portrait" r:id="rId1"/>
  <headerFooter>
    <oddHeader>&amp;C&amp;24WVCC champs 2016 results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351C-7B3A-40CD-9686-A7E3E70F7F19}">
  <sheetPr codeName="Sheet38">
    <pageSetUpPr fitToPage="1"/>
  </sheetPr>
  <dimension ref="A1:J104"/>
  <sheetViews>
    <sheetView zoomScale="75" zoomScaleNormal="75" workbookViewId="0">
      <selection activeCell="O11" sqref="O11"/>
    </sheetView>
  </sheetViews>
  <sheetFormatPr defaultColWidth="9.16796875" defaultRowHeight="12.75" x14ac:dyDescent="0.15"/>
  <cols>
    <col min="1" max="1" width="23.8671875" bestFit="1" customWidth="1"/>
    <col min="2" max="4" width="4.71875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  <col min="10" max="10" width="16.04687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 t="str">
        <f t="shared" ref="A2:A33" ca="1" si="0">IF(J2="","",_xlfn.XLOOKUP(J2,ClubNames,ClubNumbers,_xlfn.XLOOKUP(J2,RoundRobinRiderNames,RoundRobinRiderDecoratedNames,J2)))</f>
        <v>Alex Whitmore (Ratae)</v>
      </c>
      <c r="B2" s="17">
        <v>0</v>
      </c>
      <c r="C2" s="17">
        <v>20</v>
      </c>
      <c r="D2" s="17">
        <v>54</v>
      </c>
      <c r="E2" s="17" t="s">
        <v>170</v>
      </c>
      <c r="F2" s="17"/>
      <c r="G2" s="19" t="str">
        <f ca="1">IF($A2="","",IF($I2="X",A2,CONCATENATE(VLOOKUP(A2,Competitors!$A$2:$I$650,3, FALSE)," ",VLOOKUP(A2,Competitors!$A$2:$I$650,2,FALSE))))</f>
        <v>Alex Whitmore (Ratae)</v>
      </c>
      <c r="H2" s="20">
        <f>IF(LEFT($E2,1)="D",UPPER($E2),(B2*3600+C2*60+D2)/86400)</f>
        <v>1.4513888888888889E-2</v>
      </c>
      <c r="I2" t="str">
        <f ca="1">IF(OR(A2="",ISNUMBER(A2)),"","X")</f>
        <v>X</v>
      </c>
      <c r="J2" s="40" t="s">
        <v>139</v>
      </c>
    </row>
    <row r="3" spans="1:10" ht="14.25" x14ac:dyDescent="0.15">
      <c r="A3" s="17">
        <f t="shared" ca="1" si="0"/>
        <v>407</v>
      </c>
      <c r="B3" s="17">
        <v>0</v>
      </c>
      <c r="C3" s="17">
        <v>21</v>
      </c>
      <c r="D3" s="17">
        <v>2</v>
      </c>
      <c r="E3" s="17"/>
      <c r="F3" s="17"/>
      <c r="G3" s="19" t="str">
        <f ca="1">IF($A3="","",IF($I3="X",A3,CONCATENATE(VLOOKUP(A3,Competitors!$A$2:$I$650,3, FALSE)," ",VLOOKUP(A3,Competitors!$A$2:$I$650,2,FALSE))))</f>
        <v>Hans van Nierop</v>
      </c>
      <c r="H3" s="20">
        <f t="shared" ref="H3:H66" si="1">IF(LEFT($E3,1)="D",UPPER($E3),(B3*3600+C3*60+D3)/86400)</f>
        <v>1.4606481481481481E-2</v>
      </c>
      <c r="I3" t="str">
        <f t="shared" ref="I3:I66" ca="1" si="2">IF(OR(A3="",ISNUMBER(A3)),"","X")</f>
        <v/>
      </c>
      <c r="J3" s="40" t="s">
        <v>583</v>
      </c>
    </row>
    <row r="4" spans="1:10" ht="14.25" x14ac:dyDescent="0.15">
      <c r="A4" s="17">
        <f t="shared" ca="1" si="0"/>
        <v>1375</v>
      </c>
      <c r="B4" s="17">
        <v>0</v>
      </c>
      <c r="C4" s="17">
        <v>21</v>
      </c>
      <c r="D4" s="17">
        <v>15</v>
      </c>
      <c r="E4" s="17"/>
      <c r="F4" s="17"/>
      <c r="G4" s="19" t="str">
        <f ca="1">IF($A4="","",IF($I4="X",A4,CONCATENATE(VLOOKUP(A4,Competitors!$A$2:$I$650,3, FALSE)," ",VLOOKUP(A4,Competitors!$A$2:$I$650,2,FALSE))))</f>
        <v>Tom Spencer</v>
      </c>
      <c r="H4" s="20">
        <f t="shared" si="1"/>
        <v>1.4756944444444444E-2</v>
      </c>
      <c r="I4" t="str">
        <f t="shared" ca="1" si="2"/>
        <v/>
      </c>
      <c r="J4" s="40" t="s">
        <v>595</v>
      </c>
    </row>
    <row r="5" spans="1:10" ht="14.25" x14ac:dyDescent="0.15">
      <c r="A5" s="17">
        <f t="shared" ca="1" si="0"/>
        <v>1144</v>
      </c>
      <c r="B5" s="17">
        <v>0</v>
      </c>
      <c r="C5" s="17">
        <v>21</v>
      </c>
      <c r="D5" s="17">
        <v>18</v>
      </c>
      <c r="E5" s="17"/>
      <c r="F5" s="17"/>
      <c r="G5" s="19" t="str">
        <f ca="1">IF($A5="","",IF($I5="X",A5,CONCATENATE(VLOOKUP(A5,Competitors!$A$2:$I$650,3, FALSE)," ",VLOOKUP(A5,Competitors!$A$2:$I$650,2,FALSE))))</f>
        <v>Jamie Kershaw</v>
      </c>
      <c r="H5" s="20">
        <f t="shared" si="1"/>
        <v>1.4791666666666667E-2</v>
      </c>
      <c r="I5" t="str">
        <f t="shared" ca="1" si="2"/>
        <v/>
      </c>
      <c r="J5" s="40" t="s">
        <v>584</v>
      </c>
    </row>
    <row r="6" spans="1:10" ht="14.25" x14ac:dyDescent="0.15">
      <c r="A6" s="17">
        <f t="shared" ca="1" si="0"/>
        <v>1023</v>
      </c>
      <c r="B6" s="17">
        <v>0</v>
      </c>
      <c r="C6" s="17">
        <v>21</v>
      </c>
      <c r="D6" s="17">
        <v>40</v>
      </c>
      <c r="E6" s="17"/>
      <c r="F6" s="17"/>
      <c r="G6" s="19" t="str">
        <f ca="1">IF($A6="","",IF($I6="X",A6,CONCATENATE(VLOOKUP(A6,Competitors!$A$2:$I$650,3, FALSE)," ",VLOOKUP(A6,Competitors!$A$2:$I$650,2,FALSE))))</f>
        <v>Gary Roberts</v>
      </c>
      <c r="H6" s="20">
        <f t="shared" si="1"/>
        <v>1.5046296296296295E-2</v>
      </c>
      <c r="I6" t="str">
        <f t="shared" ca="1" si="2"/>
        <v/>
      </c>
      <c r="J6" s="40" t="s">
        <v>582</v>
      </c>
    </row>
    <row r="7" spans="1:10" ht="14.25" x14ac:dyDescent="0.15">
      <c r="A7" s="17">
        <f t="shared" ca="1" si="0"/>
        <v>699</v>
      </c>
      <c r="B7" s="17">
        <v>0</v>
      </c>
      <c r="C7" s="17">
        <v>21</v>
      </c>
      <c r="D7" s="17">
        <v>57</v>
      </c>
      <c r="E7" s="17"/>
      <c r="F7" s="17"/>
      <c r="G7" s="19" t="str">
        <f ca="1">IF($A7="","",IF($I7="X",A7,CONCATENATE(VLOOKUP(A7,Competitors!$A$2:$I$650,3, FALSE)," ",VLOOKUP(A7,Competitors!$A$2:$I$650,2,FALSE))))</f>
        <v>Jonathan Durnin</v>
      </c>
      <c r="H7" s="20">
        <f t="shared" si="1"/>
        <v>1.5243055555555555E-2</v>
      </c>
      <c r="I7" t="str">
        <f t="shared" ca="1" si="2"/>
        <v/>
      </c>
      <c r="J7" s="40" t="s">
        <v>586</v>
      </c>
    </row>
    <row r="8" spans="1:10" ht="14.25" x14ac:dyDescent="0.15">
      <c r="A8" s="17">
        <f t="shared" ca="1" si="0"/>
        <v>1094</v>
      </c>
      <c r="B8" s="17">
        <v>0</v>
      </c>
      <c r="C8" s="17">
        <v>22</v>
      </c>
      <c r="D8" s="17">
        <v>8</v>
      </c>
      <c r="E8" s="17"/>
      <c r="F8" s="17"/>
      <c r="G8" s="19" t="str">
        <f ca="1">IF($A8="","",IF($I8="X",A8,CONCATENATE(VLOOKUP(A8,Competitors!$A$2:$I$650,3, FALSE)," ",VLOOKUP(A8,Competitors!$A$2:$I$650,2,FALSE))))</f>
        <v>Andy Poulton</v>
      </c>
      <c r="H8" s="20">
        <f t="shared" si="1"/>
        <v>1.5370370370370371E-2</v>
      </c>
      <c r="I8" t="str">
        <f t="shared" ca="1" si="2"/>
        <v/>
      </c>
      <c r="J8" s="40" t="s">
        <v>579</v>
      </c>
    </row>
    <row r="9" spans="1:10" ht="14.25" x14ac:dyDescent="0.15">
      <c r="A9" s="17">
        <f t="shared" ca="1" si="0"/>
        <v>747</v>
      </c>
      <c r="B9" s="17">
        <v>0</v>
      </c>
      <c r="C9" s="17">
        <v>22</v>
      </c>
      <c r="D9" s="17">
        <v>9</v>
      </c>
      <c r="E9" s="17" t="s">
        <v>170</v>
      </c>
      <c r="F9" s="17"/>
      <c r="G9" s="19" t="str">
        <f ca="1">IF($A9="","",IF($I9="X",A9,CONCATENATE(VLOOKUP(A9,Competitors!$A$2:$I$650,3, FALSE)," ",VLOOKUP(A9,Competitors!$A$2:$I$650,2,FALSE))))</f>
        <v>James Moore</v>
      </c>
      <c r="H9" s="20">
        <f t="shared" si="1"/>
        <v>1.5381944444444445E-2</v>
      </c>
      <c r="I9" t="str">
        <f t="shared" ca="1" si="2"/>
        <v/>
      </c>
      <c r="J9" s="40" t="s">
        <v>591</v>
      </c>
    </row>
    <row r="10" spans="1:10" ht="14.25" x14ac:dyDescent="0.15">
      <c r="A10" s="17">
        <f t="shared" ca="1" si="0"/>
        <v>1339</v>
      </c>
      <c r="B10" s="17">
        <v>0</v>
      </c>
      <c r="C10" s="17">
        <v>22</v>
      </c>
      <c r="D10" s="17">
        <v>15</v>
      </c>
      <c r="E10" s="17" t="s">
        <v>170</v>
      </c>
      <c r="F10" s="17"/>
      <c r="G10" s="19" t="str">
        <f ca="1">IF($A10="","",IF($I10="X",A10,CONCATENATE(VLOOKUP(A10,Competitors!$A$2:$I$650,3, FALSE)," ",VLOOKUP(A10,Competitors!$A$2:$I$650,2,FALSE))))</f>
        <v>Jack Shewring</v>
      </c>
      <c r="H10" s="20">
        <f t="shared" si="1"/>
        <v>1.545138888888889E-2</v>
      </c>
      <c r="I10" t="str">
        <f t="shared" ca="1" si="2"/>
        <v/>
      </c>
      <c r="J10" s="40" t="s">
        <v>597</v>
      </c>
    </row>
    <row r="11" spans="1:10" ht="14.25" x14ac:dyDescent="0.15">
      <c r="A11" s="17">
        <f t="shared" ca="1" si="0"/>
        <v>1055</v>
      </c>
      <c r="B11" s="17">
        <v>0</v>
      </c>
      <c r="C11" s="17">
        <v>22</v>
      </c>
      <c r="D11" s="17">
        <v>36</v>
      </c>
      <c r="E11" s="17"/>
      <c r="F11" s="17"/>
      <c r="G11" s="19" t="str">
        <f ca="1">IF($A11="","",IF($I11="X",A11,CONCATENATE(VLOOKUP(A11,Competitors!$A$2:$I$650,3, FALSE)," ",VLOOKUP(A11,Competitors!$A$2:$I$650,2,FALSE))))</f>
        <v>Austin Smith</v>
      </c>
      <c r="H11" s="20">
        <f t="shared" si="1"/>
        <v>1.5694444444444445E-2</v>
      </c>
      <c r="I11" t="str">
        <f t="shared" ca="1" si="2"/>
        <v/>
      </c>
      <c r="J11" s="40" t="s">
        <v>589</v>
      </c>
    </row>
    <row r="12" spans="1:10" ht="14.25" x14ac:dyDescent="0.15">
      <c r="A12" s="17">
        <f t="shared" ca="1" si="0"/>
        <v>1192</v>
      </c>
      <c r="B12" s="17">
        <v>0</v>
      </c>
      <c r="C12" s="17">
        <v>23</v>
      </c>
      <c r="D12" s="17">
        <v>4</v>
      </c>
      <c r="E12" s="17"/>
      <c r="F12" s="17"/>
      <c r="G12" s="19" t="str">
        <f ca="1">IF($A12="","",IF($I12="X",A12,CONCATENATE(VLOOKUP(A12,Competitors!$A$2:$I$650,3, FALSE)," ",VLOOKUP(A12,Competitors!$A$2:$I$650,2,FALSE))))</f>
        <v>Dale Norris</v>
      </c>
      <c r="H12" s="20">
        <f t="shared" si="1"/>
        <v>1.6018518518518519E-2</v>
      </c>
      <c r="I12" t="str">
        <f t="shared" ca="1" si="2"/>
        <v/>
      </c>
      <c r="J12" s="40" t="s">
        <v>590</v>
      </c>
    </row>
    <row r="13" spans="1:10" ht="14.25" x14ac:dyDescent="0.15">
      <c r="A13" s="17">
        <f t="shared" ca="1" si="0"/>
        <v>1024</v>
      </c>
      <c r="B13" s="17">
        <v>0</v>
      </c>
      <c r="C13" s="17">
        <v>23</v>
      </c>
      <c r="D13" s="17">
        <v>12</v>
      </c>
      <c r="E13" s="17"/>
      <c r="F13" s="17"/>
      <c r="G13" s="19" t="str">
        <f ca="1">IF($A13="","",IF($I13="X",A13,CONCATENATE(VLOOKUP(A13,Competitors!$A$2:$I$650,3, FALSE)," ",VLOOKUP(A13,Competitors!$A$2:$I$650,2,FALSE))))</f>
        <v>Jax Roberts</v>
      </c>
      <c r="H13" s="20">
        <f t="shared" si="1"/>
        <v>1.6111111111111111E-2</v>
      </c>
      <c r="I13" t="str">
        <f t="shared" ca="1" si="2"/>
        <v/>
      </c>
      <c r="J13" s="40" t="s">
        <v>608</v>
      </c>
    </row>
    <row r="14" spans="1:10" ht="14.25" x14ac:dyDescent="0.15">
      <c r="A14" s="17">
        <f t="shared" ca="1" si="0"/>
        <v>415</v>
      </c>
      <c r="B14" s="17">
        <v>0</v>
      </c>
      <c r="C14" s="17">
        <v>23</v>
      </c>
      <c r="D14" s="17">
        <v>53</v>
      </c>
      <c r="E14" s="17" t="s">
        <v>170</v>
      </c>
      <c r="F14" s="17"/>
      <c r="G14" s="19" t="str">
        <f ca="1">IF($A14="","",IF($I14="X",A14,CONCATENATE(VLOOKUP(A14,Competitors!$A$2:$I$650,3, FALSE)," ",VLOOKUP(A14,Competitors!$A$2:$I$650,2,FALSE))))</f>
        <v>Nik Kershaw</v>
      </c>
      <c r="H14" s="20">
        <f t="shared" si="1"/>
        <v>1.6585648148148148E-2</v>
      </c>
      <c r="I14" t="str">
        <f t="shared" ca="1" si="2"/>
        <v/>
      </c>
      <c r="J14" s="40" t="s">
        <v>594</v>
      </c>
    </row>
    <row r="15" spans="1:10" ht="14.25" x14ac:dyDescent="0.15">
      <c r="A15" s="17">
        <f t="shared" ca="1" si="0"/>
        <v>1107</v>
      </c>
      <c r="B15" s="17">
        <v>0</v>
      </c>
      <c r="C15" s="17">
        <v>24</v>
      </c>
      <c r="D15" s="17">
        <v>58</v>
      </c>
      <c r="E15" s="17" t="s">
        <v>170</v>
      </c>
      <c r="F15" s="17"/>
      <c r="G15" s="19" t="str">
        <f ca="1">IF($A15="","",IF($I15="X",A15,CONCATENATE(VLOOKUP(A15,Competitors!$A$2:$I$650,3, FALSE)," ",VLOOKUP(A15,Competitors!$A$2:$I$650,2,FALSE))))</f>
        <v>Milly Pinnock</v>
      </c>
      <c r="H15" s="20">
        <f t="shared" si="1"/>
        <v>1.7337962962962961E-2</v>
      </c>
      <c r="I15" t="str">
        <f t="shared" ca="1" si="2"/>
        <v/>
      </c>
      <c r="J15" s="40" t="s">
        <v>600</v>
      </c>
    </row>
    <row r="16" spans="1:10" ht="14.25" x14ac:dyDescent="0.15">
      <c r="A16" s="17">
        <f t="shared" ca="1" si="0"/>
        <v>203</v>
      </c>
      <c r="B16" s="17">
        <v>0</v>
      </c>
      <c r="C16" s="17">
        <v>24</v>
      </c>
      <c r="D16" s="17">
        <v>58</v>
      </c>
      <c r="E16" s="17"/>
      <c r="F16" s="17"/>
      <c r="G16" s="19" t="str">
        <f ca="1">IF($A16="","",IF($I16="X",A16,CONCATENATE(VLOOKUP(A16,Competitors!$A$2:$I$650,3, FALSE)," ",VLOOKUP(A16,Competitors!$A$2:$I$650,2,FALSE))))</f>
        <v>Adrian Killworth</v>
      </c>
      <c r="H16" s="20">
        <f t="shared" si="1"/>
        <v>1.7337962962962961E-2</v>
      </c>
      <c r="I16" t="str">
        <f t="shared" ca="1" si="2"/>
        <v/>
      </c>
      <c r="J16" s="40" t="s">
        <v>603</v>
      </c>
    </row>
    <row r="17" spans="1:10" ht="14.25" x14ac:dyDescent="0.15">
      <c r="A17" s="17">
        <f t="shared" ca="1" si="0"/>
        <v>616</v>
      </c>
      <c r="B17" s="17">
        <v>0</v>
      </c>
      <c r="C17" s="17">
        <v>24</v>
      </c>
      <c r="D17" s="17">
        <v>59</v>
      </c>
      <c r="E17" s="17"/>
      <c r="F17" s="17"/>
      <c r="G17" s="19" t="str">
        <f ca="1">IF($A17="","",IF($I17="X",A17,CONCATENATE(VLOOKUP(A17,Competitors!$A$2:$I$650,3, FALSE)," ",VLOOKUP(A17,Competitors!$A$2:$I$650,2,FALSE))))</f>
        <v>Simon Ward</v>
      </c>
      <c r="H17" s="20">
        <f t="shared" si="1"/>
        <v>1.7349537037037038E-2</v>
      </c>
      <c r="I17" t="str">
        <f t="shared" ca="1" si="2"/>
        <v/>
      </c>
      <c r="J17" s="40" t="s">
        <v>610</v>
      </c>
    </row>
    <row r="18" spans="1:10" ht="14.25" x14ac:dyDescent="0.15">
      <c r="A18" s="17">
        <f t="shared" ca="1" si="0"/>
        <v>1355</v>
      </c>
      <c r="B18" s="17">
        <v>0</v>
      </c>
      <c r="C18" s="17">
        <v>25</v>
      </c>
      <c r="D18" s="17">
        <v>11</v>
      </c>
      <c r="E18" s="17" t="s">
        <v>170</v>
      </c>
      <c r="F18" s="17"/>
      <c r="G18" s="19" t="str">
        <f ca="1">IF($A18="","",IF($I18="X",A18,CONCATENATE(VLOOKUP(A18,Competitors!$A$2:$I$650,3, FALSE)," ",VLOOKUP(A18,Competitors!$A$2:$I$650,2,FALSE))))</f>
        <v>Aubrey Elmer</v>
      </c>
      <c r="H18" s="20">
        <f t="shared" si="1"/>
        <v>1.7488425925925925E-2</v>
      </c>
      <c r="I18" t="str">
        <f t="shared" ca="1" si="2"/>
        <v/>
      </c>
      <c r="J18" s="40" t="s">
        <v>604</v>
      </c>
    </row>
    <row r="19" spans="1:10" ht="14.25" x14ac:dyDescent="0.15">
      <c r="A19" s="17">
        <f t="shared" ca="1" si="0"/>
        <v>704</v>
      </c>
      <c r="B19" s="17">
        <v>0</v>
      </c>
      <c r="C19" s="17">
        <v>25</v>
      </c>
      <c r="D19" s="17">
        <v>55</v>
      </c>
      <c r="E19" s="17" t="s">
        <v>170</v>
      </c>
      <c r="F19" s="17"/>
      <c r="G19" s="19" t="str">
        <f ca="1">IF($A19="","",IF($I19="X",A19,CONCATENATE(VLOOKUP(A19,Competitors!$A$2:$I$650,3, FALSE)," ",VLOOKUP(A19,Competitors!$A$2:$I$650,2,FALSE))))</f>
        <v>Chris Dainty</v>
      </c>
      <c r="H19" s="20">
        <f t="shared" si="1"/>
        <v>1.7997685185185186E-2</v>
      </c>
      <c r="I19" t="str">
        <f t="shared" ca="1" si="2"/>
        <v/>
      </c>
      <c r="J19" s="40" t="s">
        <v>605</v>
      </c>
    </row>
    <row r="20" spans="1:10" ht="14.25" x14ac:dyDescent="0.15">
      <c r="A20" s="17">
        <f t="shared" ca="1" si="0"/>
        <v>1193</v>
      </c>
      <c r="B20" s="17">
        <v>0</v>
      </c>
      <c r="C20" s="17">
        <v>26</v>
      </c>
      <c r="D20" s="17">
        <v>56</v>
      </c>
      <c r="E20" s="17" t="s">
        <v>170</v>
      </c>
      <c r="F20" s="17"/>
      <c r="G20" s="19" t="str">
        <f ca="1">IF($A20="","",IF($I20="X",A20,CONCATENATE(VLOOKUP(A20,Competitors!$A$2:$I$650,3, FALSE)," ",VLOOKUP(A20,Competitors!$A$2:$I$650,2,FALSE))))</f>
        <v>Richard Hardwicke</v>
      </c>
      <c r="H20" s="20">
        <f t="shared" si="1"/>
        <v>1.8703703703703705E-2</v>
      </c>
      <c r="I20" t="str">
        <f t="shared" ca="1" si="2"/>
        <v/>
      </c>
      <c r="J20" s="40" t="s">
        <v>617</v>
      </c>
    </row>
    <row r="21" spans="1:10" ht="14.25" x14ac:dyDescent="0.15">
      <c r="A21" s="17">
        <f t="shared" ca="1" si="0"/>
        <v>1195</v>
      </c>
      <c r="B21" s="17">
        <v>0</v>
      </c>
      <c r="C21" s="17">
        <v>27</v>
      </c>
      <c r="D21" s="17">
        <v>28</v>
      </c>
      <c r="E21" s="17" t="s">
        <v>170</v>
      </c>
      <c r="F21" s="17"/>
      <c r="G21" s="19" t="str">
        <f ca="1">IF($A21="","",IF($I21="X",A21,CONCATENATE(VLOOKUP(A21,Competitors!$A$2:$I$650,3, FALSE)," ",VLOOKUP(A21,Competitors!$A$2:$I$650,2,FALSE))))</f>
        <v>Charlie Hardwicke</v>
      </c>
      <c r="H21" s="20">
        <f t="shared" si="1"/>
        <v>1.9074074074074073E-2</v>
      </c>
      <c r="I21" t="str">
        <f t="shared" ca="1" si="2"/>
        <v/>
      </c>
      <c r="J21" s="40" t="s">
        <v>613</v>
      </c>
    </row>
    <row r="22" spans="1:10" ht="14.25" x14ac:dyDescent="0.15">
      <c r="A22" s="17">
        <f t="shared" ca="1" si="0"/>
        <v>1377</v>
      </c>
      <c r="B22" s="17">
        <v>0</v>
      </c>
      <c r="C22" s="17">
        <v>28</v>
      </c>
      <c r="D22" s="17">
        <v>35</v>
      </c>
      <c r="E22" s="17" t="s">
        <v>170</v>
      </c>
      <c r="F22" s="17"/>
      <c r="G22" s="19" t="str">
        <f ca="1">IF($A22="","",IF($I22="X",A22,CONCATENATE(VLOOKUP(A22,Competitors!$A$2:$I$650,3, FALSE)," ",VLOOKUP(A22,Competitors!$A$2:$I$650,2,FALSE))))</f>
        <v>Lucy Fraser</v>
      </c>
      <c r="H22" s="20">
        <f t="shared" si="1"/>
        <v>1.9849537037037037E-2</v>
      </c>
      <c r="I22" t="str">
        <f t="shared" ca="1" si="2"/>
        <v/>
      </c>
      <c r="J22" s="40" t="s">
        <v>616</v>
      </c>
    </row>
    <row r="23" spans="1:10" ht="14.25" x14ac:dyDescent="0.15">
      <c r="A23" s="17">
        <f t="shared" ca="1" si="0"/>
        <v>1194</v>
      </c>
      <c r="B23" s="17">
        <v>0</v>
      </c>
      <c r="C23" s="17">
        <v>29</v>
      </c>
      <c r="D23" s="17">
        <v>28</v>
      </c>
      <c r="E23" s="17" t="s">
        <v>170</v>
      </c>
      <c r="F23" s="17"/>
      <c r="G23" s="19" t="str">
        <f ca="1">IF($A23="","",IF($I23="X",A23,CONCATENATE(VLOOKUP(A23,Competitors!$A$2:$I$650,3, FALSE)," ",VLOOKUP(A23,Competitors!$A$2:$I$650,2,FALSE))))</f>
        <v>Alex Hardwicke</v>
      </c>
      <c r="H23" s="20">
        <f t="shared" si="1"/>
        <v>2.0462962962962964E-2</v>
      </c>
      <c r="I23" t="str">
        <f t="shared" ca="1" si="2"/>
        <v/>
      </c>
      <c r="J23" s="40" t="s">
        <v>611</v>
      </c>
    </row>
    <row r="24" spans="1:10" ht="14.25" x14ac:dyDescent="0.15">
      <c r="A24" s="17" t="str">
        <f t="shared" ca="1" si="0"/>
        <v/>
      </c>
      <c r="B24" s="17"/>
      <c r="C24" s="17"/>
      <c r="D24" s="17"/>
      <c r="E24" s="17"/>
      <c r="F24" s="17"/>
      <c r="G24" s="19" t="str">
        <f ca="1">IF($A24="","",IF($I24="X",A24,CONCATENATE(VLOOKUP(A24,Competitors!$A$2:$I$650,3, FALSE)," ",VLOOKUP(A24,Competitors!$A$2:$I$650,2,FALSE))))</f>
        <v/>
      </c>
      <c r="H24" s="20">
        <f t="shared" si="1"/>
        <v>0</v>
      </c>
      <c r="I24" t="str">
        <f t="shared" ca="1" si="2"/>
        <v/>
      </c>
      <c r="J24" s="40" t="s">
        <v>173</v>
      </c>
    </row>
    <row r="25" spans="1:10" ht="14.25" x14ac:dyDescent="0.15">
      <c r="A25" s="17" t="str">
        <f t="shared" ca="1" si="0"/>
        <v/>
      </c>
      <c r="B25" s="17"/>
      <c r="C25" s="17"/>
      <c r="D25" s="17"/>
      <c r="E25" s="17"/>
      <c r="F25" s="17"/>
      <c r="G25" s="19" t="str">
        <f ca="1">IF($A25="","",IF($I25="X",A25,CONCATENATE(VLOOKUP(A25,Competitors!$A$2:$I$650,3, FALSE)," ",VLOOKUP(A25,Competitors!$A$2:$I$650,2,FALSE))))</f>
        <v/>
      </c>
      <c r="H25" s="20">
        <f t="shared" si="1"/>
        <v>0</v>
      </c>
      <c r="I25" t="str">
        <f t="shared" ca="1" si="2"/>
        <v/>
      </c>
      <c r="J25" s="40" t="s">
        <v>173</v>
      </c>
    </row>
    <row r="26" spans="1:10" ht="14.25" x14ac:dyDescent="0.15">
      <c r="A26" s="17" t="str">
        <f t="shared" ca="1" si="0"/>
        <v/>
      </c>
      <c r="B26" s="17"/>
      <c r="C26" s="17"/>
      <c r="D26" s="17"/>
      <c r="E26" s="17"/>
      <c r="F26" s="17"/>
      <c r="G26" s="19" t="str">
        <f ca="1">IF($A26="","",IF($I26="X",A26,CONCATENATE(VLOOKUP(A26,Competitors!$A$2:$I$650,3, FALSE)," ",VLOOKUP(A26,Competitors!$A$2:$I$650,2,FALSE))))</f>
        <v/>
      </c>
      <c r="H26" s="20">
        <f t="shared" si="1"/>
        <v>0</v>
      </c>
      <c r="I26" t="str">
        <f t="shared" ca="1" si="2"/>
        <v/>
      </c>
      <c r="J26" s="40" t="s">
        <v>173</v>
      </c>
    </row>
    <row r="27" spans="1:10" ht="14.25" x14ac:dyDescent="0.15">
      <c r="A27" s="17" t="str">
        <f t="shared" ca="1" si="0"/>
        <v/>
      </c>
      <c r="B27" s="17"/>
      <c r="C27" s="17"/>
      <c r="D27" s="17"/>
      <c r="E27" s="17"/>
      <c r="F27" s="17"/>
      <c r="G27" s="19" t="str">
        <f ca="1">IF($A27="","",IF($I27="X",A27,CONCATENATE(VLOOKUP(A27,Competitors!$A$2:$I$650,3, FALSE)," ",VLOOKUP(A27,Competitors!$A$2:$I$650,2,FALSE))))</f>
        <v/>
      </c>
      <c r="H27" s="20">
        <f t="shared" si="1"/>
        <v>0</v>
      </c>
      <c r="I27" t="str">
        <f t="shared" ca="1" si="2"/>
        <v/>
      </c>
      <c r="J27" s="40" t="s">
        <v>173</v>
      </c>
    </row>
    <row r="28" spans="1:10" ht="14.25" x14ac:dyDescent="0.15">
      <c r="A28" s="17" t="str">
        <f t="shared" ca="1" si="0"/>
        <v/>
      </c>
      <c r="B28" s="17"/>
      <c r="C28" s="17"/>
      <c r="D28" s="17"/>
      <c r="E28" s="17"/>
      <c r="F28" s="17"/>
      <c r="G28" s="19" t="str">
        <f ca="1">IF($A28="","",IF($I28="X",A28,CONCATENATE(VLOOKUP(A28,Competitors!$A$2:$I$650,3, FALSE)," ",VLOOKUP(A28,Competitors!$A$2:$I$650,2,FALSE))))</f>
        <v/>
      </c>
      <c r="H28" s="20">
        <f t="shared" si="1"/>
        <v>0</v>
      </c>
      <c r="I28" t="str">
        <f t="shared" ca="1" si="2"/>
        <v/>
      </c>
      <c r="J28" s="40" t="s">
        <v>173</v>
      </c>
    </row>
    <row r="29" spans="1:10" ht="14.25" x14ac:dyDescent="0.15">
      <c r="A29" s="17" t="str">
        <f t="shared" ca="1" si="0"/>
        <v/>
      </c>
      <c r="B29" s="17"/>
      <c r="C29" s="17"/>
      <c r="D29" s="17"/>
      <c r="E29" s="17"/>
      <c r="F29" s="17"/>
      <c r="G29" s="19" t="str">
        <f ca="1">IF($A29="","",IF($I29="X",A29,CONCATENATE(VLOOKUP(A29,Competitors!$A$2:$I$650,3, FALSE)," ",VLOOKUP(A29,Competitors!$A$2:$I$650,2,FALSE))))</f>
        <v/>
      </c>
      <c r="H29" s="20">
        <f t="shared" si="1"/>
        <v>0</v>
      </c>
      <c r="I29" t="str">
        <f t="shared" ca="1" si="2"/>
        <v/>
      </c>
      <c r="J29" s="40" t="s">
        <v>173</v>
      </c>
    </row>
    <row r="30" spans="1:10" ht="14.25" x14ac:dyDescent="0.15">
      <c r="A30" s="17" t="str">
        <f t="shared" ca="1" si="0"/>
        <v/>
      </c>
      <c r="B30" s="17"/>
      <c r="C30" s="17"/>
      <c r="D30" s="17"/>
      <c r="E30" s="17"/>
      <c r="F30" s="17"/>
      <c r="G30" s="19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17" t="str">
        <f t="shared" ca="1" si="0"/>
        <v/>
      </c>
      <c r="B31" s="17"/>
      <c r="C31" s="17"/>
      <c r="D31" s="17"/>
      <c r="E31" s="17"/>
      <c r="F31" s="17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7"/>
      <c r="D32" s="17"/>
      <c r="E32" s="17"/>
      <c r="F32" s="17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7"/>
      <c r="D33" s="17"/>
      <c r="E33" s="17"/>
      <c r="F33" s="17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7"/>
      <c r="D34" s="17"/>
      <c r="E34" s="17"/>
      <c r="F34" s="17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7"/>
      <c r="D35" s="17"/>
      <c r="E35" s="17"/>
      <c r="F35" s="17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7"/>
      <c r="D36" s="17"/>
      <c r="E36" s="17"/>
      <c r="F36" s="17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7"/>
      <c r="D37" s="17"/>
      <c r="E37" s="17"/>
      <c r="F37" s="17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7"/>
      <c r="D38" s="17"/>
      <c r="E38" s="17"/>
      <c r="F38" s="17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7"/>
      <c r="D39" s="17"/>
      <c r="E39" s="17"/>
      <c r="F39" s="17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7"/>
      <c r="D40" s="17"/>
      <c r="E40" s="17"/>
      <c r="F40" s="17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7"/>
      <c r="D41" s="17"/>
      <c r="E41" s="17"/>
      <c r="F41" s="17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7"/>
      <c r="D42" s="17"/>
      <c r="E42" s="17"/>
      <c r="F42" s="17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7"/>
      <c r="D43" s="17"/>
      <c r="E43" s="17"/>
      <c r="F43" s="17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7"/>
      <c r="D44" s="17"/>
      <c r="E44" s="17"/>
      <c r="F44" s="17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7"/>
      <c r="D45" s="17"/>
      <c r="E45" s="17"/>
      <c r="F45" s="17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7"/>
      <c r="D46" s="17"/>
      <c r="E46" s="17"/>
      <c r="F46" s="17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7"/>
      <c r="D47" s="17"/>
      <c r="E47" s="17"/>
      <c r="F47" s="17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7"/>
      <c r="D48" s="17"/>
      <c r="E48" s="17"/>
      <c r="F48" s="17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7"/>
      <c r="D49" s="17"/>
      <c r="E49" s="17"/>
      <c r="F49" s="17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7"/>
      <c r="D50" s="17"/>
      <c r="E50" s="17"/>
      <c r="F50" s="17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7"/>
      <c r="D51" s="17"/>
      <c r="E51" s="17"/>
      <c r="F51" s="17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7"/>
      <c r="D52" s="17"/>
      <c r="E52" s="17"/>
      <c r="F52" s="17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7"/>
      <c r="D53" s="17"/>
      <c r="E53" s="17"/>
      <c r="F53" s="17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7"/>
      <c r="D54" s="17"/>
      <c r="E54" s="17"/>
      <c r="F54" s="17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7"/>
      <c r="D55" s="17"/>
      <c r="E55" s="17"/>
      <c r="F55" s="17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7"/>
      <c r="D56" s="17"/>
      <c r="E56" s="17"/>
      <c r="F56" s="17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7"/>
      <c r="D57" s="17"/>
      <c r="E57" s="17"/>
      <c r="F57" s="17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7"/>
      <c r="D58" s="17"/>
      <c r="E58" s="17"/>
      <c r="F58" s="17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7"/>
      <c r="D59" s="17"/>
      <c r="E59" s="17"/>
      <c r="F59" s="17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7"/>
      <c r="D60" s="17"/>
      <c r="E60" s="17"/>
      <c r="F60" s="17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7"/>
      <c r="D61" s="17"/>
      <c r="E61" s="17"/>
      <c r="F61" s="17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7"/>
      <c r="D62" s="17"/>
      <c r="E62" s="17"/>
      <c r="F62" s="17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7"/>
      <c r="D63" s="17"/>
      <c r="E63" s="17"/>
      <c r="F63" s="17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7"/>
      <c r="D64" s="17"/>
      <c r="E64" s="17"/>
      <c r="F64" s="17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7"/>
      <c r="D65" s="17"/>
      <c r="E65" s="17"/>
      <c r="F65" s="17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7"/>
      <c r="D66" s="17"/>
      <c r="E66" s="17"/>
      <c r="F66" s="17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7"/>
      <c r="D67" s="17"/>
      <c r="E67" s="17"/>
      <c r="F67" s="17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7"/>
      <c r="D68" s="17"/>
      <c r="E68" s="17"/>
      <c r="F68" s="17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7"/>
      <c r="D69" s="17"/>
      <c r="E69" s="17"/>
      <c r="F69" s="17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7"/>
      <c r="D70" s="17"/>
      <c r="E70" s="17"/>
      <c r="F70" s="17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7"/>
      <c r="D71" s="17"/>
      <c r="E71" s="17"/>
      <c r="F71" s="17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7"/>
      <c r="D72" s="17"/>
      <c r="E72" s="17"/>
      <c r="F72" s="17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7"/>
      <c r="D73" s="17"/>
      <c r="E73" s="17"/>
      <c r="F73" s="17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7"/>
      <c r="D74" s="17"/>
      <c r="E74" s="17"/>
      <c r="F74" s="17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7"/>
      <c r="D75" s="17"/>
      <c r="E75" s="17"/>
      <c r="F75" s="17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7"/>
      <c r="D76" s="17"/>
      <c r="E76" s="17"/>
      <c r="F76" s="17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7"/>
      <c r="D77" s="17"/>
      <c r="E77" s="17"/>
      <c r="F77" s="17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7"/>
      <c r="D78" s="17"/>
      <c r="E78" s="17"/>
      <c r="F78" s="17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7"/>
      <c r="D79" s="17"/>
      <c r="E79" s="17"/>
      <c r="F79" s="17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7"/>
      <c r="D80" s="17"/>
      <c r="E80" s="17"/>
      <c r="F80" s="17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7"/>
      <c r="D81" s="17"/>
      <c r="E81" s="17"/>
      <c r="F81" s="17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7"/>
      <c r="D82" s="17"/>
      <c r="E82" s="17"/>
      <c r="F82" s="17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7"/>
      <c r="D83" s="17"/>
      <c r="E83" s="17"/>
      <c r="F83" s="17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7"/>
      <c r="D84" s="17"/>
      <c r="E84" s="17"/>
      <c r="F84" s="17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7"/>
      <c r="D85" s="17"/>
      <c r="E85" s="17"/>
      <c r="F85" s="17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7"/>
      <c r="D86" s="17"/>
      <c r="E86" s="17"/>
      <c r="F86" s="17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7"/>
      <c r="D87" s="17"/>
      <c r="E87" s="17"/>
      <c r="F87" s="17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7"/>
      <c r="D88" s="17"/>
      <c r="E88" s="17"/>
      <c r="F88" s="17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7"/>
      <c r="D89" s="17"/>
      <c r="E89" s="17"/>
      <c r="F89" s="17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7"/>
      <c r="D90" s="17"/>
      <c r="E90" s="17"/>
      <c r="F90" s="17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7"/>
      <c r="D91" s="17"/>
      <c r="E91" s="17"/>
      <c r="F91" s="17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7"/>
      <c r="D92" s="17"/>
      <c r="E92" s="17"/>
      <c r="F92" s="17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7"/>
      <c r="D93" s="17"/>
      <c r="E93" s="17"/>
      <c r="F93" s="17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7"/>
      <c r="D94" s="17"/>
      <c r="E94" s="17"/>
      <c r="F94" s="17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7"/>
      <c r="D95" s="17"/>
      <c r="E95" s="17"/>
      <c r="F95" s="17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7"/>
      <c r="D96" s="17"/>
      <c r="E96" s="17"/>
      <c r="F96" s="17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7"/>
      <c r="D97" s="17"/>
      <c r="E97" s="17"/>
      <c r="F97" s="17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7"/>
      <c r="D98" s="17"/>
      <c r="E98" s="17"/>
      <c r="F98" s="17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7"/>
      <c r="D99" s="17"/>
      <c r="E99" s="17"/>
      <c r="F99" s="17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7"/>
      <c r="D100" s="17"/>
      <c r="E100" s="17"/>
      <c r="F100" s="17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7"/>
      <c r="D101" s="17"/>
      <c r="E101" s="17"/>
      <c r="F101" s="17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62" priority="1">
      <formula>TEXT($B$104,"@")="Y"</formula>
    </cfRule>
  </conditionalFormatting>
  <conditionalFormatting sqref="G2:H101">
    <cfRule type="expression" dxfId="61" priority="3">
      <formula>$I2="X"</formula>
    </cfRule>
  </conditionalFormatting>
  <conditionalFormatting sqref="H2:H101">
    <cfRule type="expression" dxfId="60" priority="2">
      <formula>TEXT($B$104,"@")="Y"</formula>
    </cfRule>
  </conditionalFormatting>
  <printOptions horizontalCentered="1"/>
  <pageMargins left="0.62992125984251968" right="0.70866141732283472" top="1.7322834645669292" bottom="0.39370078740157483" header="0.31496062992125984" footer="0.31496062992125984"/>
  <pageSetup paperSize="9" scale="45" orientation="portrait" r:id="rId1"/>
  <headerFooter>
    <oddHeader>&amp;C&amp;24WVCC champs 2016 results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2AE8-14F2-42A9-859C-434A8F707F8C}">
  <sheetPr codeName="Sheet39">
    <pageSetUpPr fitToPage="1"/>
  </sheetPr>
  <dimension ref="A1:J104"/>
  <sheetViews>
    <sheetView zoomScale="75" zoomScaleNormal="75" workbookViewId="0">
      <selection activeCell="O11" sqref="O11"/>
    </sheetView>
  </sheetViews>
  <sheetFormatPr defaultColWidth="9.16796875" defaultRowHeight="12.75" x14ac:dyDescent="0.15"/>
  <cols>
    <col min="1" max="1" width="15.37109375" bestFit="1" customWidth="1"/>
    <col min="2" max="4" width="4.71875" customWidth="1"/>
    <col min="5" max="6" width="11.0546875" customWidth="1"/>
    <col min="7" max="7" width="44.09375" customWidth="1"/>
    <col min="8" max="8" width="14.6953125" style="23" bestFit="1" customWidth="1"/>
    <col min="9" max="9" width="19.281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 t="str">
        <f t="shared" ref="A2:A33" ca="1" si="0">IF(J2="","",_xlfn.XLOOKUP(J2,ClubNames,ClubNumbers,_xlfn.XLOOKUP(J2,RoundRobinRiderNames,RoundRobinRiderDecoratedNames,J2)))</f>
        <v/>
      </c>
      <c r="B2" s="17"/>
      <c r="C2" s="17"/>
      <c r="D2" s="17"/>
      <c r="E2" s="17"/>
      <c r="F2" s="17"/>
      <c r="G2" s="19" t="str">
        <f ca="1">IF($A2="","",IF($I2="X",A2,CONCATENATE(VLOOKUP(A2,Competitors!$A$2:$I$650,3, FALSE)," ",VLOOKUP(A2,Competitors!$A$2:$I$650,2,FALSE))))</f>
        <v/>
      </c>
      <c r="H2" s="20">
        <f>IF(LEFT($E2,1)="D",UPPER($E2),(B2*3600+C2*60+D2)/86400)</f>
        <v>0</v>
      </c>
      <c r="I2" t="str">
        <f ca="1">IF(OR(A2="",ISNUMBER(A2)),"","X")</f>
        <v/>
      </c>
      <c r="J2" s="40" t="s">
        <v>173</v>
      </c>
    </row>
    <row r="3" spans="1:10" ht="14.25" x14ac:dyDescent="0.15">
      <c r="A3" s="17" t="str">
        <f t="shared" ca="1" si="0"/>
        <v/>
      </c>
      <c r="B3" s="17"/>
      <c r="C3" s="17"/>
      <c r="D3" s="17"/>
      <c r="E3" s="17"/>
      <c r="F3" s="17"/>
      <c r="G3" s="19" t="str">
        <f ca="1">IF($A3="","",IF($I3="X",A3,CONCATENATE(VLOOKUP(A3,Competitors!$A$2:$I$650,3, FALSE)," ",VLOOKUP(A3,Competitors!$A$2:$I$650,2,FALSE))))</f>
        <v/>
      </c>
      <c r="H3" s="20">
        <f t="shared" ref="H3:H66" si="1">IF(LEFT($E3,1)="D",UPPER($E3),(B3*3600+C3*60+D3)/86400)</f>
        <v>0</v>
      </c>
      <c r="I3" t="str">
        <f t="shared" ref="I3:I66" ca="1" si="2">IF(OR(A3="",ISNUMBER(A3)),"","X")</f>
        <v/>
      </c>
      <c r="J3" s="40" t="s">
        <v>173</v>
      </c>
    </row>
    <row r="4" spans="1:10" ht="14.25" x14ac:dyDescent="0.15">
      <c r="A4" s="17" t="str">
        <f t="shared" ca="1" si="0"/>
        <v/>
      </c>
      <c r="B4" s="17"/>
      <c r="C4" s="17"/>
      <c r="D4" s="17"/>
      <c r="E4" s="17"/>
      <c r="F4" s="17"/>
      <c r="G4" s="19" t="str">
        <f ca="1">IF($A4="","",IF($I4="X",A4,CONCATENATE(VLOOKUP(A4,Competitors!$A$2:$I$650,3, FALSE)," ",VLOOKUP(A4,Competitors!$A$2:$I$650,2,FALSE))))</f>
        <v/>
      </c>
      <c r="H4" s="20">
        <f t="shared" si="1"/>
        <v>0</v>
      </c>
      <c r="I4" t="str">
        <f t="shared" ca="1" si="2"/>
        <v/>
      </c>
      <c r="J4" s="40" t="s">
        <v>173</v>
      </c>
    </row>
    <row r="5" spans="1:10" ht="14.25" x14ac:dyDescent="0.15">
      <c r="A5" s="17" t="str">
        <f t="shared" ca="1" si="0"/>
        <v/>
      </c>
      <c r="B5" s="17"/>
      <c r="C5" s="17"/>
      <c r="D5" s="17"/>
      <c r="E5" s="17"/>
      <c r="F5" s="17"/>
      <c r="G5" s="19" t="str">
        <f ca="1">IF($A5="","",IF($I5="X",A5,CONCATENATE(VLOOKUP(A5,Competitors!$A$2:$I$650,3, FALSE)," ",VLOOKUP(A5,Competitors!$A$2:$I$650,2,FALSE))))</f>
        <v/>
      </c>
      <c r="H5" s="20">
        <f t="shared" si="1"/>
        <v>0</v>
      </c>
      <c r="I5" t="str">
        <f t="shared" ca="1" si="2"/>
        <v/>
      </c>
      <c r="J5" s="40" t="s">
        <v>173</v>
      </c>
    </row>
    <row r="6" spans="1:10" ht="14.25" x14ac:dyDescent="0.15">
      <c r="A6" s="17" t="str">
        <f t="shared" ca="1" si="0"/>
        <v/>
      </c>
      <c r="B6" s="17"/>
      <c r="C6" s="17"/>
      <c r="D6" s="17"/>
      <c r="E6" s="17"/>
      <c r="F6" s="17"/>
      <c r="G6" s="19" t="str">
        <f ca="1">IF($A6="","",IF($I6="X",A6,CONCATENATE(VLOOKUP(A6,Competitors!$A$2:$I$650,3, FALSE)," ",VLOOKUP(A6,Competitors!$A$2:$I$650,2,FALSE))))</f>
        <v/>
      </c>
      <c r="H6" s="20">
        <f t="shared" si="1"/>
        <v>0</v>
      </c>
      <c r="I6" t="str">
        <f t="shared" ca="1" si="2"/>
        <v/>
      </c>
      <c r="J6" s="40" t="s">
        <v>173</v>
      </c>
    </row>
    <row r="7" spans="1:10" ht="14.25" x14ac:dyDescent="0.15">
      <c r="A7" s="17" t="str">
        <f t="shared" ca="1" si="0"/>
        <v/>
      </c>
      <c r="B7" s="17"/>
      <c r="C7" s="17"/>
      <c r="D7" s="17"/>
      <c r="E7" s="17"/>
      <c r="F7" s="17"/>
      <c r="G7" s="19" t="str">
        <f ca="1">IF($A7="","",IF($I7="X",A7,CONCATENATE(VLOOKUP(A7,Competitors!$A$2:$I$650,3, FALSE)," ",VLOOKUP(A7,Competitors!$A$2:$I$650,2,FALSE))))</f>
        <v/>
      </c>
      <c r="H7" s="20">
        <f t="shared" si="1"/>
        <v>0</v>
      </c>
      <c r="I7" t="str">
        <f t="shared" ca="1" si="2"/>
        <v/>
      </c>
      <c r="J7" s="40" t="s">
        <v>173</v>
      </c>
    </row>
    <row r="8" spans="1:10" ht="14.25" x14ac:dyDescent="0.15">
      <c r="A8" s="17" t="str">
        <f t="shared" ca="1" si="0"/>
        <v/>
      </c>
      <c r="B8" s="17"/>
      <c r="C8" s="17"/>
      <c r="D8" s="17"/>
      <c r="E8" s="17"/>
      <c r="F8" s="17"/>
      <c r="G8" s="19" t="str">
        <f ca="1">IF($A8="","",IF($I8="X",A8,CONCATENATE(VLOOKUP(A8,Competitors!$A$2:$I$650,3, FALSE)," ",VLOOKUP(A8,Competitors!$A$2:$I$650,2,FALSE))))</f>
        <v/>
      </c>
      <c r="H8" s="20">
        <f t="shared" si="1"/>
        <v>0</v>
      </c>
      <c r="I8" t="str">
        <f t="shared" ca="1" si="2"/>
        <v/>
      </c>
      <c r="J8" s="40" t="s">
        <v>173</v>
      </c>
    </row>
    <row r="9" spans="1:10" ht="14.25" x14ac:dyDescent="0.15">
      <c r="A9" s="17" t="str">
        <f t="shared" ca="1" si="0"/>
        <v/>
      </c>
      <c r="B9" s="17"/>
      <c r="C9" s="17"/>
      <c r="D9" s="17"/>
      <c r="E9" s="17"/>
      <c r="F9" s="17"/>
      <c r="G9" s="19" t="str">
        <f ca="1">IF($A9="","",IF($I9="X",A9,CONCATENATE(VLOOKUP(A9,Competitors!$A$2:$I$650,3, FALSE)," ",VLOOKUP(A9,Competitors!$A$2:$I$650,2,FALSE))))</f>
        <v/>
      </c>
      <c r="H9" s="20">
        <f t="shared" si="1"/>
        <v>0</v>
      </c>
      <c r="I9" t="str">
        <f t="shared" ca="1" si="2"/>
        <v/>
      </c>
      <c r="J9" s="40" t="s">
        <v>173</v>
      </c>
    </row>
    <row r="10" spans="1:10" ht="14.25" x14ac:dyDescent="0.15">
      <c r="A10" s="17" t="str">
        <f t="shared" ca="1" si="0"/>
        <v/>
      </c>
      <c r="B10" s="17"/>
      <c r="C10" s="17"/>
      <c r="D10" s="17"/>
      <c r="E10" s="17"/>
      <c r="F10" s="17"/>
      <c r="G10" s="19" t="str">
        <f ca="1">IF($A10="","",IF($I10="X",A10,CONCATENATE(VLOOKUP(A10,Competitors!$A$2:$I$650,3, FALSE)," ",VLOOKUP(A10,Competitors!$A$2:$I$650,2,FALSE))))</f>
        <v/>
      </c>
      <c r="H10" s="20">
        <f t="shared" si="1"/>
        <v>0</v>
      </c>
      <c r="I10" t="str">
        <f t="shared" ca="1" si="2"/>
        <v/>
      </c>
      <c r="J10" s="40" t="s">
        <v>173</v>
      </c>
    </row>
    <row r="11" spans="1:10" ht="14.25" x14ac:dyDescent="0.15">
      <c r="A11" s="17" t="str">
        <f t="shared" ca="1" si="0"/>
        <v/>
      </c>
      <c r="B11" s="17"/>
      <c r="C11" s="17"/>
      <c r="D11" s="17"/>
      <c r="E11" s="17"/>
      <c r="F11" s="17"/>
      <c r="G11" s="19" t="str">
        <f ca="1">IF($A11="","",IF($I11="X",A11,CONCATENATE(VLOOKUP(A11,Competitors!$A$2:$I$650,3, FALSE)," ",VLOOKUP(A11,Competitors!$A$2:$I$650,2,FALSE))))</f>
        <v/>
      </c>
      <c r="H11" s="20">
        <f t="shared" si="1"/>
        <v>0</v>
      </c>
      <c r="I11" t="str">
        <f t="shared" ca="1" si="2"/>
        <v/>
      </c>
      <c r="J11" s="40" t="s">
        <v>173</v>
      </c>
    </row>
    <row r="12" spans="1:10" ht="14.25" x14ac:dyDescent="0.15">
      <c r="A12" s="17" t="str">
        <f t="shared" ca="1" si="0"/>
        <v/>
      </c>
      <c r="B12" s="17"/>
      <c r="C12" s="17"/>
      <c r="D12" s="17"/>
      <c r="E12" s="17"/>
      <c r="F12" s="17"/>
      <c r="G12" s="19" t="str">
        <f ca="1">IF($A12="","",IF($I12="X",A12,CONCATENATE(VLOOKUP(A12,Competitors!$A$2:$I$650,3, FALSE)," ",VLOOKUP(A12,Competitors!$A$2:$I$650,2,FALSE))))</f>
        <v/>
      </c>
      <c r="H12" s="20">
        <f t="shared" si="1"/>
        <v>0</v>
      </c>
      <c r="I12" t="str">
        <f t="shared" ca="1" si="2"/>
        <v/>
      </c>
      <c r="J12" s="40" t="s">
        <v>173</v>
      </c>
    </row>
    <row r="13" spans="1:10" ht="14.25" x14ac:dyDescent="0.15">
      <c r="A13" s="17" t="str">
        <f t="shared" ca="1" si="0"/>
        <v/>
      </c>
      <c r="B13" s="17"/>
      <c r="C13" s="17"/>
      <c r="D13" s="17"/>
      <c r="E13" s="17"/>
      <c r="F13" s="17"/>
      <c r="G13" s="19" t="str">
        <f ca="1">IF($A13="","",IF($I13="X",A13,CONCATENATE(VLOOKUP(A13,Competitors!$A$2:$I$650,3, FALSE)," ",VLOOKUP(A13,Competitors!$A$2:$I$650,2,FALSE))))</f>
        <v/>
      </c>
      <c r="H13" s="20">
        <f t="shared" si="1"/>
        <v>0</v>
      </c>
      <c r="I13" t="str">
        <f t="shared" ca="1" si="2"/>
        <v/>
      </c>
      <c r="J13" s="40" t="s">
        <v>173</v>
      </c>
    </row>
    <row r="14" spans="1:10" ht="14.25" x14ac:dyDescent="0.15">
      <c r="A14" s="17" t="str">
        <f t="shared" ca="1" si="0"/>
        <v/>
      </c>
      <c r="B14" s="17"/>
      <c r="C14" s="17"/>
      <c r="D14" s="17"/>
      <c r="E14" s="17"/>
      <c r="F14" s="17"/>
      <c r="G14" s="19" t="str">
        <f ca="1">IF($A14="","",IF($I14="X",A14,CONCATENATE(VLOOKUP(A14,Competitors!$A$2:$I$650,3, FALSE)," ",VLOOKUP(A14,Competitors!$A$2:$I$650,2,FALSE))))</f>
        <v/>
      </c>
      <c r="H14" s="20">
        <f t="shared" si="1"/>
        <v>0</v>
      </c>
      <c r="I14" t="str">
        <f t="shared" ca="1" si="2"/>
        <v/>
      </c>
      <c r="J14" s="40" t="s">
        <v>173</v>
      </c>
    </row>
    <row r="15" spans="1:10" ht="14.25" x14ac:dyDescent="0.15">
      <c r="A15" s="17" t="str">
        <f t="shared" ca="1" si="0"/>
        <v/>
      </c>
      <c r="B15" s="17"/>
      <c r="C15" s="17"/>
      <c r="D15" s="17"/>
      <c r="E15" s="17"/>
      <c r="F15" s="17"/>
      <c r="G15" s="19" t="str">
        <f ca="1">IF($A15="","",IF($I15="X",A15,CONCATENATE(VLOOKUP(A15,Competitors!$A$2:$I$650,3, FALSE)," ",VLOOKUP(A15,Competitors!$A$2:$I$650,2,FALSE))))</f>
        <v/>
      </c>
      <c r="H15" s="20">
        <f t="shared" si="1"/>
        <v>0</v>
      </c>
      <c r="I15" t="str">
        <f t="shared" ca="1" si="2"/>
        <v/>
      </c>
      <c r="J15" s="40" t="s">
        <v>173</v>
      </c>
    </row>
    <row r="16" spans="1:10" ht="14.25" x14ac:dyDescent="0.15">
      <c r="A16" s="17" t="str">
        <f t="shared" ca="1" si="0"/>
        <v/>
      </c>
      <c r="B16" s="17"/>
      <c r="C16" s="17"/>
      <c r="D16" s="17"/>
      <c r="E16" s="17"/>
      <c r="F16" s="17"/>
      <c r="G16" s="19" t="str">
        <f ca="1">IF($A16="","",IF($I16="X",A16,CONCATENATE(VLOOKUP(A16,Competitors!$A$2:$I$650,3, FALSE)," ",VLOOKUP(A16,Competitors!$A$2:$I$650,2,FALSE))))</f>
        <v/>
      </c>
      <c r="H16" s="20">
        <f t="shared" si="1"/>
        <v>0</v>
      </c>
      <c r="I16" t="str">
        <f t="shared" ca="1" si="2"/>
        <v/>
      </c>
      <c r="J16" s="40" t="s">
        <v>173</v>
      </c>
    </row>
    <row r="17" spans="1:10" ht="14.25" x14ac:dyDescent="0.15">
      <c r="A17" s="17" t="str">
        <f t="shared" ca="1" si="0"/>
        <v/>
      </c>
      <c r="B17" s="17"/>
      <c r="C17" s="17"/>
      <c r="D17" s="17"/>
      <c r="E17" s="17"/>
      <c r="F17" s="17"/>
      <c r="G17" s="19" t="str">
        <f ca="1">IF($A17="","",IF($I17="X",A17,CONCATENATE(VLOOKUP(A17,Competitors!$A$2:$I$650,3, FALSE)," ",VLOOKUP(A17,Competitors!$A$2:$I$650,2,FALSE))))</f>
        <v/>
      </c>
      <c r="H17" s="20">
        <f t="shared" si="1"/>
        <v>0</v>
      </c>
      <c r="I17" t="str">
        <f t="shared" ca="1" si="2"/>
        <v/>
      </c>
      <c r="J17" s="40" t="s">
        <v>173</v>
      </c>
    </row>
    <row r="18" spans="1:10" ht="14.25" x14ac:dyDescent="0.15">
      <c r="A18" s="17" t="str">
        <f t="shared" ca="1" si="0"/>
        <v/>
      </c>
      <c r="B18" s="17"/>
      <c r="C18" s="17"/>
      <c r="D18" s="17"/>
      <c r="E18" s="17"/>
      <c r="F18" s="17"/>
      <c r="G18" s="19" t="str">
        <f ca="1">IF($A18="","",IF($I18="X",A18,CONCATENATE(VLOOKUP(A18,Competitors!$A$2:$I$650,3, FALSE)," ",VLOOKUP(A18,Competitors!$A$2:$I$650,2,FALSE))))</f>
        <v/>
      </c>
      <c r="H18" s="20">
        <f t="shared" si="1"/>
        <v>0</v>
      </c>
      <c r="I18" t="str">
        <f t="shared" ca="1" si="2"/>
        <v/>
      </c>
      <c r="J18" s="40" t="s">
        <v>173</v>
      </c>
    </row>
    <row r="19" spans="1:10" ht="14.25" x14ac:dyDescent="0.15">
      <c r="A19" s="17" t="str">
        <f t="shared" ca="1" si="0"/>
        <v/>
      </c>
      <c r="B19" s="17"/>
      <c r="C19" s="17"/>
      <c r="D19" s="17"/>
      <c r="E19" s="17"/>
      <c r="F19" s="17"/>
      <c r="G19" s="19" t="str">
        <f ca="1">IF($A19="","",IF($I19="X",A19,CONCATENATE(VLOOKUP(A19,Competitors!$A$2:$I$650,3, FALSE)," ",VLOOKUP(A19,Competitors!$A$2:$I$650,2,FALSE))))</f>
        <v/>
      </c>
      <c r="H19" s="20">
        <f t="shared" si="1"/>
        <v>0</v>
      </c>
      <c r="I19" t="str">
        <f t="shared" ca="1" si="2"/>
        <v/>
      </c>
      <c r="J19" s="40" t="s">
        <v>173</v>
      </c>
    </row>
    <row r="20" spans="1:10" ht="14.25" x14ac:dyDescent="0.15">
      <c r="A20" s="17" t="str">
        <f t="shared" ca="1" si="0"/>
        <v/>
      </c>
      <c r="B20" s="17"/>
      <c r="C20" s="17"/>
      <c r="D20" s="17"/>
      <c r="E20" s="17"/>
      <c r="F20" s="17"/>
      <c r="G20" s="19" t="str">
        <f ca="1">IF($A20="","",IF($I20="X",A20,CONCATENATE(VLOOKUP(A20,Competitors!$A$2:$I$650,3, FALSE)," ",VLOOKUP(A20,Competitors!$A$2:$I$650,2,FALSE))))</f>
        <v/>
      </c>
      <c r="H20" s="20">
        <f t="shared" si="1"/>
        <v>0</v>
      </c>
      <c r="I20" t="str">
        <f t="shared" ca="1" si="2"/>
        <v/>
      </c>
      <c r="J20" s="40" t="s">
        <v>173</v>
      </c>
    </row>
    <row r="21" spans="1:10" ht="14.25" x14ac:dyDescent="0.15">
      <c r="A21" s="17" t="str">
        <f t="shared" ca="1" si="0"/>
        <v/>
      </c>
      <c r="B21" s="17"/>
      <c r="C21" s="17"/>
      <c r="D21" s="17"/>
      <c r="E21" s="17"/>
      <c r="F21" s="17"/>
      <c r="G21" s="19" t="str">
        <f ca="1">IF($A21="","",IF($I21="X",A21,CONCATENATE(VLOOKUP(A21,Competitors!$A$2:$I$650,3, FALSE)," ",VLOOKUP(A21,Competitors!$A$2:$I$650,2,FALSE))))</f>
        <v/>
      </c>
      <c r="H21" s="20">
        <f t="shared" si="1"/>
        <v>0</v>
      </c>
      <c r="I21" t="str">
        <f t="shared" ca="1" si="2"/>
        <v/>
      </c>
      <c r="J21" s="40" t="s">
        <v>173</v>
      </c>
    </row>
    <row r="22" spans="1:10" ht="14.25" x14ac:dyDescent="0.15">
      <c r="A22" s="17" t="str">
        <f t="shared" ca="1" si="0"/>
        <v/>
      </c>
      <c r="B22" s="17"/>
      <c r="C22" s="17"/>
      <c r="D22" s="17"/>
      <c r="E22" s="17"/>
      <c r="F22" s="17"/>
      <c r="G22" s="19" t="str">
        <f ca="1">IF($A22="","",IF($I22="X",A22,CONCATENATE(VLOOKUP(A22,Competitors!$A$2:$I$650,3, FALSE)," ",VLOOKUP(A22,Competitors!$A$2:$I$650,2,FALSE))))</f>
        <v/>
      </c>
      <c r="H22" s="20">
        <f t="shared" si="1"/>
        <v>0</v>
      </c>
      <c r="I22" t="str">
        <f t="shared" ca="1" si="2"/>
        <v/>
      </c>
      <c r="J22" s="40" t="s">
        <v>173</v>
      </c>
    </row>
    <row r="23" spans="1:10" ht="14.25" x14ac:dyDescent="0.15">
      <c r="A23" s="17" t="str">
        <f t="shared" ca="1" si="0"/>
        <v/>
      </c>
      <c r="B23" s="17"/>
      <c r="C23" s="17"/>
      <c r="D23" s="17"/>
      <c r="E23" s="17"/>
      <c r="F23" s="17"/>
      <c r="G23" s="19" t="str">
        <f ca="1">IF($A23="","",IF($I23="X",A23,CONCATENATE(VLOOKUP(A23,Competitors!$A$2:$I$650,3, FALSE)," ",VLOOKUP(A23,Competitors!$A$2:$I$650,2,FALSE))))</f>
        <v/>
      </c>
      <c r="H23" s="20">
        <f t="shared" si="1"/>
        <v>0</v>
      </c>
      <c r="I23" t="str">
        <f t="shared" ca="1" si="2"/>
        <v/>
      </c>
      <c r="J23" s="40" t="s">
        <v>173</v>
      </c>
    </row>
    <row r="24" spans="1:10" ht="14.25" x14ac:dyDescent="0.15">
      <c r="A24" s="17" t="str">
        <f t="shared" ca="1" si="0"/>
        <v/>
      </c>
      <c r="B24" s="17"/>
      <c r="C24" s="17"/>
      <c r="D24" s="17"/>
      <c r="E24" s="17"/>
      <c r="F24" s="17"/>
      <c r="G24" s="19" t="str">
        <f ca="1">IF($A24="","",IF($I24="X",A24,CONCATENATE(VLOOKUP(A24,Competitors!$A$2:$I$650,3, FALSE)," ",VLOOKUP(A24,Competitors!$A$2:$I$650,2,FALSE))))</f>
        <v/>
      </c>
      <c r="H24" s="20">
        <f t="shared" si="1"/>
        <v>0</v>
      </c>
      <c r="I24" t="str">
        <f t="shared" ca="1" si="2"/>
        <v/>
      </c>
      <c r="J24" s="40" t="s">
        <v>173</v>
      </c>
    </row>
    <row r="25" spans="1:10" ht="14.25" x14ac:dyDescent="0.15">
      <c r="A25" s="17" t="str">
        <f t="shared" ca="1" si="0"/>
        <v/>
      </c>
      <c r="B25" s="17"/>
      <c r="C25" s="17"/>
      <c r="D25" s="17"/>
      <c r="E25" s="17"/>
      <c r="F25" s="17"/>
      <c r="G25" s="19" t="str">
        <f ca="1">IF($A25="","",IF($I25="X",A25,CONCATENATE(VLOOKUP(A25,Competitors!$A$2:$I$650,3, FALSE)," ",VLOOKUP(A25,Competitors!$A$2:$I$650,2,FALSE))))</f>
        <v/>
      </c>
      <c r="H25" s="20">
        <f t="shared" si="1"/>
        <v>0</v>
      </c>
      <c r="I25" t="str">
        <f t="shared" ca="1" si="2"/>
        <v/>
      </c>
      <c r="J25" s="40" t="s">
        <v>173</v>
      </c>
    </row>
    <row r="26" spans="1:10" ht="14.25" x14ac:dyDescent="0.15">
      <c r="A26" s="17" t="str">
        <f t="shared" ca="1" si="0"/>
        <v/>
      </c>
      <c r="B26" s="17"/>
      <c r="C26" s="17"/>
      <c r="D26" s="17"/>
      <c r="E26" s="17"/>
      <c r="F26" s="17"/>
      <c r="G26" s="19" t="str">
        <f ca="1">IF($A26="","",IF($I26="X",A26,CONCATENATE(VLOOKUP(A26,Competitors!$A$2:$I$650,3, FALSE)," ",VLOOKUP(A26,Competitors!$A$2:$I$650,2,FALSE))))</f>
        <v/>
      </c>
      <c r="H26" s="20">
        <f t="shared" si="1"/>
        <v>0</v>
      </c>
      <c r="I26" t="str">
        <f t="shared" ca="1" si="2"/>
        <v/>
      </c>
      <c r="J26" s="40" t="s">
        <v>173</v>
      </c>
    </row>
    <row r="27" spans="1:10" ht="14.25" x14ac:dyDescent="0.15">
      <c r="A27" s="17" t="str">
        <f t="shared" ca="1" si="0"/>
        <v/>
      </c>
      <c r="B27" s="17"/>
      <c r="C27" s="17"/>
      <c r="D27" s="17"/>
      <c r="E27" s="17"/>
      <c r="F27" s="17"/>
      <c r="G27" s="19" t="str">
        <f ca="1">IF($A27="","",IF($I27="X",A27,CONCATENATE(VLOOKUP(A27,Competitors!$A$2:$I$650,3, FALSE)," ",VLOOKUP(A27,Competitors!$A$2:$I$650,2,FALSE))))</f>
        <v/>
      </c>
      <c r="H27" s="20">
        <f t="shared" si="1"/>
        <v>0</v>
      </c>
      <c r="I27" t="str">
        <f t="shared" ca="1" si="2"/>
        <v/>
      </c>
      <c r="J27" s="40" t="s">
        <v>173</v>
      </c>
    </row>
    <row r="28" spans="1:10" ht="14.25" x14ac:dyDescent="0.15">
      <c r="A28" s="17" t="str">
        <f t="shared" ca="1" si="0"/>
        <v/>
      </c>
      <c r="B28" s="17"/>
      <c r="C28" s="17"/>
      <c r="D28" s="17"/>
      <c r="E28" s="17"/>
      <c r="F28" s="17"/>
      <c r="G28" s="19" t="str">
        <f ca="1">IF($A28="","",IF($I28="X",A28,CONCATENATE(VLOOKUP(A28,Competitors!$A$2:$I$650,3, FALSE)," ",VLOOKUP(A28,Competitors!$A$2:$I$650,2,FALSE))))</f>
        <v/>
      </c>
      <c r="H28" s="20">
        <f t="shared" si="1"/>
        <v>0</v>
      </c>
      <c r="I28" t="str">
        <f t="shared" ca="1" si="2"/>
        <v/>
      </c>
      <c r="J28" s="40" t="s">
        <v>173</v>
      </c>
    </row>
    <row r="29" spans="1:10" ht="14.25" x14ac:dyDescent="0.15">
      <c r="A29" s="17" t="str">
        <f t="shared" ca="1" si="0"/>
        <v/>
      </c>
      <c r="B29" s="17"/>
      <c r="C29" s="17"/>
      <c r="D29" s="17"/>
      <c r="E29" s="17"/>
      <c r="F29" s="17"/>
      <c r="G29" s="19" t="str">
        <f ca="1">IF($A29="","",IF($I29="X",A29,CONCATENATE(VLOOKUP(A29,Competitors!$A$2:$I$650,3, FALSE)," ",VLOOKUP(A29,Competitors!$A$2:$I$650,2,FALSE))))</f>
        <v/>
      </c>
      <c r="H29" s="20">
        <f t="shared" si="1"/>
        <v>0</v>
      </c>
      <c r="I29" t="str">
        <f t="shared" ca="1" si="2"/>
        <v/>
      </c>
      <c r="J29" s="40" t="s">
        <v>173</v>
      </c>
    </row>
    <row r="30" spans="1:10" ht="14.25" x14ac:dyDescent="0.15">
      <c r="A30" s="17" t="str">
        <f t="shared" ca="1" si="0"/>
        <v/>
      </c>
      <c r="B30" s="17"/>
      <c r="C30" s="17"/>
      <c r="D30" s="17"/>
      <c r="E30" s="17"/>
      <c r="F30" s="17"/>
      <c r="G30" s="19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17" t="str">
        <f t="shared" ca="1" si="0"/>
        <v/>
      </c>
      <c r="B31" s="17"/>
      <c r="C31" s="17"/>
      <c r="D31" s="17"/>
      <c r="E31" s="17"/>
      <c r="F31" s="17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7"/>
      <c r="D32" s="17"/>
      <c r="E32" s="17"/>
      <c r="F32" s="17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7"/>
      <c r="D33" s="17"/>
      <c r="E33" s="17"/>
      <c r="F33" s="17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7"/>
      <c r="D34" s="17"/>
      <c r="E34" s="17"/>
      <c r="F34" s="17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7"/>
      <c r="D35" s="17"/>
      <c r="E35" s="17"/>
      <c r="F35" s="17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7"/>
      <c r="D36" s="17"/>
      <c r="E36" s="17"/>
      <c r="F36" s="17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7"/>
      <c r="D37" s="17"/>
      <c r="E37" s="17"/>
      <c r="F37" s="17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7"/>
      <c r="D38" s="17"/>
      <c r="E38" s="17"/>
      <c r="F38" s="17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7"/>
      <c r="D39" s="17"/>
      <c r="E39" s="17"/>
      <c r="F39" s="17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7"/>
      <c r="D40" s="17"/>
      <c r="E40" s="17"/>
      <c r="F40" s="17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7"/>
      <c r="D41" s="17"/>
      <c r="E41" s="17"/>
      <c r="F41" s="17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7"/>
      <c r="D42" s="17"/>
      <c r="E42" s="17"/>
      <c r="F42" s="17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7"/>
      <c r="D43" s="17"/>
      <c r="E43" s="17"/>
      <c r="F43" s="17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7"/>
      <c r="D44" s="17"/>
      <c r="E44" s="17"/>
      <c r="F44" s="17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7"/>
      <c r="D45" s="17"/>
      <c r="E45" s="17"/>
      <c r="F45" s="17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7"/>
      <c r="D46" s="17"/>
      <c r="E46" s="17"/>
      <c r="F46" s="17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7"/>
      <c r="D47" s="17"/>
      <c r="E47" s="17"/>
      <c r="F47" s="17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7"/>
      <c r="D48" s="17"/>
      <c r="E48" s="17"/>
      <c r="F48" s="17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7"/>
      <c r="D49" s="17"/>
      <c r="E49" s="17"/>
      <c r="F49" s="17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7"/>
      <c r="D50" s="17"/>
      <c r="E50" s="17"/>
      <c r="F50" s="17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7"/>
      <c r="D51" s="17"/>
      <c r="E51" s="17"/>
      <c r="F51" s="17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7"/>
      <c r="D52" s="17"/>
      <c r="E52" s="17"/>
      <c r="F52" s="17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7"/>
      <c r="D53" s="17"/>
      <c r="E53" s="17"/>
      <c r="F53" s="17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7"/>
      <c r="D54" s="17"/>
      <c r="E54" s="17"/>
      <c r="F54" s="17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7"/>
      <c r="D55" s="17"/>
      <c r="E55" s="17"/>
      <c r="F55" s="17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7"/>
      <c r="D56" s="17"/>
      <c r="E56" s="17"/>
      <c r="F56" s="17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7"/>
      <c r="D57" s="17"/>
      <c r="E57" s="17"/>
      <c r="F57" s="17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7"/>
      <c r="D58" s="17"/>
      <c r="E58" s="17"/>
      <c r="F58" s="17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7"/>
      <c r="D59" s="17"/>
      <c r="E59" s="17"/>
      <c r="F59" s="17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7"/>
      <c r="D60" s="17"/>
      <c r="E60" s="17"/>
      <c r="F60" s="17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7"/>
      <c r="D61" s="17"/>
      <c r="E61" s="17"/>
      <c r="F61" s="17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7"/>
      <c r="D62" s="17"/>
      <c r="E62" s="17"/>
      <c r="F62" s="17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7"/>
      <c r="D63" s="17"/>
      <c r="E63" s="17"/>
      <c r="F63" s="17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7"/>
      <c r="D64" s="17"/>
      <c r="E64" s="17"/>
      <c r="F64" s="17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7"/>
      <c r="D65" s="17"/>
      <c r="E65" s="17"/>
      <c r="F65" s="17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7"/>
      <c r="D66" s="17"/>
      <c r="E66" s="17"/>
      <c r="F66" s="17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7"/>
      <c r="D67" s="17"/>
      <c r="E67" s="17"/>
      <c r="F67" s="17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7"/>
      <c r="D68" s="17"/>
      <c r="E68" s="17"/>
      <c r="F68" s="17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7"/>
      <c r="D69" s="17"/>
      <c r="E69" s="17"/>
      <c r="F69" s="17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7"/>
      <c r="D70" s="17"/>
      <c r="E70" s="17"/>
      <c r="F70" s="17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7"/>
      <c r="D71" s="17"/>
      <c r="E71" s="17"/>
      <c r="F71" s="17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7"/>
      <c r="D72" s="17"/>
      <c r="E72" s="17"/>
      <c r="F72" s="17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7"/>
      <c r="D73" s="17"/>
      <c r="E73" s="17"/>
      <c r="F73" s="17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7"/>
      <c r="D74" s="17"/>
      <c r="E74" s="17"/>
      <c r="F74" s="17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7"/>
      <c r="D75" s="17"/>
      <c r="E75" s="17"/>
      <c r="F75" s="17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7"/>
      <c r="D76" s="17"/>
      <c r="E76" s="17"/>
      <c r="F76" s="17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7"/>
      <c r="D77" s="17"/>
      <c r="E77" s="17"/>
      <c r="F77" s="17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7"/>
      <c r="D78" s="17"/>
      <c r="E78" s="17"/>
      <c r="F78" s="17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7"/>
      <c r="D79" s="17"/>
      <c r="E79" s="17"/>
      <c r="F79" s="17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7"/>
      <c r="D80" s="17"/>
      <c r="E80" s="17"/>
      <c r="F80" s="17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7"/>
      <c r="D81" s="17"/>
      <c r="E81" s="17"/>
      <c r="F81" s="17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7"/>
      <c r="D82" s="17"/>
      <c r="E82" s="17"/>
      <c r="F82" s="17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7"/>
      <c r="D83" s="17"/>
      <c r="E83" s="17"/>
      <c r="F83" s="17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7"/>
      <c r="D84" s="17"/>
      <c r="E84" s="17"/>
      <c r="F84" s="17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7"/>
      <c r="D85" s="17"/>
      <c r="E85" s="17"/>
      <c r="F85" s="17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7"/>
      <c r="D86" s="17"/>
      <c r="E86" s="17"/>
      <c r="F86" s="17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7"/>
      <c r="D87" s="17"/>
      <c r="E87" s="17"/>
      <c r="F87" s="17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7"/>
      <c r="D88" s="17"/>
      <c r="E88" s="17"/>
      <c r="F88" s="17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7"/>
      <c r="D89" s="17"/>
      <c r="E89" s="17"/>
      <c r="F89" s="17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7"/>
      <c r="D90" s="17"/>
      <c r="E90" s="17"/>
      <c r="F90" s="17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7"/>
      <c r="D91" s="17"/>
      <c r="E91" s="17"/>
      <c r="F91" s="17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7"/>
      <c r="D92" s="17"/>
      <c r="E92" s="17"/>
      <c r="F92" s="17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7"/>
      <c r="D93" s="17"/>
      <c r="E93" s="17"/>
      <c r="F93" s="17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7"/>
      <c r="D94" s="17"/>
      <c r="E94" s="17"/>
      <c r="F94" s="17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7"/>
      <c r="D95" s="17"/>
      <c r="E95" s="17"/>
      <c r="F95" s="17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7"/>
      <c r="D96" s="17"/>
      <c r="E96" s="17"/>
      <c r="F96" s="17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7"/>
      <c r="D97" s="17"/>
      <c r="E97" s="17"/>
      <c r="F97" s="17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7"/>
      <c r="D98" s="17"/>
      <c r="E98" s="17"/>
      <c r="F98" s="17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7"/>
      <c r="D99" s="17"/>
      <c r="E99" s="17"/>
      <c r="F99" s="17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7"/>
      <c r="D100" s="17"/>
      <c r="E100" s="17"/>
      <c r="F100" s="17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7"/>
      <c r="D101" s="17"/>
      <c r="E101" s="17"/>
      <c r="F101" s="17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59" priority="1">
      <formula>TEXT($B$104,"@")="Y"</formula>
    </cfRule>
  </conditionalFormatting>
  <conditionalFormatting sqref="G2:H101">
    <cfRule type="expression" dxfId="58" priority="3">
      <formula>$I2="X"</formula>
    </cfRule>
  </conditionalFormatting>
  <conditionalFormatting sqref="H2:H101">
    <cfRule type="expression" dxfId="57" priority="2">
      <formula>TEXT($B$104,"@")="Y"</formula>
    </cfRule>
  </conditionalFormatting>
  <printOptions horizontalCentered="1"/>
  <pageMargins left="0.62992125984251968" right="0.70866141732283472" top="1.7322834645669292" bottom="0.39370078740157483" header="0.31496062992125984" footer="0.31496062992125984"/>
  <pageSetup paperSize="9" scale="45" orientation="portrait" r:id="rId1"/>
  <headerFooter>
    <oddHeader>&amp;C&amp;24WVCC champs 2016 results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3D20-E91F-483C-AE62-443B175117B1}">
  <sheetPr codeName="Sheet40">
    <pageSetUpPr fitToPage="1"/>
  </sheetPr>
  <dimension ref="A1:J104"/>
  <sheetViews>
    <sheetView topLeftCell="A7" zoomScaleNormal="100" workbookViewId="0">
      <selection activeCell="O11" sqref="O11"/>
    </sheetView>
  </sheetViews>
  <sheetFormatPr defaultColWidth="9.16796875" defaultRowHeight="12.75" x14ac:dyDescent="0.15"/>
  <cols>
    <col min="1" max="1" width="22.3828125" bestFit="1" customWidth="1"/>
    <col min="2" max="4" width="4.71875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  <col min="10" max="10" width="16.31640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>
        <f t="shared" ref="A2:A33" ca="1" si="0">IF(J2="","",_xlfn.XLOOKUP(J2,ClubNames,ClubNumbers,_xlfn.XLOOKUP(J2,RoundRobinRiderNames,RoundRobinRiderDecoratedNames,J2)))</f>
        <v>407</v>
      </c>
      <c r="B2" s="17">
        <v>0</v>
      </c>
      <c r="C2" s="17">
        <v>21</v>
      </c>
      <c r="D2" s="17">
        <v>40</v>
      </c>
      <c r="E2" s="17"/>
      <c r="F2" s="17"/>
      <c r="G2" s="19" t="str">
        <f ca="1">IF($A2="","",IF($I2="X",A2,CONCATENATE(VLOOKUP(A2,Competitors!$A$2:$I$650,3, FALSE)," ",VLOOKUP(A2,Competitors!$A$2:$I$650,2,FALSE))))</f>
        <v>Hans van Nierop</v>
      </c>
      <c r="H2" s="20">
        <f>IF(LEFT($E2,1)="D",UPPER($E2),(B2*3600+C2*60+D2)/86400)</f>
        <v>1.5046296296296295E-2</v>
      </c>
      <c r="I2" t="str">
        <f ca="1">IF(OR(A2="",ISNUMBER(A2)),"","X")</f>
        <v/>
      </c>
      <c r="J2" s="40" t="s">
        <v>583</v>
      </c>
    </row>
    <row r="3" spans="1:10" ht="14.25" x14ac:dyDescent="0.15">
      <c r="A3" s="17">
        <f t="shared" ca="1" si="0"/>
        <v>1161</v>
      </c>
      <c r="B3" s="17">
        <v>0</v>
      </c>
      <c r="C3" s="17">
        <v>22</v>
      </c>
      <c r="D3" s="17">
        <v>40</v>
      </c>
      <c r="E3" s="17"/>
      <c r="F3" s="17"/>
      <c r="G3" s="19" t="str">
        <f ca="1">IF($A3="","",IF($I3="X",A3,CONCATENATE(VLOOKUP(A3,Competitors!$A$2:$I$650,3, FALSE)," ",VLOOKUP(A3,Competitors!$A$2:$I$650,2,FALSE))))</f>
        <v>Maciej Suchocki</v>
      </c>
      <c r="H3" s="20">
        <f t="shared" ref="H3:H66" si="1">IF(LEFT($E3,1)="D",UPPER($E3),(B3*3600+C3*60+D3)/86400)</f>
        <v>1.5740740740740739E-2</v>
      </c>
      <c r="I3" t="str">
        <f t="shared" ref="I3:I66" ca="1" si="2">IF(OR(A3="",ISNUMBER(A3)),"","X")</f>
        <v/>
      </c>
      <c r="J3" s="40" t="s">
        <v>587</v>
      </c>
    </row>
    <row r="4" spans="1:10" ht="14.25" x14ac:dyDescent="0.15">
      <c r="A4" s="17">
        <f t="shared" ca="1" si="0"/>
        <v>35</v>
      </c>
      <c r="B4" s="17">
        <v>0</v>
      </c>
      <c r="C4" s="17">
        <v>22</v>
      </c>
      <c r="D4" s="17">
        <v>43</v>
      </c>
      <c r="E4" s="17"/>
      <c r="F4" s="17"/>
      <c r="G4" s="19" t="str">
        <f ca="1">IF($A4="","",IF($I4="X",A4,CONCATENATE(VLOOKUP(A4,Competitors!$A$2:$I$650,3, FALSE)," ",VLOOKUP(A4,Competitors!$A$2:$I$650,2,FALSE))))</f>
        <v>Matt Plews</v>
      </c>
      <c r="H4" s="20">
        <f t="shared" si="1"/>
        <v>1.5775462962962963E-2</v>
      </c>
      <c r="I4" t="str">
        <f t="shared" ca="1" si="2"/>
        <v/>
      </c>
      <c r="J4" s="40" t="s">
        <v>588</v>
      </c>
    </row>
    <row r="5" spans="1:10" ht="14.25" x14ac:dyDescent="0.15">
      <c r="A5" s="17">
        <f t="shared" ca="1" si="0"/>
        <v>1094</v>
      </c>
      <c r="B5" s="17">
        <v>0</v>
      </c>
      <c r="C5" s="17">
        <v>23</v>
      </c>
      <c r="D5" s="17">
        <v>40</v>
      </c>
      <c r="E5" s="17"/>
      <c r="F5" s="17"/>
      <c r="G5" s="19" t="str">
        <f ca="1">IF($A5="","",IF($I5="X",A5,CONCATENATE(VLOOKUP(A5,Competitors!$A$2:$I$650,3, FALSE)," ",VLOOKUP(A5,Competitors!$A$2:$I$650,2,FALSE))))</f>
        <v>Andy Poulton</v>
      </c>
      <c r="H5" s="20">
        <f t="shared" si="1"/>
        <v>1.6435185185185185E-2</v>
      </c>
      <c r="I5" t="str">
        <f t="shared" ca="1" si="2"/>
        <v/>
      </c>
      <c r="J5" s="40" t="s">
        <v>579</v>
      </c>
    </row>
    <row r="6" spans="1:10" ht="14.25" x14ac:dyDescent="0.15">
      <c r="A6" s="17">
        <f t="shared" ca="1" si="0"/>
        <v>1192</v>
      </c>
      <c r="B6" s="17">
        <v>0</v>
      </c>
      <c r="C6" s="17">
        <v>23</v>
      </c>
      <c r="D6" s="17">
        <v>42</v>
      </c>
      <c r="E6" s="17"/>
      <c r="F6" s="17"/>
      <c r="G6" s="19" t="str">
        <f ca="1">IF($A6="","",IF($I6="X",A6,CONCATENATE(VLOOKUP(A6,Competitors!$A$2:$I$650,3, FALSE)," ",VLOOKUP(A6,Competitors!$A$2:$I$650,2,FALSE))))</f>
        <v>Dale Norris</v>
      </c>
      <c r="H6" s="20">
        <f t="shared" si="1"/>
        <v>1.6458333333333332E-2</v>
      </c>
      <c r="I6" t="str">
        <f t="shared" ca="1" si="2"/>
        <v/>
      </c>
      <c r="J6" s="40" t="s">
        <v>590</v>
      </c>
    </row>
    <row r="7" spans="1:10" ht="14.25" x14ac:dyDescent="0.15">
      <c r="A7" s="17">
        <f t="shared" ca="1" si="0"/>
        <v>203</v>
      </c>
      <c r="B7" s="17">
        <v>0</v>
      </c>
      <c r="C7" s="17">
        <v>24</v>
      </c>
      <c r="D7" s="17">
        <v>24</v>
      </c>
      <c r="E7" s="17"/>
      <c r="F7" s="17"/>
      <c r="G7" s="19" t="str">
        <f ca="1">IF($A7="","",IF($I7="X",A7,CONCATENATE(VLOOKUP(A7,Competitors!$A$2:$I$650,3, FALSE)," ",VLOOKUP(A7,Competitors!$A$2:$I$650,2,FALSE))))</f>
        <v>Adrian Killworth</v>
      </c>
      <c r="H7" s="20">
        <f t="shared" si="1"/>
        <v>1.6944444444444446E-2</v>
      </c>
      <c r="I7" t="str">
        <f t="shared" ca="1" si="2"/>
        <v/>
      </c>
      <c r="J7" s="40" t="s">
        <v>603</v>
      </c>
    </row>
    <row r="8" spans="1:10" ht="14.25" x14ac:dyDescent="0.15">
      <c r="A8" s="17">
        <f t="shared" ca="1" si="0"/>
        <v>846</v>
      </c>
      <c r="B8" s="17">
        <v>0</v>
      </c>
      <c r="C8" s="17">
        <v>24</v>
      </c>
      <c r="D8" s="17">
        <v>58</v>
      </c>
      <c r="E8" s="17"/>
      <c r="F8" s="17"/>
      <c r="G8" s="19" t="str">
        <f ca="1">IF($A8="","",IF($I8="X",A8,CONCATENATE(VLOOKUP(A8,Competitors!$A$2:$I$650,3, FALSE)," ",VLOOKUP(A8,Competitors!$A$2:$I$650,2,FALSE))))</f>
        <v>Roger Kockelbergh</v>
      </c>
      <c r="H8" s="20">
        <f t="shared" si="1"/>
        <v>1.7337962962962961E-2</v>
      </c>
      <c r="I8" t="str">
        <f t="shared" ca="1" si="2"/>
        <v/>
      </c>
      <c r="J8" s="40" t="s">
        <v>601</v>
      </c>
    </row>
    <row r="9" spans="1:10" ht="14.25" x14ac:dyDescent="0.15">
      <c r="A9" s="17">
        <f t="shared" ca="1" si="0"/>
        <v>23</v>
      </c>
      <c r="B9" s="17">
        <v>0</v>
      </c>
      <c r="C9" s="17">
        <v>25</v>
      </c>
      <c r="D9" s="17">
        <v>37</v>
      </c>
      <c r="E9" s="17"/>
      <c r="F9" s="17"/>
      <c r="G9" s="19" t="str">
        <f ca="1">IF($A9="","",IF($I9="X",A9,CONCATENATE(VLOOKUP(A9,Competitors!$A$2:$I$650,3, FALSE)," ",VLOOKUP(A9,Competitors!$A$2:$I$650,2,FALSE))))</f>
        <v>Chris Hyde</v>
      </c>
      <c r="H9" s="20">
        <f t="shared" si="1"/>
        <v>1.7789351851851851E-2</v>
      </c>
      <c r="I9" t="str">
        <f t="shared" ca="1" si="2"/>
        <v/>
      </c>
      <c r="J9" s="40" t="s">
        <v>606</v>
      </c>
    </row>
    <row r="10" spans="1:10" ht="14.25" x14ac:dyDescent="0.15">
      <c r="A10" s="17">
        <f t="shared" ca="1" si="0"/>
        <v>616</v>
      </c>
      <c r="B10" s="17">
        <v>0</v>
      </c>
      <c r="C10" s="17">
        <v>25</v>
      </c>
      <c r="D10" s="17">
        <v>48</v>
      </c>
      <c r="E10" s="17"/>
      <c r="F10" s="17"/>
      <c r="G10" s="19" t="str">
        <f ca="1">IF($A10="","",IF($I10="X",A10,CONCATENATE(VLOOKUP(A10,Competitors!$A$2:$I$650,3, FALSE)," ",VLOOKUP(A10,Competitors!$A$2:$I$650,2,FALSE))))</f>
        <v>Simon Ward</v>
      </c>
      <c r="H10" s="20">
        <f t="shared" si="1"/>
        <v>1.7916666666666668E-2</v>
      </c>
      <c r="I10" t="str">
        <f t="shared" ca="1" si="2"/>
        <v/>
      </c>
      <c r="J10" s="40" t="s">
        <v>610</v>
      </c>
    </row>
    <row r="11" spans="1:10" ht="14.25" x14ac:dyDescent="0.15">
      <c r="A11" s="17" t="str">
        <f t="shared" ca="1" si="0"/>
        <v>Chris Bonsor (Ratae)</v>
      </c>
      <c r="B11" s="17">
        <v>0</v>
      </c>
      <c r="C11" s="17">
        <v>26</v>
      </c>
      <c r="D11" s="17">
        <v>53</v>
      </c>
      <c r="E11" s="17" t="s">
        <v>170</v>
      </c>
      <c r="F11" s="17"/>
      <c r="G11" s="19" t="str">
        <f ca="1">IF($A11="","",IF($I11="X",A11,CONCATENATE(VLOOKUP(A11,Competitors!$A$2:$I$650,3, FALSE)," ",VLOOKUP(A11,Competitors!$A$2:$I$650,2,FALSE))))</f>
        <v>Chris Bonsor (Ratae)</v>
      </c>
      <c r="H11" s="20">
        <f t="shared" si="1"/>
        <v>1.8668981481481481E-2</v>
      </c>
      <c r="I11" t="str">
        <f t="shared" ca="1" si="2"/>
        <v>X</v>
      </c>
      <c r="J11" s="40" t="s">
        <v>141</v>
      </c>
    </row>
    <row r="12" spans="1:10" ht="14.25" x14ac:dyDescent="0.15">
      <c r="A12" s="17">
        <f t="shared" ca="1" si="0"/>
        <v>704</v>
      </c>
      <c r="B12" s="17">
        <v>0</v>
      </c>
      <c r="C12" s="17">
        <v>26</v>
      </c>
      <c r="D12" s="17">
        <v>53</v>
      </c>
      <c r="E12" s="17" t="s">
        <v>170</v>
      </c>
      <c r="F12" s="17"/>
      <c r="G12" s="19" t="str">
        <f ca="1">IF($A12="","",IF($I12="X",A12,CONCATENATE(VLOOKUP(A12,Competitors!$A$2:$I$650,3, FALSE)," ",VLOOKUP(A12,Competitors!$A$2:$I$650,2,FALSE))))</f>
        <v>Chris Dainty</v>
      </c>
      <c r="H12" s="20">
        <f t="shared" si="1"/>
        <v>1.8668981481481481E-2</v>
      </c>
      <c r="I12" t="str">
        <f t="shared" ca="1" si="2"/>
        <v/>
      </c>
      <c r="J12" s="40" t="s">
        <v>605</v>
      </c>
    </row>
    <row r="13" spans="1:10" ht="14.25" x14ac:dyDescent="0.15">
      <c r="A13" s="17">
        <f t="shared" ca="1" si="0"/>
        <v>1129</v>
      </c>
      <c r="B13" s="17">
        <v>0</v>
      </c>
      <c r="C13" s="17">
        <v>28</v>
      </c>
      <c r="D13" s="17">
        <v>16</v>
      </c>
      <c r="E13" s="17" t="s">
        <v>170</v>
      </c>
      <c r="F13" s="17"/>
      <c r="G13" s="19" t="str">
        <f ca="1">IF($A13="","",IF($I13="X",A13,CONCATENATE(VLOOKUP(A13,Competitors!$A$2:$I$650,3, FALSE)," ",VLOOKUP(A13,Competitors!$A$2:$I$650,2,FALSE))))</f>
        <v>Doug Tincello</v>
      </c>
      <c r="H13" s="20">
        <f t="shared" si="1"/>
        <v>1.9629629629629629E-2</v>
      </c>
      <c r="I13" t="str">
        <f t="shared" ca="1" si="2"/>
        <v/>
      </c>
      <c r="J13" s="40" t="s">
        <v>596</v>
      </c>
    </row>
    <row r="14" spans="1:10" ht="14.25" x14ac:dyDescent="0.15">
      <c r="A14" s="17">
        <f t="shared" ca="1" si="0"/>
        <v>1195</v>
      </c>
      <c r="B14" s="17">
        <v>0</v>
      </c>
      <c r="C14" s="17">
        <v>28</v>
      </c>
      <c r="D14" s="17">
        <v>58</v>
      </c>
      <c r="E14" s="17" t="s">
        <v>170</v>
      </c>
      <c r="F14" s="17"/>
      <c r="G14" s="19" t="str">
        <f ca="1">IF($A14="","",IF($I14="X",A14,CONCATENATE(VLOOKUP(A14,Competitors!$A$2:$I$650,3, FALSE)," ",VLOOKUP(A14,Competitors!$A$2:$I$650,2,FALSE))))</f>
        <v>Charlie Hardwicke</v>
      </c>
      <c r="H14" s="20">
        <f t="shared" si="1"/>
        <v>2.011574074074074E-2</v>
      </c>
      <c r="I14" t="str">
        <f t="shared" ca="1" si="2"/>
        <v/>
      </c>
      <c r="J14" s="40" t="s">
        <v>613</v>
      </c>
    </row>
    <row r="15" spans="1:10" ht="14.25" x14ac:dyDescent="0.15">
      <c r="A15" s="17" t="str">
        <f t="shared" ca="1" si="0"/>
        <v>Brian Lincoln (Ratae)</v>
      </c>
      <c r="B15" s="17"/>
      <c r="C15" s="17"/>
      <c r="D15" s="17"/>
      <c r="E15" s="17"/>
      <c r="F15" s="17" t="s">
        <v>215</v>
      </c>
      <c r="G15" s="19" t="str">
        <f ca="1">IF($A15="","",IF($I15="X",A15,CONCATENATE(VLOOKUP(A15,Competitors!$A$2:$I$650,3, FALSE)," ",VLOOKUP(A15,Competitors!$A$2:$I$650,2,FALSE))))</f>
        <v>Brian Lincoln (Ratae)</v>
      </c>
      <c r="H15" s="20">
        <f t="shared" si="1"/>
        <v>0</v>
      </c>
      <c r="I15" t="str">
        <f t="shared" ca="1" si="2"/>
        <v>X</v>
      </c>
      <c r="J15" s="40" t="s">
        <v>140</v>
      </c>
    </row>
    <row r="16" spans="1:10" ht="14.25" x14ac:dyDescent="0.15">
      <c r="A16" s="17">
        <f t="shared" ca="1" si="0"/>
        <v>1107</v>
      </c>
      <c r="B16" s="17"/>
      <c r="C16" s="17"/>
      <c r="D16" s="17"/>
      <c r="E16" s="17"/>
      <c r="F16" s="17" t="s">
        <v>215</v>
      </c>
      <c r="G16" s="19" t="str">
        <f ca="1">IF($A16="","",IF($I16="X",A16,CONCATENATE(VLOOKUP(A16,Competitors!$A$2:$I$650,3, FALSE)," ",VLOOKUP(A16,Competitors!$A$2:$I$650,2,FALSE))))</f>
        <v>Milly Pinnock</v>
      </c>
      <c r="H16" s="20">
        <f t="shared" si="1"/>
        <v>0</v>
      </c>
      <c r="I16" t="str">
        <f t="shared" ca="1" si="2"/>
        <v/>
      </c>
      <c r="J16" s="40" t="s">
        <v>600</v>
      </c>
    </row>
    <row r="17" spans="1:10" ht="14.25" x14ac:dyDescent="0.15">
      <c r="A17" s="17">
        <f t="shared" ca="1" si="0"/>
        <v>1237</v>
      </c>
      <c r="B17" s="17"/>
      <c r="C17" s="17"/>
      <c r="D17" s="17"/>
      <c r="E17" s="17"/>
      <c r="F17" s="17" t="s">
        <v>215</v>
      </c>
      <c r="G17" s="19" t="str">
        <f ca="1">IF($A17="","",IF($I17="X",A17,CONCATENATE(VLOOKUP(A17,Competitors!$A$2:$I$650,3, FALSE)," ",VLOOKUP(A17,Competitors!$A$2:$I$650,2,FALSE))))</f>
        <v>John Abbott</v>
      </c>
      <c r="H17" s="20">
        <f t="shared" si="1"/>
        <v>0</v>
      </c>
      <c r="I17" t="str">
        <f t="shared" ca="1" si="2"/>
        <v/>
      </c>
      <c r="J17" s="40" t="s">
        <v>598</v>
      </c>
    </row>
    <row r="18" spans="1:10" ht="14.25" x14ac:dyDescent="0.15">
      <c r="A18" s="17" t="str">
        <f t="shared" ca="1" si="0"/>
        <v>Mike Deeley</v>
      </c>
      <c r="B18" s="17"/>
      <c r="C18" s="17"/>
      <c r="D18" s="17"/>
      <c r="E18" s="17"/>
      <c r="F18" s="17" t="s">
        <v>215</v>
      </c>
      <c r="G18" s="19" t="str">
        <f ca="1">IF($A18="","",IF($I18="X",A18,CONCATENATE(VLOOKUP(A18,Competitors!$A$2:$I$650,3, FALSE)," ",VLOOKUP(A18,Competitors!$A$2:$I$650,2,FALSE))))</f>
        <v>Mike Deeley</v>
      </c>
      <c r="H18" s="20">
        <f t="shared" si="1"/>
        <v>0</v>
      </c>
      <c r="I18" t="str">
        <f t="shared" ca="1" si="2"/>
        <v>X</v>
      </c>
      <c r="J18" s="40" t="s">
        <v>216</v>
      </c>
    </row>
    <row r="19" spans="1:10" ht="14.25" x14ac:dyDescent="0.15">
      <c r="A19" s="17" t="str">
        <f t="shared" ca="1" si="0"/>
        <v/>
      </c>
      <c r="B19" s="17"/>
      <c r="C19" s="17"/>
      <c r="D19" s="17"/>
      <c r="E19" s="17"/>
      <c r="F19" s="17"/>
      <c r="G19" s="19" t="str">
        <f ca="1">IF($A19="","",IF($I19="X",A19,CONCATENATE(VLOOKUP(A19,Competitors!$A$2:$I$650,3, FALSE)," ",VLOOKUP(A19,Competitors!$A$2:$I$650,2,FALSE))))</f>
        <v/>
      </c>
      <c r="H19" s="20">
        <f t="shared" si="1"/>
        <v>0</v>
      </c>
      <c r="I19" t="str">
        <f t="shared" ca="1" si="2"/>
        <v/>
      </c>
      <c r="J19" s="40" t="s">
        <v>173</v>
      </c>
    </row>
    <row r="20" spans="1:10" ht="14.25" x14ac:dyDescent="0.15">
      <c r="A20" s="17" t="str">
        <f t="shared" ca="1" si="0"/>
        <v/>
      </c>
      <c r="B20" s="17"/>
      <c r="C20" s="17"/>
      <c r="D20" s="17"/>
      <c r="E20" s="17"/>
      <c r="F20" s="17"/>
      <c r="G20" s="19" t="str">
        <f ca="1">IF($A20="","",IF($I20="X",A20,CONCATENATE(VLOOKUP(A20,Competitors!$A$2:$I$650,3, FALSE)," ",VLOOKUP(A20,Competitors!$A$2:$I$650,2,FALSE))))</f>
        <v/>
      </c>
      <c r="H20" s="20">
        <f t="shared" si="1"/>
        <v>0</v>
      </c>
      <c r="I20" t="str">
        <f t="shared" ca="1" si="2"/>
        <v/>
      </c>
      <c r="J20" s="40" t="s">
        <v>173</v>
      </c>
    </row>
    <row r="21" spans="1:10" ht="14.25" x14ac:dyDescent="0.15">
      <c r="A21" s="17" t="str">
        <f t="shared" ca="1" si="0"/>
        <v/>
      </c>
      <c r="B21" s="17"/>
      <c r="C21" s="17"/>
      <c r="D21" s="17"/>
      <c r="E21" s="17"/>
      <c r="F21" s="17"/>
      <c r="G21" s="19" t="str">
        <f ca="1">IF($A21="","",IF($I21="X",A21,CONCATENATE(VLOOKUP(A21,Competitors!$A$2:$I$650,3, FALSE)," ",VLOOKUP(A21,Competitors!$A$2:$I$650,2,FALSE))))</f>
        <v/>
      </c>
      <c r="H21" s="20">
        <f t="shared" si="1"/>
        <v>0</v>
      </c>
      <c r="I21" t="str">
        <f t="shared" ca="1" si="2"/>
        <v/>
      </c>
      <c r="J21" s="40" t="s">
        <v>173</v>
      </c>
    </row>
    <row r="22" spans="1:10" ht="14.25" x14ac:dyDescent="0.15">
      <c r="A22" s="17" t="str">
        <f t="shared" ca="1" si="0"/>
        <v/>
      </c>
      <c r="B22" s="17"/>
      <c r="C22" s="17"/>
      <c r="D22" s="17"/>
      <c r="E22" s="17"/>
      <c r="F22" s="17"/>
      <c r="G22" s="19" t="str">
        <f ca="1">IF($A22="","",IF($I22="X",A22,CONCATENATE(VLOOKUP(A22,Competitors!$A$2:$I$650,3, FALSE)," ",VLOOKUP(A22,Competitors!$A$2:$I$650,2,FALSE))))</f>
        <v/>
      </c>
      <c r="H22" s="20">
        <f t="shared" si="1"/>
        <v>0</v>
      </c>
      <c r="I22" t="str">
        <f t="shared" ca="1" si="2"/>
        <v/>
      </c>
      <c r="J22" s="40" t="s">
        <v>173</v>
      </c>
    </row>
    <row r="23" spans="1:10" ht="14.25" x14ac:dyDescent="0.15">
      <c r="A23" s="17" t="str">
        <f t="shared" ca="1" si="0"/>
        <v/>
      </c>
      <c r="B23" s="17"/>
      <c r="C23" s="17"/>
      <c r="D23" s="17"/>
      <c r="E23" s="17"/>
      <c r="F23" s="17"/>
      <c r="G23" s="19" t="str">
        <f ca="1">IF($A23="","",IF($I23="X",A23,CONCATENATE(VLOOKUP(A23,Competitors!$A$2:$I$650,3, FALSE)," ",VLOOKUP(A23,Competitors!$A$2:$I$650,2,FALSE))))</f>
        <v/>
      </c>
      <c r="H23" s="20">
        <f t="shared" si="1"/>
        <v>0</v>
      </c>
      <c r="I23" t="str">
        <f t="shared" ca="1" si="2"/>
        <v/>
      </c>
      <c r="J23" s="40" t="s">
        <v>173</v>
      </c>
    </row>
    <row r="24" spans="1:10" ht="14.25" x14ac:dyDescent="0.15">
      <c r="A24" s="17" t="str">
        <f t="shared" ca="1" si="0"/>
        <v/>
      </c>
      <c r="B24" s="17"/>
      <c r="C24" s="17"/>
      <c r="D24" s="17"/>
      <c r="E24" s="17"/>
      <c r="F24" s="17"/>
      <c r="G24" s="19" t="str">
        <f ca="1">IF($A24="","",IF($I24="X",A24,CONCATENATE(VLOOKUP(A24,Competitors!$A$2:$I$650,3, FALSE)," ",VLOOKUP(A24,Competitors!$A$2:$I$650,2,FALSE))))</f>
        <v/>
      </c>
      <c r="H24" s="20">
        <f t="shared" si="1"/>
        <v>0</v>
      </c>
      <c r="I24" t="str">
        <f t="shared" ca="1" si="2"/>
        <v/>
      </c>
      <c r="J24" s="40" t="s">
        <v>173</v>
      </c>
    </row>
    <row r="25" spans="1:10" ht="14.25" x14ac:dyDescent="0.15">
      <c r="A25" s="17" t="str">
        <f t="shared" ca="1" si="0"/>
        <v/>
      </c>
      <c r="B25" s="17"/>
      <c r="C25" s="17"/>
      <c r="D25" s="17"/>
      <c r="E25" s="17"/>
      <c r="F25" s="17"/>
      <c r="G25" s="19" t="str">
        <f ca="1">IF($A25="","",IF($I25="X",A25,CONCATENATE(VLOOKUP(A25,Competitors!$A$2:$I$650,3, FALSE)," ",VLOOKUP(A25,Competitors!$A$2:$I$650,2,FALSE))))</f>
        <v/>
      </c>
      <c r="H25" s="20">
        <f t="shared" si="1"/>
        <v>0</v>
      </c>
      <c r="I25" t="str">
        <f t="shared" ca="1" si="2"/>
        <v/>
      </c>
      <c r="J25" s="40" t="s">
        <v>173</v>
      </c>
    </row>
    <row r="26" spans="1:10" ht="14.25" x14ac:dyDescent="0.15">
      <c r="A26" s="17" t="str">
        <f t="shared" ca="1" si="0"/>
        <v/>
      </c>
      <c r="B26" s="17"/>
      <c r="C26" s="17"/>
      <c r="D26" s="17"/>
      <c r="E26" s="17"/>
      <c r="F26" s="17"/>
      <c r="G26" s="19" t="str">
        <f ca="1">IF($A26="","",IF($I26="X",A26,CONCATENATE(VLOOKUP(A26,Competitors!$A$2:$I$650,3, FALSE)," ",VLOOKUP(A26,Competitors!$A$2:$I$650,2,FALSE))))</f>
        <v/>
      </c>
      <c r="H26" s="20">
        <f t="shared" si="1"/>
        <v>0</v>
      </c>
      <c r="I26" t="str">
        <f t="shared" ca="1" si="2"/>
        <v/>
      </c>
      <c r="J26" s="40" t="s">
        <v>173</v>
      </c>
    </row>
    <row r="27" spans="1:10" ht="14.25" x14ac:dyDescent="0.15">
      <c r="A27" s="17" t="str">
        <f t="shared" ca="1" si="0"/>
        <v/>
      </c>
      <c r="B27" s="17"/>
      <c r="C27" s="17"/>
      <c r="D27" s="17"/>
      <c r="E27" s="17"/>
      <c r="F27" s="17"/>
      <c r="G27" s="19" t="str">
        <f ca="1">IF($A27="","",IF($I27="X",A27,CONCATENATE(VLOOKUP(A27,Competitors!$A$2:$I$650,3, FALSE)," ",VLOOKUP(A27,Competitors!$A$2:$I$650,2,FALSE))))</f>
        <v/>
      </c>
      <c r="H27" s="20">
        <f t="shared" si="1"/>
        <v>0</v>
      </c>
      <c r="I27" t="str">
        <f t="shared" ca="1" si="2"/>
        <v/>
      </c>
      <c r="J27" s="40" t="s">
        <v>173</v>
      </c>
    </row>
    <row r="28" spans="1:10" ht="14.25" x14ac:dyDescent="0.15">
      <c r="A28" s="17" t="str">
        <f t="shared" ca="1" si="0"/>
        <v/>
      </c>
      <c r="B28" s="17"/>
      <c r="C28" s="17"/>
      <c r="D28" s="17"/>
      <c r="E28" s="17"/>
      <c r="F28" s="17"/>
      <c r="G28" s="19" t="str">
        <f ca="1">IF($A28="","",IF($I28="X",A28,CONCATENATE(VLOOKUP(A28,Competitors!$A$2:$I$650,3, FALSE)," ",VLOOKUP(A28,Competitors!$A$2:$I$650,2,FALSE))))</f>
        <v/>
      </c>
      <c r="H28" s="20">
        <f t="shared" si="1"/>
        <v>0</v>
      </c>
      <c r="I28" t="str">
        <f t="shared" ca="1" si="2"/>
        <v/>
      </c>
      <c r="J28" s="40" t="s">
        <v>173</v>
      </c>
    </row>
    <row r="29" spans="1:10" ht="14.25" x14ac:dyDescent="0.15">
      <c r="A29" s="17" t="str">
        <f t="shared" ca="1" si="0"/>
        <v/>
      </c>
      <c r="B29" s="17"/>
      <c r="C29" s="17"/>
      <c r="D29" s="17"/>
      <c r="E29" s="17"/>
      <c r="F29" s="17"/>
      <c r="G29" s="19" t="str">
        <f ca="1">IF($A29="","",IF($I29="X",A29,CONCATENATE(VLOOKUP(A29,Competitors!$A$2:$I$650,3, FALSE)," ",VLOOKUP(A29,Competitors!$A$2:$I$650,2,FALSE))))</f>
        <v/>
      </c>
      <c r="H29" s="20">
        <f t="shared" si="1"/>
        <v>0</v>
      </c>
      <c r="I29" t="str">
        <f t="shared" ca="1" si="2"/>
        <v/>
      </c>
      <c r="J29" s="40" t="s">
        <v>173</v>
      </c>
    </row>
    <row r="30" spans="1:10" ht="14.25" x14ac:dyDescent="0.15">
      <c r="A30" s="17" t="str">
        <f t="shared" ca="1" si="0"/>
        <v/>
      </c>
      <c r="B30" s="17"/>
      <c r="C30" s="17"/>
      <c r="D30" s="17"/>
      <c r="E30" s="17"/>
      <c r="F30" s="17"/>
      <c r="G30" s="19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17" t="str">
        <f t="shared" ca="1" si="0"/>
        <v/>
      </c>
      <c r="B31" s="17"/>
      <c r="C31" s="17"/>
      <c r="D31" s="17"/>
      <c r="E31" s="17"/>
      <c r="F31" s="17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7"/>
      <c r="D32" s="17"/>
      <c r="E32" s="17"/>
      <c r="F32" s="17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7"/>
      <c r="D33" s="17"/>
      <c r="E33" s="17"/>
      <c r="F33" s="17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7"/>
      <c r="D34" s="17"/>
      <c r="E34" s="17"/>
      <c r="F34" s="17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7"/>
      <c r="D35" s="17"/>
      <c r="E35" s="17"/>
      <c r="F35" s="17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7"/>
      <c r="D36" s="17"/>
      <c r="E36" s="17"/>
      <c r="F36" s="17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7"/>
      <c r="D37" s="17"/>
      <c r="E37" s="17"/>
      <c r="F37" s="17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7"/>
      <c r="D38" s="17"/>
      <c r="E38" s="17"/>
      <c r="F38" s="17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7"/>
      <c r="D39" s="17"/>
      <c r="E39" s="17"/>
      <c r="F39" s="17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7"/>
      <c r="D40" s="17"/>
      <c r="E40" s="17"/>
      <c r="F40" s="17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7"/>
      <c r="D41" s="17"/>
      <c r="E41" s="17"/>
      <c r="F41" s="17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7"/>
      <c r="D42" s="17"/>
      <c r="E42" s="17"/>
      <c r="F42" s="17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7"/>
      <c r="D43" s="17"/>
      <c r="E43" s="17"/>
      <c r="F43" s="17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7"/>
      <c r="D44" s="17"/>
      <c r="E44" s="17"/>
      <c r="F44" s="17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7"/>
      <c r="D45" s="17"/>
      <c r="E45" s="17"/>
      <c r="F45" s="17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7"/>
      <c r="D46" s="17"/>
      <c r="E46" s="17"/>
      <c r="F46" s="17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7"/>
      <c r="D47" s="17"/>
      <c r="E47" s="17"/>
      <c r="F47" s="17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7"/>
      <c r="D48" s="17"/>
      <c r="E48" s="17"/>
      <c r="F48" s="17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7"/>
      <c r="D49" s="17"/>
      <c r="E49" s="17"/>
      <c r="F49" s="17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7"/>
      <c r="D50" s="17"/>
      <c r="E50" s="17"/>
      <c r="F50" s="17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7"/>
      <c r="D51" s="17"/>
      <c r="E51" s="17"/>
      <c r="F51" s="17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7"/>
      <c r="D52" s="17"/>
      <c r="E52" s="17"/>
      <c r="F52" s="17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7"/>
      <c r="D53" s="17"/>
      <c r="E53" s="17"/>
      <c r="F53" s="17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7"/>
      <c r="D54" s="17"/>
      <c r="E54" s="17"/>
      <c r="F54" s="17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7"/>
      <c r="D55" s="17"/>
      <c r="E55" s="17"/>
      <c r="F55" s="17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7"/>
      <c r="D56" s="17"/>
      <c r="E56" s="17"/>
      <c r="F56" s="17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7"/>
      <c r="D57" s="17"/>
      <c r="E57" s="17"/>
      <c r="F57" s="17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7"/>
      <c r="D58" s="17"/>
      <c r="E58" s="17"/>
      <c r="F58" s="17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7"/>
      <c r="D59" s="17"/>
      <c r="E59" s="17"/>
      <c r="F59" s="17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7"/>
      <c r="D60" s="17"/>
      <c r="E60" s="17"/>
      <c r="F60" s="17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7"/>
      <c r="D61" s="17"/>
      <c r="E61" s="17"/>
      <c r="F61" s="17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7"/>
      <c r="D62" s="17"/>
      <c r="E62" s="17"/>
      <c r="F62" s="17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7"/>
      <c r="D63" s="17"/>
      <c r="E63" s="17"/>
      <c r="F63" s="17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7"/>
      <c r="D64" s="17"/>
      <c r="E64" s="17"/>
      <c r="F64" s="17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7"/>
      <c r="D65" s="17"/>
      <c r="E65" s="17"/>
      <c r="F65" s="17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7"/>
      <c r="D66" s="17"/>
      <c r="E66" s="17"/>
      <c r="F66" s="17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7"/>
      <c r="D67" s="17"/>
      <c r="E67" s="17"/>
      <c r="F67" s="17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7"/>
      <c r="D68" s="17"/>
      <c r="E68" s="17"/>
      <c r="F68" s="17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7"/>
      <c r="D69" s="17"/>
      <c r="E69" s="17"/>
      <c r="F69" s="17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7"/>
      <c r="D70" s="17"/>
      <c r="E70" s="17"/>
      <c r="F70" s="17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7"/>
      <c r="D71" s="17"/>
      <c r="E71" s="17"/>
      <c r="F71" s="17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7"/>
      <c r="D72" s="17"/>
      <c r="E72" s="17"/>
      <c r="F72" s="17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7"/>
      <c r="D73" s="17"/>
      <c r="E73" s="17"/>
      <c r="F73" s="17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7"/>
      <c r="D74" s="17"/>
      <c r="E74" s="17"/>
      <c r="F74" s="17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7"/>
      <c r="D75" s="17"/>
      <c r="E75" s="17"/>
      <c r="F75" s="17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7"/>
      <c r="D76" s="17"/>
      <c r="E76" s="17"/>
      <c r="F76" s="17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7"/>
      <c r="D77" s="17"/>
      <c r="E77" s="17"/>
      <c r="F77" s="17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7"/>
      <c r="D78" s="17"/>
      <c r="E78" s="17"/>
      <c r="F78" s="17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7"/>
      <c r="D79" s="17"/>
      <c r="E79" s="17"/>
      <c r="F79" s="17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7"/>
      <c r="D80" s="17"/>
      <c r="E80" s="17"/>
      <c r="F80" s="17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7"/>
      <c r="D81" s="17"/>
      <c r="E81" s="17"/>
      <c r="F81" s="17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7"/>
      <c r="D82" s="17"/>
      <c r="E82" s="17"/>
      <c r="F82" s="17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7"/>
      <c r="D83" s="17"/>
      <c r="E83" s="17"/>
      <c r="F83" s="17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7"/>
      <c r="D84" s="17"/>
      <c r="E84" s="17"/>
      <c r="F84" s="17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7"/>
      <c r="D85" s="17"/>
      <c r="E85" s="17"/>
      <c r="F85" s="17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7"/>
      <c r="D86" s="17"/>
      <c r="E86" s="17"/>
      <c r="F86" s="17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7"/>
      <c r="D87" s="17"/>
      <c r="E87" s="17"/>
      <c r="F87" s="17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7"/>
      <c r="D88" s="17"/>
      <c r="E88" s="17"/>
      <c r="F88" s="17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7"/>
      <c r="D89" s="17"/>
      <c r="E89" s="17"/>
      <c r="F89" s="17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7"/>
      <c r="D90" s="17"/>
      <c r="E90" s="17"/>
      <c r="F90" s="17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7"/>
      <c r="D91" s="17"/>
      <c r="E91" s="17"/>
      <c r="F91" s="17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7"/>
      <c r="D92" s="17"/>
      <c r="E92" s="17"/>
      <c r="F92" s="17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7"/>
      <c r="D93" s="17"/>
      <c r="E93" s="17"/>
      <c r="F93" s="17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7"/>
      <c r="D94" s="17"/>
      <c r="E94" s="17"/>
      <c r="F94" s="17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7"/>
      <c r="D95" s="17"/>
      <c r="E95" s="17"/>
      <c r="F95" s="17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7"/>
      <c r="D96" s="17"/>
      <c r="E96" s="17"/>
      <c r="F96" s="17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7"/>
      <c r="D97" s="17"/>
      <c r="E97" s="17"/>
      <c r="F97" s="17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7"/>
      <c r="D98" s="17"/>
      <c r="E98" s="17"/>
      <c r="F98" s="17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7"/>
      <c r="D99" s="17"/>
      <c r="E99" s="17"/>
      <c r="F99" s="17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7"/>
      <c r="D100" s="17"/>
      <c r="E100" s="17"/>
      <c r="F100" s="17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7"/>
      <c r="D101" s="17"/>
      <c r="E101" s="17"/>
      <c r="F101" s="17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56" priority="1">
      <formula>TEXT($B$104,"@")="Y"</formula>
    </cfRule>
  </conditionalFormatting>
  <conditionalFormatting sqref="G2:H101">
    <cfRule type="expression" dxfId="55" priority="3">
      <formula>$I2="X"</formula>
    </cfRule>
  </conditionalFormatting>
  <conditionalFormatting sqref="H2:H101">
    <cfRule type="expression" dxfId="54" priority="2">
      <formula>TEXT($B$104,"@")="Y"</formula>
    </cfRule>
  </conditionalFormatting>
  <printOptions horizontalCentered="1"/>
  <pageMargins left="0.62992125984251968" right="0.70866141732283472" top="1.7322834645669292" bottom="0.39370078740157483" header="0.31496062992125984" footer="0.31496062992125984"/>
  <pageSetup paperSize="9" scale="45" orientation="portrait" r:id="rId1"/>
  <headerFooter>
    <oddHeader>&amp;C&amp;24WVCC champs 2016 results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0C1F-4005-4D33-862A-4C5A8E38699C}">
  <sheetPr codeName="Sheet41">
    <pageSetUpPr fitToPage="1"/>
  </sheetPr>
  <dimension ref="A1:J104"/>
  <sheetViews>
    <sheetView zoomScaleNormal="100" workbookViewId="0">
      <selection activeCell="J5" sqref="J5"/>
    </sheetView>
  </sheetViews>
  <sheetFormatPr defaultColWidth="9.16796875" defaultRowHeight="12.75" x14ac:dyDescent="0.15"/>
  <cols>
    <col min="1" max="1" width="21.98046875" bestFit="1" customWidth="1"/>
    <col min="2" max="4" width="4.71875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  <col min="10" max="10" width="16.31640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>
        <f t="shared" ref="A2:A33" ca="1" si="0">IF(J2="","",_xlfn.XLOOKUP(J2,ClubNames,ClubNumbers,_xlfn.XLOOKUP(J2,RoundRobinRiderNames,RoundRobinRiderDecoratedNames,J2)))</f>
        <v>407</v>
      </c>
      <c r="B2" s="17">
        <v>0</v>
      </c>
      <c r="C2" s="17">
        <v>58</v>
      </c>
      <c r="D2" s="17">
        <v>10</v>
      </c>
      <c r="E2" s="17"/>
      <c r="F2" s="17"/>
      <c r="G2" s="19" t="str">
        <f ca="1">IF($A2="","",IF($I2="X",A2,CONCATENATE(VLOOKUP(A2,Competitors!$A$2:$I$650,3, FALSE)," ",VLOOKUP(A2,Competitors!$A$2:$I$650,2,FALSE))))</f>
        <v>Hans van Nierop</v>
      </c>
      <c r="H2" s="20">
        <f>IF(LEFT($E2,1)="D",UPPER($E2),(B2*3600+C2*60+D2)/86400)</f>
        <v>4.0393518518518516E-2</v>
      </c>
      <c r="I2" t="str">
        <f ca="1">IF(OR(A2="",ISNUMBER(A2)),"","X")</f>
        <v/>
      </c>
      <c r="J2" s="40" t="s">
        <v>583</v>
      </c>
    </row>
    <row r="3" spans="1:10" ht="14.25" x14ac:dyDescent="0.15">
      <c r="A3" s="17">
        <f t="shared" ca="1" si="0"/>
        <v>1144</v>
      </c>
      <c r="B3" s="17">
        <v>0</v>
      </c>
      <c r="C3" s="17">
        <v>59</v>
      </c>
      <c r="D3" s="17">
        <v>54</v>
      </c>
      <c r="E3" s="17" t="s">
        <v>170</v>
      </c>
      <c r="F3" s="17"/>
      <c r="G3" s="19" t="str">
        <f ca="1">IF($A3="","",IF($I3="X",A3,CONCATENATE(VLOOKUP(A3,Competitors!$A$2:$I$650,3, FALSE)," ",VLOOKUP(A3,Competitors!$A$2:$I$650,2,FALSE))))</f>
        <v>Jamie Kershaw</v>
      </c>
      <c r="H3" s="20">
        <f t="shared" ref="H3:H66" si="1">IF(LEFT($E3,1)="D",UPPER($E3),(B3*3600+C3*60+D3)/86400)</f>
        <v>4.1597222222222223E-2</v>
      </c>
      <c r="I3" t="str">
        <f t="shared" ref="I3:I66" ca="1" si="2">IF(OR(A3="",ISNUMBER(A3)),"","X")</f>
        <v/>
      </c>
      <c r="J3" s="40" t="s">
        <v>584</v>
      </c>
    </row>
    <row r="4" spans="1:10" ht="14.25" x14ac:dyDescent="0.15">
      <c r="A4" s="17">
        <f t="shared" ca="1" si="0"/>
        <v>1166</v>
      </c>
      <c r="B4" s="17">
        <v>1</v>
      </c>
      <c r="C4" s="17">
        <v>2</v>
      </c>
      <c r="D4" s="17">
        <v>54</v>
      </c>
      <c r="E4" s="17"/>
      <c r="F4" s="17"/>
      <c r="G4" s="19" t="str">
        <f ca="1">IF($A4="","",IF($I4="X",A4,CONCATENATE(VLOOKUP(A4,Competitors!$A$2:$I$650,3, FALSE)," ",VLOOKUP(A4,Competitors!$A$2:$I$650,2,FALSE))))</f>
        <v>Ed Tarelli</v>
      </c>
      <c r="H4" s="20">
        <f t="shared" si="1"/>
        <v>4.3680555555555556E-2</v>
      </c>
      <c r="I4" t="str">
        <f t="shared" ca="1" si="2"/>
        <v/>
      </c>
      <c r="J4" s="40" t="s">
        <v>226</v>
      </c>
    </row>
    <row r="5" spans="1:10" ht="14.25" x14ac:dyDescent="0.15">
      <c r="A5" s="17">
        <f t="shared" ca="1" si="0"/>
        <v>35</v>
      </c>
      <c r="B5" s="17">
        <v>1</v>
      </c>
      <c r="C5" s="17">
        <v>3</v>
      </c>
      <c r="D5" s="17">
        <v>0</v>
      </c>
      <c r="E5" s="17"/>
      <c r="F5" s="17"/>
      <c r="G5" s="19" t="str">
        <f ca="1">IF($A5="","",IF($I5="X",A5,CONCATENATE(VLOOKUP(A5,Competitors!$A$2:$I$650,3, FALSE)," ",VLOOKUP(A5,Competitors!$A$2:$I$650,2,FALSE))))</f>
        <v>Matt Plews</v>
      </c>
      <c r="H5" s="20">
        <f t="shared" si="1"/>
        <v>4.3749999999999997E-2</v>
      </c>
      <c r="I5" t="str">
        <f t="shared" ca="1" si="2"/>
        <v/>
      </c>
      <c r="J5" s="40" t="s">
        <v>588</v>
      </c>
    </row>
    <row r="6" spans="1:10" ht="14.25" x14ac:dyDescent="0.15">
      <c r="A6" s="17">
        <f t="shared" ca="1" si="0"/>
        <v>1192</v>
      </c>
      <c r="B6" s="17">
        <v>1</v>
      </c>
      <c r="C6" s="17">
        <v>4</v>
      </c>
      <c r="D6" s="17">
        <v>40</v>
      </c>
      <c r="E6" s="17"/>
      <c r="F6" s="17"/>
      <c r="G6" s="19" t="str">
        <f ca="1">IF($A6="","",IF($I6="X",A6,CONCATENATE(VLOOKUP(A6,Competitors!$A$2:$I$650,3, FALSE)," ",VLOOKUP(A6,Competitors!$A$2:$I$650,2,FALSE))))</f>
        <v>Dale Norris</v>
      </c>
      <c r="H6" s="20">
        <f t="shared" si="1"/>
        <v>4.490740740740741E-2</v>
      </c>
      <c r="I6" t="str">
        <f t="shared" ca="1" si="2"/>
        <v/>
      </c>
      <c r="J6" s="40" t="s">
        <v>590</v>
      </c>
    </row>
    <row r="7" spans="1:10" ht="14.25" x14ac:dyDescent="0.15">
      <c r="A7" s="17">
        <f t="shared" ca="1" si="0"/>
        <v>415</v>
      </c>
      <c r="B7" s="17">
        <v>1</v>
      </c>
      <c r="C7" s="17">
        <v>5</v>
      </c>
      <c r="D7" s="17">
        <v>30</v>
      </c>
      <c r="E7" s="17" t="s">
        <v>170</v>
      </c>
      <c r="F7" s="17"/>
      <c r="G7" s="19" t="str">
        <f ca="1">IF($A7="","",IF($I7="X",A7,CONCATENATE(VLOOKUP(A7,Competitors!$A$2:$I$650,3, FALSE)," ",VLOOKUP(A7,Competitors!$A$2:$I$650,2,FALSE))))</f>
        <v>Nik Kershaw</v>
      </c>
      <c r="H7" s="20">
        <f t="shared" si="1"/>
        <v>4.5486111111111109E-2</v>
      </c>
      <c r="I7" t="str">
        <f t="shared" ca="1" si="2"/>
        <v/>
      </c>
      <c r="J7" s="40" t="s">
        <v>594</v>
      </c>
    </row>
    <row r="8" spans="1:10" ht="14.25" x14ac:dyDescent="0.15">
      <c r="A8" s="17">
        <f t="shared" ca="1" si="0"/>
        <v>203</v>
      </c>
      <c r="B8" s="17">
        <v>1</v>
      </c>
      <c r="C8" s="17">
        <v>5</v>
      </c>
      <c r="D8" s="17">
        <v>47</v>
      </c>
      <c r="E8" s="17"/>
      <c r="F8" s="17"/>
      <c r="G8" s="19" t="str">
        <f ca="1">IF($A8="","",IF($I8="X",A8,CONCATENATE(VLOOKUP(A8,Competitors!$A$2:$I$650,3, FALSE)," ",VLOOKUP(A8,Competitors!$A$2:$I$650,2,FALSE))))</f>
        <v>Adrian Killworth</v>
      </c>
      <c r="H8" s="20">
        <f t="shared" si="1"/>
        <v>4.5682870370370374E-2</v>
      </c>
      <c r="I8" t="str">
        <f t="shared" ca="1" si="2"/>
        <v/>
      </c>
      <c r="J8" s="40" t="s">
        <v>603</v>
      </c>
    </row>
    <row r="9" spans="1:10" ht="14.25" x14ac:dyDescent="0.15">
      <c r="A9" s="17" t="str">
        <f t="shared" ca="1" si="0"/>
        <v>Chris Bonser</v>
      </c>
      <c r="B9" s="17">
        <v>1</v>
      </c>
      <c r="C9" s="17">
        <v>8</v>
      </c>
      <c r="D9" s="17">
        <v>14</v>
      </c>
      <c r="E9" s="17"/>
      <c r="F9" s="17"/>
      <c r="G9" s="19" t="str">
        <f ca="1">IF($A9="","",IF($I9="X",A9,CONCATENATE(VLOOKUP(A9,Competitors!$A$2:$I$650,3, FALSE)," ",VLOOKUP(A9,Competitors!$A$2:$I$650,2,FALSE))))</f>
        <v>Chris Bonser</v>
      </c>
      <c r="H9" s="20">
        <f t="shared" si="1"/>
        <v>4.7384259259259258E-2</v>
      </c>
      <c r="I9" t="str">
        <f t="shared" ca="1" si="2"/>
        <v>X</v>
      </c>
      <c r="J9" s="40" t="s">
        <v>217</v>
      </c>
    </row>
    <row r="10" spans="1:10" ht="14.25" x14ac:dyDescent="0.15">
      <c r="A10" s="17">
        <f t="shared" ca="1" si="0"/>
        <v>846</v>
      </c>
      <c r="B10" s="17">
        <v>1</v>
      </c>
      <c r="C10" s="17">
        <v>9</v>
      </c>
      <c r="D10" s="17">
        <v>2</v>
      </c>
      <c r="E10" s="17"/>
      <c r="F10" s="17"/>
      <c r="G10" s="19" t="str">
        <f ca="1">IF($A10="","",IF($I10="X",A10,CONCATENATE(VLOOKUP(A10,Competitors!$A$2:$I$650,3, FALSE)," ",VLOOKUP(A10,Competitors!$A$2:$I$650,2,FALSE))))</f>
        <v>Roger Kockelbergh</v>
      </c>
      <c r="H10" s="20">
        <f t="shared" si="1"/>
        <v>4.7939814814814817E-2</v>
      </c>
      <c r="I10" t="str">
        <f t="shared" ca="1" si="2"/>
        <v/>
      </c>
      <c r="J10" s="40" t="s">
        <v>601</v>
      </c>
    </row>
    <row r="11" spans="1:10" ht="14.25" x14ac:dyDescent="0.15">
      <c r="A11" s="17">
        <f t="shared" ca="1" si="0"/>
        <v>715</v>
      </c>
      <c r="B11" s="17">
        <v>1</v>
      </c>
      <c r="C11" s="17">
        <v>10</v>
      </c>
      <c r="D11" s="17">
        <v>50</v>
      </c>
      <c r="E11" s="17"/>
      <c r="F11" s="17"/>
      <c r="G11" s="19" t="str">
        <f ca="1">IF($A11="","",IF($I11="X",A11,CONCATENATE(VLOOKUP(A11,Competitors!$A$2:$I$650,3, FALSE)," ",VLOOKUP(A11,Competitors!$A$2:$I$650,2,FALSE))))</f>
        <v>Steven Coulam</v>
      </c>
      <c r="H11" s="20">
        <f t="shared" si="1"/>
        <v>4.9189814814814818E-2</v>
      </c>
      <c r="I11" t="str">
        <f t="shared" ca="1" si="2"/>
        <v/>
      </c>
      <c r="J11" s="40" t="s">
        <v>623</v>
      </c>
    </row>
    <row r="12" spans="1:10" ht="14.25" x14ac:dyDescent="0.15">
      <c r="A12" s="17">
        <f t="shared" ca="1" si="0"/>
        <v>1195</v>
      </c>
      <c r="B12" s="17">
        <v>1</v>
      </c>
      <c r="C12" s="17">
        <v>20</v>
      </c>
      <c r="D12" s="17">
        <v>20</v>
      </c>
      <c r="E12" s="17" t="s">
        <v>170</v>
      </c>
      <c r="F12" s="17"/>
      <c r="G12" s="19" t="str">
        <f ca="1">IF($A12="","",IF($I12="X",A12,CONCATENATE(VLOOKUP(A12,Competitors!$A$2:$I$650,3, FALSE)," ",VLOOKUP(A12,Competitors!$A$2:$I$650,2,FALSE))))</f>
        <v>Charlie Hardwicke</v>
      </c>
      <c r="H12" s="20">
        <f t="shared" si="1"/>
        <v>5.5787037037037038E-2</v>
      </c>
      <c r="I12" t="str">
        <f t="shared" ca="1" si="2"/>
        <v/>
      </c>
      <c r="J12" s="40" t="s">
        <v>613</v>
      </c>
    </row>
    <row r="13" spans="1:10" ht="14.25" x14ac:dyDescent="0.15">
      <c r="A13" s="17" t="str">
        <f t="shared" ca="1" si="0"/>
        <v>Lynne Scofield (RFW)</v>
      </c>
      <c r="B13" s="17"/>
      <c r="C13" s="17"/>
      <c r="D13" s="17"/>
      <c r="E13" s="17"/>
      <c r="F13" s="17" t="s">
        <v>215</v>
      </c>
      <c r="G13" s="19" t="str">
        <f ca="1">IF($A13="","",IF($I13="X",A13,CONCATENATE(VLOOKUP(A13,Competitors!$A$2:$I$650,3, FALSE)," ",VLOOKUP(A13,Competitors!$A$2:$I$650,2,FALSE))))</f>
        <v>Lynne Scofield (RFW)</v>
      </c>
      <c r="H13" s="20">
        <f t="shared" si="1"/>
        <v>0</v>
      </c>
      <c r="I13" t="str">
        <f t="shared" ca="1" si="2"/>
        <v>X</v>
      </c>
      <c r="J13" s="40" t="s">
        <v>155</v>
      </c>
    </row>
    <row r="14" spans="1:10" ht="14.25" x14ac:dyDescent="0.15">
      <c r="A14" s="17">
        <f t="shared" ca="1" si="0"/>
        <v>1364</v>
      </c>
      <c r="B14" s="17"/>
      <c r="C14" s="17"/>
      <c r="D14" s="17"/>
      <c r="E14" s="17"/>
      <c r="F14" s="17" t="s">
        <v>215</v>
      </c>
      <c r="G14" s="19" t="str">
        <f ca="1">IF($A14="","",IF($I14="X",A14,CONCATENATE(VLOOKUP(A14,Competitors!$A$2:$I$650,3, FALSE)," ",VLOOKUP(A14,Competitors!$A$2:$I$650,2,FALSE))))</f>
        <v>Laurence Noble</v>
      </c>
      <c r="H14" s="20">
        <f t="shared" si="1"/>
        <v>0</v>
      </c>
      <c r="I14" t="str">
        <f t="shared" ca="1" si="2"/>
        <v/>
      </c>
      <c r="J14" s="40" t="s">
        <v>209</v>
      </c>
    </row>
    <row r="15" spans="1:10" ht="14.25" x14ac:dyDescent="0.15">
      <c r="A15" s="17" t="str">
        <f t="shared" ca="1" si="0"/>
        <v>Phil Wilkinson (RFW)</v>
      </c>
      <c r="B15" s="17"/>
      <c r="C15" s="17"/>
      <c r="D15" s="17"/>
      <c r="E15" s="17"/>
      <c r="F15" s="17" t="s">
        <v>215</v>
      </c>
      <c r="G15" s="19" t="str">
        <f ca="1">IF($A15="","",IF($I15="X",A15,CONCATENATE(VLOOKUP(A15,Competitors!$A$2:$I$650,3, FALSE)," ",VLOOKUP(A15,Competitors!$A$2:$I$650,2,FALSE))))</f>
        <v>Phil Wilkinson (RFW)</v>
      </c>
      <c r="H15" s="20">
        <f t="shared" si="1"/>
        <v>0</v>
      </c>
      <c r="I15" t="str">
        <f t="shared" ca="1" si="2"/>
        <v>X</v>
      </c>
      <c r="J15" s="40" t="s">
        <v>157</v>
      </c>
    </row>
    <row r="16" spans="1:10" ht="14.25" x14ac:dyDescent="0.15">
      <c r="A16" s="17">
        <f t="shared" ca="1" si="0"/>
        <v>1254</v>
      </c>
      <c r="B16" s="17"/>
      <c r="C16" s="17"/>
      <c r="D16" s="17"/>
      <c r="E16" s="17"/>
      <c r="F16" s="17" t="s">
        <v>215</v>
      </c>
      <c r="G16" s="19" t="str">
        <f ca="1">IF($A16="","",IF($I16="X",A16,CONCATENATE(VLOOKUP(A16,Competitors!$A$2:$I$650,3, FALSE)," ",VLOOKUP(A16,Competitors!$A$2:$I$650,2,FALSE))))</f>
        <v>Paul White</v>
      </c>
      <c r="H16" s="20">
        <f t="shared" si="1"/>
        <v>0</v>
      </c>
      <c r="I16" t="str">
        <f t="shared" ca="1" si="2"/>
        <v/>
      </c>
      <c r="J16" s="40" t="s">
        <v>624</v>
      </c>
    </row>
    <row r="17" spans="1:10" ht="14.25" x14ac:dyDescent="0.15">
      <c r="A17" s="17" t="str">
        <f t="shared" ca="1" si="0"/>
        <v/>
      </c>
      <c r="B17" s="17"/>
      <c r="C17" s="17"/>
      <c r="D17" s="17"/>
      <c r="E17" s="17"/>
      <c r="F17" s="17"/>
      <c r="G17" s="19" t="str">
        <f ca="1">IF($A17="","",IF($I17="X",A17,CONCATENATE(VLOOKUP(A17,Competitors!$A$2:$I$650,3, FALSE)," ",VLOOKUP(A17,Competitors!$A$2:$I$650,2,FALSE))))</f>
        <v/>
      </c>
      <c r="H17" s="20">
        <f t="shared" si="1"/>
        <v>0</v>
      </c>
      <c r="I17" t="str">
        <f t="shared" ca="1" si="2"/>
        <v/>
      </c>
      <c r="J17" s="40" t="s">
        <v>173</v>
      </c>
    </row>
    <row r="18" spans="1:10" ht="14.25" x14ac:dyDescent="0.15">
      <c r="A18" s="17" t="str">
        <f t="shared" ca="1" si="0"/>
        <v/>
      </c>
      <c r="B18" s="17"/>
      <c r="C18" s="17"/>
      <c r="D18" s="17"/>
      <c r="E18" s="17"/>
      <c r="F18" s="17"/>
      <c r="G18" s="19" t="str">
        <f ca="1">IF($A18="","",IF($I18="X",A18,CONCATENATE(VLOOKUP(A18,Competitors!$A$2:$I$650,3, FALSE)," ",VLOOKUP(A18,Competitors!$A$2:$I$650,2,FALSE))))</f>
        <v/>
      </c>
      <c r="H18" s="20">
        <f t="shared" si="1"/>
        <v>0</v>
      </c>
      <c r="I18" t="str">
        <f t="shared" ca="1" si="2"/>
        <v/>
      </c>
      <c r="J18" s="40" t="s">
        <v>173</v>
      </c>
    </row>
    <row r="19" spans="1:10" ht="14.25" x14ac:dyDescent="0.15">
      <c r="A19" s="17" t="str">
        <f t="shared" ca="1" si="0"/>
        <v/>
      </c>
      <c r="B19" s="17"/>
      <c r="C19" s="17"/>
      <c r="D19" s="17"/>
      <c r="E19" s="17"/>
      <c r="F19" s="17"/>
      <c r="G19" s="19" t="str">
        <f ca="1">IF($A19="","",IF($I19="X",A19,CONCATENATE(VLOOKUP(A19,Competitors!$A$2:$I$650,3, FALSE)," ",VLOOKUP(A19,Competitors!$A$2:$I$650,2,FALSE))))</f>
        <v/>
      </c>
      <c r="H19" s="20">
        <f t="shared" si="1"/>
        <v>0</v>
      </c>
      <c r="I19" t="str">
        <f t="shared" ca="1" si="2"/>
        <v/>
      </c>
      <c r="J19" s="40" t="s">
        <v>173</v>
      </c>
    </row>
    <row r="20" spans="1:10" ht="14.25" x14ac:dyDescent="0.15">
      <c r="A20" s="17" t="str">
        <f t="shared" ca="1" si="0"/>
        <v/>
      </c>
      <c r="B20" s="17"/>
      <c r="C20" s="17"/>
      <c r="D20" s="17"/>
      <c r="E20" s="17"/>
      <c r="F20" s="17"/>
      <c r="G20" s="19" t="str">
        <f ca="1">IF($A20="","",IF($I20="X",A20,CONCATENATE(VLOOKUP(A20,Competitors!$A$2:$I$650,3, FALSE)," ",VLOOKUP(A20,Competitors!$A$2:$I$650,2,FALSE))))</f>
        <v/>
      </c>
      <c r="H20" s="20">
        <f t="shared" si="1"/>
        <v>0</v>
      </c>
      <c r="I20" t="str">
        <f t="shared" ca="1" si="2"/>
        <v/>
      </c>
      <c r="J20" s="40" t="s">
        <v>173</v>
      </c>
    </row>
    <row r="21" spans="1:10" ht="14.25" x14ac:dyDescent="0.15">
      <c r="A21" s="17" t="str">
        <f t="shared" ca="1" si="0"/>
        <v/>
      </c>
      <c r="B21" s="17"/>
      <c r="C21" s="17"/>
      <c r="D21" s="17"/>
      <c r="E21" s="17"/>
      <c r="F21" s="17"/>
      <c r="G21" s="19" t="str">
        <f ca="1">IF($A21="","",IF($I21="X",A21,CONCATENATE(VLOOKUP(A21,Competitors!$A$2:$I$650,3, FALSE)," ",VLOOKUP(A21,Competitors!$A$2:$I$650,2,FALSE))))</f>
        <v/>
      </c>
      <c r="H21" s="20">
        <f t="shared" si="1"/>
        <v>0</v>
      </c>
      <c r="I21" t="str">
        <f t="shared" ca="1" si="2"/>
        <v/>
      </c>
      <c r="J21" s="40" t="s">
        <v>173</v>
      </c>
    </row>
    <row r="22" spans="1:10" ht="14.25" x14ac:dyDescent="0.15">
      <c r="A22" s="17" t="str">
        <f t="shared" ca="1" si="0"/>
        <v/>
      </c>
      <c r="B22" s="17"/>
      <c r="C22" s="17"/>
      <c r="D22" s="17"/>
      <c r="E22" s="17"/>
      <c r="F22" s="17"/>
      <c r="G22" s="19" t="str">
        <f ca="1">IF($A22="","",IF($I22="X",A22,CONCATENATE(VLOOKUP(A22,Competitors!$A$2:$I$650,3, FALSE)," ",VLOOKUP(A22,Competitors!$A$2:$I$650,2,FALSE))))</f>
        <v/>
      </c>
      <c r="H22" s="20">
        <f t="shared" si="1"/>
        <v>0</v>
      </c>
      <c r="I22" t="str">
        <f t="shared" ca="1" si="2"/>
        <v/>
      </c>
      <c r="J22" s="40" t="s">
        <v>173</v>
      </c>
    </row>
    <row r="23" spans="1:10" ht="14.25" x14ac:dyDescent="0.15">
      <c r="A23" s="17" t="str">
        <f t="shared" ca="1" si="0"/>
        <v/>
      </c>
      <c r="B23" s="17"/>
      <c r="C23" s="17"/>
      <c r="D23" s="17"/>
      <c r="E23" s="17"/>
      <c r="F23" s="17"/>
      <c r="G23" s="19" t="str">
        <f ca="1">IF($A23="","",IF($I23="X",A23,CONCATENATE(VLOOKUP(A23,Competitors!$A$2:$I$650,3, FALSE)," ",VLOOKUP(A23,Competitors!$A$2:$I$650,2,FALSE))))</f>
        <v/>
      </c>
      <c r="H23" s="20">
        <f t="shared" si="1"/>
        <v>0</v>
      </c>
      <c r="I23" t="str">
        <f t="shared" ca="1" si="2"/>
        <v/>
      </c>
      <c r="J23" s="40" t="s">
        <v>173</v>
      </c>
    </row>
    <row r="24" spans="1:10" ht="14.25" x14ac:dyDescent="0.15">
      <c r="A24" s="17" t="str">
        <f t="shared" ca="1" si="0"/>
        <v/>
      </c>
      <c r="B24" s="17"/>
      <c r="C24" s="17"/>
      <c r="D24" s="17"/>
      <c r="E24" s="17"/>
      <c r="F24" s="17"/>
      <c r="G24" s="19" t="str">
        <f ca="1">IF($A24="","",IF($I24="X",A24,CONCATENATE(VLOOKUP(A24,Competitors!$A$2:$I$650,3, FALSE)," ",VLOOKUP(A24,Competitors!$A$2:$I$650,2,FALSE))))</f>
        <v/>
      </c>
      <c r="H24" s="20">
        <f t="shared" si="1"/>
        <v>0</v>
      </c>
      <c r="I24" t="str">
        <f t="shared" ca="1" si="2"/>
        <v/>
      </c>
      <c r="J24" s="40" t="s">
        <v>173</v>
      </c>
    </row>
    <row r="25" spans="1:10" ht="14.25" x14ac:dyDescent="0.15">
      <c r="A25" s="17" t="str">
        <f t="shared" ca="1" si="0"/>
        <v/>
      </c>
      <c r="B25" s="17"/>
      <c r="C25" s="17"/>
      <c r="D25" s="17"/>
      <c r="E25" s="17"/>
      <c r="F25" s="17"/>
      <c r="G25" s="19" t="str">
        <f ca="1">IF($A25="","",IF($I25="X",A25,CONCATENATE(VLOOKUP(A25,Competitors!$A$2:$I$650,3, FALSE)," ",VLOOKUP(A25,Competitors!$A$2:$I$650,2,FALSE))))</f>
        <v/>
      </c>
      <c r="H25" s="20">
        <f t="shared" si="1"/>
        <v>0</v>
      </c>
      <c r="I25" t="str">
        <f t="shared" ca="1" si="2"/>
        <v/>
      </c>
      <c r="J25" s="40" t="s">
        <v>173</v>
      </c>
    </row>
    <row r="26" spans="1:10" ht="14.25" x14ac:dyDescent="0.15">
      <c r="A26" s="17" t="str">
        <f t="shared" ca="1" si="0"/>
        <v/>
      </c>
      <c r="B26" s="17"/>
      <c r="C26" s="17"/>
      <c r="D26" s="17"/>
      <c r="E26" s="17"/>
      <c r="F26" s="17"/>
      <c r="G26" s="19" t="str">
        <f ca="1">IF($A26="","",IF($I26="X",A26,CONCATENATE(VLOOKUP(A26,Competitors!$A$2:$I$650,3, FALSE)," ",VLOOKUP(A26,Competitors!$A$2:$I$650,2,FALSE))))</f>
        <v/>
      </c>
      <c r="H26" s="20">
        <f t="shared" si="1"/>
        <v>0</v>
      </c>
      <c r="I26" t="str">
        <f t="shared" ca="1" si="2"/>
        <v/>
      </c>
      <c r="J26" s="40" t="s">
        <v>173</v>
      </c>
    </row>
    <row r="27" spans="1:10" ht="14.25" x14ac:dyDescent="0.15">
      <c r="A27" s="17" t="str">
        <f t="shared" ca="1" si="0"/>
        <v/>
      </c>
      <c r="B27" s="17"/>
      <c r="C27" s="17"/>
      <c r="D27" s="17"/>
      <c r="E27" s="17"/>
      <c r="F27" s="17"/>
      <c r="G27" s="19" t="str">
        <f ca="1">IF($A27="","",IF($I27="X",A27,CONCATENATE(VLOOKUP(A27,Competitors!$A$2:$I$650,3, FALSE)," ",VLOOKUP(A27,Competitors!$A$2:$I$650,2,FALSE))))</f>
        <v/>
      </c>
      <c r="H27" s="20">
        <f t="shared" si="1"/>
        <v>0</v>
      </c>
      <c r="I27" t="str">
        <f t="shared" ca="1" si="2"/>
        <v/>
      </c>
      <c r="J27" s="40" t="s">
        <v>173</v>
      </c>
    </row>
    <row r="28" spans="1:10" ht="14.25" x14ac:dyDescent="0.15">
      <c r="A28" s="17" t="str">
        <f t="shared" ca="1" si="0"/>
        <v/>
      </c>
      <c r="B28" s="17"/>
      <c r="C28" s="17"/>
      <c r="D28" s="17"/>
      <c r="E28" s="17"/>
      <c r="F28" s="17"/>
      <c r="G28" s="19" t="str">
        <f ca="1">IF($A28="","",IF($I28="X",A28,CONCATENATE(VLOOKUP(A28,Competitors!$A$2:$I$650,3, FALSE)," ",VLOOKUP(A28,Competitors!$A$2:$I$650,2,FALSE))))</f>
        <v/>
      </c>
      <c r="H28" s="20">
        <f t="shared" si="1"/>
        <v>0</v>
      </c>
      <c r="I28" t="str">
        <f t="shared" ca="1" si="2"/>
        <v/>
      </c>
      <c r="J28" s="40" t="s">
        <v>173</v>
      </c>
    </row>
    <row r="29" spans="1:10" ht="14.25" x14ac:dyDescent="0.15">
      <c r="A29" s="17" t="str">
        <f t="shared" ca="1" si="0"/>
        <v/>
      </c>
      <c r="B29" s="17"/>
      <c r="C29" s="17"/>
      <c r="D29" s="17"/>
      <c r="E29" s="17"/>
      <c r="F29" s="17"/>
      <c r="G29" s="19" t="str">
        <f ca="1">IF($A29="","",IF($I29="X",A29,CONCATENATE(VLOOKUP(A29,Competitors!$A$2:$I$650,3, FALSE)," ",VLOOKUP(A29,Competitors!$A$2:$I$650,2,FALSE))))</f>
        <v/>
      </c>
      <c r="H29" s="20">
        <f t="shared" si="1"/>
        <v>0</v>
      </c>
      <c r="I29" t="str">
        <f t="shared" ca="1" si="2"/>
        <v/>
      </c>
      <c r="J29" s="40" t="s">
        <v>173</v>
      </c>
    </row>
    <row r="30" spans="1:10" ht="14.25" x14ac:dyDescent="0.15">
      <c r="A30" s="17" t="str">
        <f t="shared" ca="1" si="0"/>
        <v/>
      </c>
      <c r="B30" s="17"/>
      <c r="C30" s="17"/>
      <c r="D30" s="17"/>
      <c r="E30" s="17"/>
      <c r="F30" s="17"/>
      <c r="G30" s="19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17" t="str">
        <f t="shared" ca="1" si="0"/>
        <v/>
      </c>
      <c r="B31" s="17"/>
      <c r="C31" s="17"/>
      <c r="D31" s="17"/>
      <c r="E31" s="17"/>
      <c r="F31" s="17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7"/>
      <c r="D32" s="17"/>
      <c r="E32" s="17"/>
      <c r="F32" s="17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7"/>
      <c r="D33" s="17"/>
      <c r="E33" s="17"/>
      <c r="F33" s="17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7"/>
      <c r="D34" s="17"/>
      <c r="E34" s="17"/>
      <c r="F34" s="17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7"/>
      <c r="D35" s="17"/>
      <c r="E35" s="17"/>
      <c r="F35" s="17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7"/>
      <c r="D36" s="17"/>
      <c r="E36" s="17"/>
      <c r="F36" s="17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7"/>
      <c r="D37" s="17"/>
      <c r="E37" s="17"/>
      <c r="F37" s="17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7"/>
      <c r="D38" s="17"/>
      <c r="E38" s="17"/>
      <c r="F38" s="17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7"/>
      <c r="D39" s="17"/>
      <c r="E39" s="17"/>
      <c r="F39" s="17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7"/>
      <c r="D40" s="17"/>
      <c r="E40" s="17"/>
      <c r="F40" s="17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7"/>
      <c r="D41" s="17"/>
      <c r="E41" s="17"/>
      <c r="F41" s="17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7"/>
      <c r="D42" s="17"/>
      <c r="E42" s="17"/>
      <c r="F42" s="17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7"/>
      <c r="D43" s="17"/>
      <c r="E43" s="17"/>
      <c r="F43" s="17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7"/>
      <c r="D44" s="17"/>
      <c r="E44" s="17"/>
      <c r="F44" s="17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7"/>
      <c r="D45" s="17"/>
      <c r="E45" s="17"/>
      <c r="F45" s="17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7"/>
      <c r="D46" s="17"/>
      <c r="E46" s="17"/>
      <c r="F46" s="17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7"/>
      <c r="D47" s="17"/>
      <c r="E47" s="17"/>
      <c r="F47" s="17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7"/>
      <c r="D48" s="17"/>
      <c r="E48" s="17"/>
      <c r="F48" s="17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7"/>
      <c r="D49" s="17"/>
      <c r="E49" s="17"/>
      <c r="F49" s="17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7"/>
      <c r="D50" s="17"/>
      <c r="E50" s="17"/>
      <c r="F50" s="17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7"/>
      <c r="D51" s="17"/>
      <c r="E51" s="17"/>
      <c r="F51" s="17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7"/>
      <c r="D52" s="17"/>
      <c r="E52" s="17"/>
      <c r="F52" s="17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7"/>
      <c r="D53" s="17"/>
      <c r="E53" s="17"/>
      <c r="F53" s="17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7"/>
      <c r="D54" s="17"/>
      <c r="E54" s="17"/>
      <c r="F54" s="17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7"/>
      <c r="D55" s="17"/>
      <c r="E55" s="17"/>
      <c r="F55" s="17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7"/>
      <c r="D56" s="17"/>
      <c r="E56" s="17"/>
      <c r="F56" s="17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7"/>
      <c r="D57" s="17"/>
      <c r="E57" s="17"/>
      <c r="F57" s="17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7"/>
      <c r="D58" s="17"/>
      <c r="E58" s="17"/>
      <c r="F58" s="17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7"/>
      <c r="D59" s="17"/>
      <c r="E59" s="17"/>
      <c r="F59" s="17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7"/>
      <c r="D60" s="17"/>
      <c r="E60" s="17"/>
      <c r="F60" s="17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7"/>
      <c r="D61" s="17"/>
      <c r="E61" s="17"/>
      <c r="F61" s="17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7"/>
      <c r="D62" s="17"/>
      <c r="E62" s="17"/>
      <c r="F62" s="17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7"/>
      <c r="D63" s="17"/>
      <c r="E63" s="17"/>
      <c r="F63" s="17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7"/>
      <c r="D64" s="17"/>
      <c r="E64" s="17"/>
      <c r="F64" s="17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7"/>
      <c r="D65" s="17"/>
      <c r="E65" s="17"/>
      <c r="F65" s="17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7"/>
      <c r="D66" s="17"/>
      <c r="E66" s="17"/>
      <c r="F66" s="17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7"/>
      <c r="D67" s="17"/>
      <c r="E67" s="17"/>
      <c r="F67" s="17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7"/>
      <c r="D68" s="17"/>
      <c r="E68" s="17"/>
      <c r="F68" s="17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7"/>
      <c r="D69" s="17"/>
      <c r="E69" s="17"/>
      <c r="F69" s="17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7"/>
      <c r="D70" s="17"/>
      <c r="E70" s="17"/>
      <c r="F70" s="17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7"/>
      <c r="D71" s="17"/>
      <c r="E71" s="17"/>
      <c r="F71" s="17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7"/>
      <c r="D72" s="17"/>
      <c r="E72" s="17"/>
      <c r="F72" s="17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7"/>
      <c r="D73" s="17"/>
      <c r="E73" s="17"/>
      <c r="F73" s="17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7"/>
      <c r="D74" s="17"/>
      <c r="E74" s="17"/>
      <c r="F74" s="17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7"/>
      <c r="D75" s="17"/>
      <c r="E75" s="17"/>
      <c r="F75" s="17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7"/>
      <c r="D76" s="17"/>
      <c r="E76" s="17"/>
      <c r="F76" s="17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7"/>
      <c r="D77" s="17"/>
      <c r="E77" s="17"/>
      <c r="F77" s="17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7"/>
      <c r="D78" s="17"/>
      <c r="E78" s="17"/>
      <c r="F78" s="17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7"/>
      <c r="D79" s="17"/>
      <c r="E79" s="17"/>
      <c r="F79" s="17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7"/>
      <c r="D80" s="17"/>
      <c r="E80" s="17"/>
      <c r="F80" s="17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7"/>
      <c r="D81" s="17"/>
      <c r="E81" s="17"/>
      <c r="F81" s="17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7"/>
      <c r="D82" s="17"/>
      <c r="E82" s="17"/>
      <c r="F82" s="17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7"/>
      <c r="D83" s="17"/>
      <c r="E83" s="17"/>
      <c r="F83" s="17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7"/>
      <c r="D84" s="17"/>
      <c r="E84" s="17"/>
      <c r="F84" s="17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7"/>
      <c r="D85" s="17"/>
      <c r="E85" s="17"/>
      <c r="F85" s="17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7"/>
      <c r="D86" s="17"/>
      <c r="E86" s="17"/>
      <c r="F86" s="17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7"/>
      <c r="D87" s="17"/>
      <c r="E87" s="17"/>
      <c r="F87" s="17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7"/>
      <c r="D88" s="17"/>
      <c r="E88" s="17"/>
      <c r="F88" s="17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7"/>
      <c r="D89" s="17"/>
      <c r="E89" s="17"/>
      <c r="F89" s="17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7"/>
      <c r="D90" s="17"/>
      <c r="E90" s="17"/>
      <c r="F90" s="17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7"/>
      <c r="D91" s="17"/>
      <c r="E91" s="17"/>
      <c r="F91" s="17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7"/>
      <c r="D92" s="17"/>
      <c r="E92" s="17"/>
      <c r="F92" s="17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7"/>
      <c r="D93" s="17"/>
      <c r="E93" s="17"/>
      <c r="F93" s="17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7"/>
      <c r="D94" s="17"/>
      <c r="E94" s="17"/>
      <c r="F94" s="17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7"/>
      <c r="D95" s="17"/>
      <c r="E95" s="17"/>
      <c r="F95" s="17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7"/>
      <c r="D96" s="17"/>
      <c r="E96" s="17"/>
      <c r="F96" s="17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7"/>
      <c r="D97" s="17"/>
      <c r="E97" s="17"/>
      <c r="F97" s="17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7"/>
      <c r="D98" s="17"/>
      <c r="E98" s="17"/>
      <c r="F98" s="17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7"/>
      <c r="D99" s="17"/>
      <c r="E99" s="17"/>
      <c r="F99" s="17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7"/>
      <c r="D100" s="17"/>
      <c r="E100" s="17"/>
      <c r="F100" s="17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7"/>
      <c r="D101" s="17"/>
      <c r="E101" s="17"/>
      <c r="F101" s="17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53" priority="1">
      <formula>TEXT($B$104,"@")="Y"</formula>
    </cfRule>
  </conditionalFormatting>
  <conditionalFormatting sqref="G2:H101">
    <cfRule type="expression" dxfId="52" priority="3">
      <formula>$I2="X"</formula>
    </cfRule>
  </conditionalFormatting>
  <conditionalFormatting sqref="H2:H101">
    <cfRule type="expression" dxfId="51" priority="2">
      <formula>TEXT($B$104,"@")="Y"</formula>
    </cfRule>
  </conditionalFormatting>
  <printOptions horizontalCentered="1"/>
  <pageMargins left="0.62992125984251968" right="0.70866141732283472" top="1.7322834645669292" bottom="0.39370078740157483" header="0.31496062992125984" footer="0.31496062992125984"/>
  <pageSetup paperSize="9" scale="45" orientation="portrait" r:id="rId1"/>
  <headerFooter>
    <oddHeader>&amp;C&amp;24WVCC champs 2016 results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CE63-9B36-456C-8DB2-12A55B31C84B}">
  <sheetPr codeName="Sheet42">
    <pageSetUpPr fitToPage="1"/>
  </sheetPr>
  <dimension ref="A1:J104"/>
  <sheetViews>
    <sheetView zoomScaleNormal="100" workbookViewId="0">
      <selection activeCell="A31" sqref="A31"/>
    </sheetView>
  </sheetViews>
  <sheetFormatPr defaultColWidth="9.16796875" defaultRowHeight="12.75" x14ac:dyDescent="0.15"/>
  <cols>
    <col min="1" max="1" width="22.65234375" bestFit="1" customWidth="1"/>
    <col min="2" max="3" width="4.71875" customWidth="1"/>
    <col min="4" max="4" width="8.08984375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  <col min="10" max="10" width="16.31640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>
        <f t="shared" ref="A2:A33" ca="1" si="0">IF(J2="","",_xlfn.XLOOKUP(J2,ClubNames,ClubNumbers,_xlfn.XLOOKUP(J2,RoundRobinRiderNames,RoundRobinRiderDecoratedNames,J2)))</f>
        <v>407</v>
      </c>
      <c r="B2" s="17">
        <v>0</v>
      </c>
      <c r="C2" s="17">
        <v>21</v>
      </c>
      <c r="D2" s="17">
        <v>18</v>
      </c>
      <c r="E2" s="17"/>
      <c r="F2" s="17"/>
      <c r="G2" s="19" t="str">
        <f ca="1">IF($A2="","",IF($I2="X",A2,CONCATENATE(VLOOKUP(A2,Competitors!$A$2:$I$650,3, FALSE)," ",VLOOKUP(A2,Competitors!$A$2:$I$650,2,FALSE))))</f>
        <v>Hans van Nierop</v>
      </c>
      <c r="H2" s="20">
        <f>IF(LEFT($E2,1)="D",UPPER($E2),(B2*3600+C2*60+D2)/86400)</f>
        <v>1.4791666666666667E-2</v>
      </c>
      <c r="I2" t="str">
        <f ca="1">IF(OR(A2="",ISNUMBER(A2)),"","X")</f>
        <v/>
      </c>
      <c r="J2" s="40" t="s">
        <v>583</v>
      </c>
    </row>
    <row r="3" spans="1:10" ht="14.25" x14ac:dyDescent="0.15">
      <c r="A3" s="17">
        <f t="shared" ca="1" si="0"/>
        <v>699</v>
      </c>
      <c r="B3" s="17">
        <v>0</v>
      </c>
      <c r="C3" s="17">
        <v>22</v>
      </c>
      <c r="D3" s="17">
        <v>3</v>
      </c>
      <c r="E3" s="17"/>
      <c r="F3" s="17"/>
      <c r="G3" s="19" t="str">
        <f ca="1">IF($A3="","",IF($I3="X",A3,CONCATENATE(VLOOKUP(A3,Competitors!$A$2:$I$650,3, FALSE)," ",VLOOKUP(A3,Competitors!$A$2:$I$650,2,FALSE))))</f>
        <v>Jonathan Durnin</v>
      </c>
      <c r="H3" s="20">
        <f t="shared" ref="H3:H66" si="1">IF(LEFT($E3,1)="D",UPPER($E3),(B3*3600+C3*60+D3)/86400)</f>
        <v>1.53125E-2</v>
      </c>
      <c r="I3" t="str">
        <f t="shared" ref="I3:I66" ca="1" si="2">IF(OR(A3="",ISNUMBER(A3)),"","X")</f>
        <v/>
      </c>
      <c r="J3" s="40" t="s">
        <v>586</v>
      </c>
    </row>
    <row r="4" spans="1:10" ht="14.25" x14ac:dyDescent="0.15">
      <c r="A4" s="17">
        <f t="shared" ca="1" si="0"/>
        <v>38</v>
      </c>
      <c r="B4" s="17">
        <v>0</v>
      </c>
      <c r="C4" s="17">
        <v>22</v>
      </c>
      <c r="D4" s="17">
        <v>33</v>
      </c>
      <c r="E4" s="17"/>
      <c r="F4" s="17"/>
      <c r="G4" s="19" t="str">
        <f ca="1">IF($A4="","",IF($I4="X",A4,CONCATENATE(VLOOKUP(A4,Competitors!$A$2:$I$650,3, FALSE)," ",VLOOKUP(A4,Competitors!$A$2:$I$650,2,FALSE))))</f>
        <v>Phil Rayner</v>
      </c>
      <c r="H4" s="20">
        <f t="shared" si="1"/>
        <v>1.5659722222222221E-2</v>
      </c>
      <c r="I4" t="str">
        <f t="shared" ca="1" si="2"/>
        <v/>
      </c>
      <c r="J4" s="40" t="s">
        <v>619</v>
      </c>
    </row>
    <row r="5" spans="1:10" ht="14.25" x14ac:dyDescent="0.15">
      <c r="A5" s="17">
        <f t="shared" ca="1" si="0"/>
        <v>35</v>
      </c>
      <c r="B5" s="17">
        <v>0</v>
      </c>
      <c r="C5" s="17">
        <v>22</v>
      </c>
      <c r="D5" s="17">
        <v>50</v>
      </c>
      <c r="E5" s="17"/>
      <c r="F5" s="17"/>
      <c r="G5" s="19" t="str">
        <f ca="1">IF($A5="","",IF($I5="X",A5,CONCATENATE(VLOOKUP(A5,Competitors!$A$2:$I$650,3, FALSE)," ",VLOOKUP(A5,Competitors!$A$2:$I$650,2,FALSE))))</f>
        <v>Matt Plews</v>
      </c>
      <c r="H5" s="20">
        <f t="shared" si="1"/>
        <v>1.5856481481481482E-2</v>
      </c>
      <c r="I5" t="str">
        <f t="shared" ca="1" si="2"/>
        <v/>
      </c>
      <c r="J5" s="40" t="s">
        <v>588</v>
      </c>
    </row>
    <row r="6" spans="1:10" ht="14.25" x14ac:dyDescent="0.15">
      <c r="A6" s="17" t="str">
        <f t="shared" ca="1" si="0"/>
        <v>Phil Wilkinson (RFW)</v>
      </c>
      <c r="B6" s="17">
        <v>0</v>
      </c>
      <c r="C6" s="17">
        <v>22</v>
      </c>
      <c r="D6" s="17">
        <v>52</v>
      </c>
      <c r="E6" s="17"/>
      <c r="F6" s="17"/>
      <c r="G6" s="19" t="str">
        <f ca="1">IF($A6="","",IF($I6="X",A6,CONCATENATE(VLOOKUP(A6,Competitors!$A$2:$I$650,3, FALSE)," ",VLOOKUP(A6,Competitors!$A$2:$I$650,2,FALSE))))</f>
        <v>Phil Wilkinson (RFW)</v>
      </c>
      <c r="H6" s="20">
        <f t="shared" si="1"/>
        <v>1.5879629629629629E-2</v>
      </c>
      <c r="I6" t="str">
        <f t="shared" ca="1" si="2"/>
        <v>X</v>
      </c>
      <c r="J6" s="40" t="s">
        <v>157</v>
      </c>
    </row>
    <row r="7" spans="1:10" ht="14.25" x14ac:dyDescent="0.15">
      <c r="A7" s="17">
        <f t="shared" ca="1" si="0"/>
        <v>1192</v>
      </c>
      <c r="B7" s="17">
        <v>0</v>
      </c>
      <c r="C7" s="17">
        <v>23</v>
      </c>
      <c r="D7" s="17">
        <v>9</v>
      </c>
      <c r="E7" s="17"/>
      <c r="F7" s="17"/>
      <c r="G7" s="19" t="str">
        <f ca="1">IF($A7="","",IF($I7="X",A7,CONCATENATE(VLOOKUP(A7,Competitors!$A$2:$I$650,3, FALSE)," ",VLOOKUP(A7,Competitors!$A$2:$I$650,2,FALSE))))</f>
        <v>Dale Norris</v>
      </c>
      <c r="H7" s="20">
        <f t="shared" si="1"/>
        <v>1.607638888888889E-2</v>
      </c>
      <c r="I7" t="str">
        <f t="shared" ca="1" si="2"/>
        <v/>
      </c>
      <c r="J7" s="40" t="s">
        <v>590</v>
      </c>
    </row>
    <row r="8" spans="1:10" ht="14.25" x14ac:dyDescent="0.15">
      <c r="A8" s="17">
        <f t="shared" ca="1" si="0"/>
        <v>967</v>
      </c>
      <c r="B8" s="17">
        <v>0</v>
      </c>
      <c r="C8" s="17">
        <v>23</v>
      </c>
      <c r="D8" s="17">
        <v>20</v>
      </c>
      <c r="E8" s="17" t="s">
        <v>170</v>
      </c>
      <c r="F8" s="17"/>
      <c r="G8" s="19" t="str">
        <f ca="1">IF($A8="","",IF($I8="X",A8,CONCATENATE(VLOOKUP(A8,Competitors!$A$2:$I$650,3, FALSE)," ",VLOOKUP(A8,Competitors!$A$2:$I$650,2,FALSE))))</f>
        <v>Daniel McDonnell</v>
      </c>
      <c r="H8" s="20">
        <f t="shared" si="1"/>
        <v>1.6203703703703703E-2</v>
      </c>
      <c r="I8" t="str">
        <f t="shared" ca="1" si="2"/>
        <v/>
      </c>
      <c r="J8" s="40" t="s">
        <v>620</v>
      </c>
    </row>
    <row r="9" spans="1:10" ht="14.25" x14ac:dyDescent="0.15">
      <c r="A9" s="17" t="str">
        <f t="shared" ca="1" si="0"/>
        <v>Ed Watson (Ratae)</v>
      </c>
      <c r="B9" s="17">
        <v>0</v>
      </c>
      <c r="C9" s="17">
        <v>23</v>
      </c>
      <c r="D9" s="17">
        <v>27</v>
      </c>
      <c r="E9" s="17"/>
      <c r="F9" s="17"/>
      <c r="G9" s="19" t="str">
        <f ca="1">IF($A9="","",IF($I9="X",A9,CONCATENATE(VLOOKUP(A9,Competitors!$A$2:$I$650,3, FALSE)," ",VLOOKUP(A9,Competitors!$A$2:$I$650,2,FALSE))))</f>
        <v>Ed Watson (Ratae)</v>
      </c>
      <c r="H9" s="20">
        <f t="shared" si="1"/>
        <v>1.6284722222222221E-2</v>
      </c>
      <c r="I9" t="str">
        <f t="shared" ca="1" si="2"/>
        <v>X</v>
      </c>
      <c r="J9" s="40" t="s">
        <v>143</v>
      </c>
    </row>
    <row r="10" spans="1:10" ht="14.25" x14ac:dyDescent="0.15">
      <c r="A10" s="17">
        <f t="shared" ca="1" si="0"/>
        <v>756</v>
      </c>
      <c r="B10" s="17">
        <v>0</v>
      </c>
      <c r="C10" s="17">
        <v>23</v>
      </c>
      <c r="D10" s="17">
        <v>34</v>
      </c>
      <c r="E10" s="17"/>
      <c r="F10" s="17"/>
      <c r="G10" s="19" t="str">
        <f ca="1">IF($A10="","",IF($I10="X",A10,CONCATENATE(VLOOKUP(A10,Competitors!$A$2:$I$650,3, FALSE)," ",VLOOKUP(A10,Competitors!$A$2:$I$650,2,FALSE))))</f>
        <v>Josh van Nierop</v>
      </c>
      <c r="H10" s="20">
        <f t="shared" si="1"/>
        <v>1.636574074074074E-2</v>
      </c>
      <c r="I10" t="str">
        <f t="shared" ca="1" si="2"/>
        <v/>
      </c>
      <c r="J10" s="40" t="s">
        <v>592</v>
      </c>
    </row>
    <row r="11" spans="1:10" ht="14.25" x14ac:dyDescent="0.15">
      <c r="A11" s="17">
        <f t="shared" ca="1" si="0"/>
        <v>1055</v>
      </c>
      <c r="B11" s="17">
        <v>0</v>
      </c>
      <c r="C11" s="17">
        <v>23</v>
      </c>
      <c r="D11" s="17">
        <v>41</v>
      </c>
      <c r="E11" s="17"/>
      <c r="F11" s="17"/>
      <c r="G11" s="19" t="str">
        <f ca="1">IF($A11="","",IF($I11="X",A11,CONCATENATE(VLOOKUP(A11,Competitors!$A$2:$I$650,3, FALSE)," ",VLOOKUP(A11,Competitors!$A$2:$I$650,2,FALSE))))</f>
        <v>Austin Smith</v>
      </c>
      <c r="H11" s="20">
        <f t="shared" si="1"/>
        <v>1.6446759259259258E-2</v>
      </c>
      <c r="I11" t="str">
        <f t="shared" ca="1" si="2"/>
        <v/>
      </c>
      <c r="J11" s="40" t="s">
        <v>589</v>
      </c>
    </row>
    <row r="12" spans="1:10" ht="14.25" x14ac:dyDescent="0.15">
      <c r="A12" s="17" t="str">
        <f t="shared" ca="1" si="0"/>
        <v>Chris Bonsor (Ratae)</v>
      </c>
      <c r="B12" s="17">
        <v>0</v>
      </c>
      <c r="C12" s="17">
        <v>23</v>
      </c>
      <c r="D12" s="17">
        <v>42</v>
      </c>
      <c r="E12" s="17"/>
      <c r="F12" s="17"/>
      <c r="G12" s="19" t="str">
        <f ca="1">IF($A12="","",IF($I12="X",A12,CONCATENATE(VLOOKUP(A12,Competitors!$A$2:$I$650,3, FALSE)," ",VLOOKUP(A12,Competitors!$A$2:$I$650,2,FALSE))))</f>
        <v>Chris Bonsor (Ratae)</v>
      </c>
      <c r="H12" s="20">
        <f t="shared" si="1"/>
        <v>1.6458333333333332E-2</v>
      </c>
      <c r="I12" t="str">
        <f t="shared" ca="1" si="2"/>
        <v>X</v>
      </c>
      <c r="J12" s="40" t="s">
        <v>141</v>
      </c>
    </row>
    <row r="13" spans="1:10" ht="14.25" x14ac:dyDescent="0.15">
      <c r="A13" s="17">
        <f t="shared" ca="1" si="0"/>
        <v>203</v>
      </c>
      <c r="B13" s="17">
        <v>0</v>
      </c>
      <c r="C13" s="17">
        <v>23</v>
      </c>
      <c r="D13" s="17">
        <v>46</v>
      </c>
      <c r="E13" s="17"/>
      <c r="F13" s="17"/>
      <c r="G13" s="19" t="str">
        <f ca="1">IF($A13="","",IF($I13="X",A13,CONCATENATE(VLOOKUP(A13,Competitors!$A$2:$I$650,3, FALSE)," ",VLOOKUP(A13,Competitors!$A$2:$I$650,2,FALSE))))</f>
        <v>Adrian Killworth</v>
      </c>
      <c r="H13" s="20">
        <f t="shared" si="1"/>
        <v>1.650462962962963E-2</v>
      </c>
      <c r="I13" t="str">
        <f t="shared" ca="1" si="2"/>
        <v/>
      </c>
      <c r="J13" s="40" t="s">
        <v>603</v>
      </c>
    </row>
    <row r="14" spans="1:10" ht="14.25" x14ac:dyDescent="0.15">
      <c r="A14" s="17">
        <f t="shared" ca="1" si="0"/>
        <v>846</v>
      </c>
      <c r="B14" s="17">
        <v>0</v>
      </c>
      <c r="C14" s="17">
        <v>23</v>
      </c>
      <c r="D14" s="17">
        <v>51</v>
      </c>
      <c r="E14" s="17"/>
      <c r="F14" s="17"/>
      <c r="G14" s="19" t="str">
        <f ca="1">IF($A14="","",IF($I14="X",A14,CONCATENATE(VLOOKUP(A14,Competitors!$A$2:$I$650,3, FALSE)," ",VLOOKUP(A14,Competitors!$A$2:$I$650,2,FALSE))))</f>
        <v>Roger Kockelbergh</v>
      </c>
      <c r="H14" s="20">
        <f t="shared" si="1"/>
        <v>1.6562500000000001E-2</v>
      </c>
      <c r="I14" t="str">
        <f t="shared" ca="1" si="2"/>
        <v/>
      </c>
      <c r="J14" s="40" t="s">
        <v>601</v>
      </c>
    </row>
    <row r="15" spans="1:10" ht="14.25" x14ac:dyDescent="0.15">
      <c r="A15" s="17" t="str">
        <f t="shared" ca="1" si="0"/>
        <v>Mike Deely</v>
      </c>
      <c r="B15" s="17">
        <v>0</v>
      </c>
      <c r="C15" s="17">
        <v>23</v>
      </c>
      <c r="D15" s="17">
        <v>59</v>
      </c>
      <c r="E15" s="17"/>
      <c r="F15" s="17"/>
      <c r="G15" s="19" t="str">
        <f ca="1">IF($A15="","",IF($I15="X",A15,CONCATENATE(VLOOKUP(A15,Competitors!$A$2:$I$650,3, FALSE)," ",VLOOKUP(A15,Competitors!$A$2:$I$650,2,FALSE))))</f>
        <v>Mike Deely</v>
      </c>
      <c r="H15" s="20">
        <f t="shared" si="1"/>
        <v>1.6655092592592593E-2</v>
      </c>
      <c r="I15" t="str">
        <f t="shared" ca="1" si="2"/>
        <v>X</v>
      </c>
      <c r="J15" s="40" t="s">
        <v>191</v>
      </c>
    </row>
    <row r="16" spans="1:10" ht="14.25" x14ac:dyDescent="0.15">
      <c r="A16" s="17">
        <f t="shared" ca="1" si="0"/>
        <v>1129</v>
      </c>
      <c r="B16" s="17">
        <v>0</v>
      </c>
      <c r="C16" s="17">
        <v>24</v>
      </c>
      <c r="D16" s="17">
        <v>5</v>
      </c>
      <c r="E16" s="17"/>
      <c r="F16" s="17"/>
      <c r="G16" s="19" t="str">
        <f ca="1">IF($A16="","",IF($I16="X",A16,CONCATENATE(VLOOKUP(A16,Competitors!$A$2:$I$650,3, FALSE)," ",VLOOKUP(A16,Competitors!$A$2:$I$650,2,FALSE))))</f>
        <v>Doug Tincello</v>
      </c>
      <c r="H16" s="20">
        <f t="shared" si="1"/>
        <v>1.6724537037037038E-2</v>
      </c>
      <c r="I16" t="str">
        <f t="shared" ca="1" si="2"/>
        <v/>
      </c>
      <c r="J16" s="40" t="s">
        <v>596</v>
      </c>
    </row>
    <row r="17" spans="1:10" ht="14.25" x14ac:dyDescent="0.15">
      <c r="A17" s="17">
        <f t="shared" ca="1" si="0"/>
        <v>1242</v>
      </c>
      <c r="B17" s="17">
        <v>0</v>
      </c>
      <c r="C17" s="17">
        <v>24</v>
      </c>
      <c r="D17" s="17">
        <v>39</v>
      </c>
      <c r="E17" s="17"/>
      <c r="F17" s="17"/>
      <c r="G17" s="19" t="str">
        <f ca="1">IF($A17="","",IF($I17="X",A17,CONCATENATE(VLOOKUP(A17,Competitors!$A$2:$I$650,3, FALSE)," ",VLOOKUP(A17,Competitors!$A$2:$I$650,2,FALSE))))</f>
        <v>Mike Sirett</v>
      </c>
      <c r="H17" s="20">
        <f t="shared" si="1"/>
        <v>1.7118055555555556E-2</v>
      </c>
      <c r="I17" t="str">
        <f t="shared" ca="1" si="2"/>
        <v/>
      </c>
      <c r="J17" s="40" t="s">
        <v>621</v>
      </c>
    </row>
    <row r="18" spans="1:10" ht="14.25" x14ac:dyDescent="0.15">
      <c r="A18" s="17">
        <f t="shared" ca="1" si="0"/>
        <v>23</v>
      </c>
      <c r="B18" s="17">
        <v>0</v>
      </c>
      <c r="C18" s="17">
        <v>24</v>
      </c>
      <c r="D18" s="17">
        <v>59</v>
      </c>
      <c r="E18" s="17"/>
      <c r="F18" s="17"/>
      <c r="G18" s="19" t="str">
        <f ca="1">IF($A18="","",IF($I18="X",A18,CONCATENATE(VLOOKUP(A18,Competitors!$A$2:$I$650,3, FALSE)," ",VLOOKUP(A18,Competitors!$A$2:$I$650,2,FALSE))))</f>
        <v>Chris Hyde</v>
      </c>
      <c r="H18" s="20">
        <f t="shared" si="1"/>
        <v>1.7349537037037038E-2</v>
      </c>
      <c r="I18" t="str">
        <f t="shared" ca="1" si="2"/>
        <v/>
      </c>
      <c r="J18" s="40" t="s">
        <v>606</v>
      </c>
    </row>
    <row r="19" spans="1:10" ht="14.25" x14ac:dyDescent="0.15">
      <c r="A19" s="17">
        <f t="shared" ca="1" si="0"/>
        <v>616</v>
      </c>
      <c r="B19" s="17">
        <v>0</v>
      </c>
      <c r="C19" s="17">
        <v>25</v>
      </c>
      <c r="D19" s="17">
        <v>12</v>
      </c>
      <c r="E19" s="17"/>
      <c r="F19" s="17"/>
      <c r="G19" s="19" t="str">
        <f ca="1">IF($A19="","",IF($I19="X",A19,CONCATENATE(VLOOKUP(A19,Competitors!$A$2:$I$650,3, FALSE)," ",VLOOKUP(A19,Competitors!$A$2:$I$650,2,FALSE))))</f>
        <v>Simon Ward</v>
      </c>
      <c r="H19" s="20">
        <f t="shared" si="1"/>
        <v>1.7500000000000002E-2</v>
      </c>
      <c r="I19" t="str">
        <f t="shared" ca="1" si="2"/>
        <v/>
      </c>
      <c r="J19" s="40" t="s">
        <v>610</v>
      </c>
    </row>
    <row r="20" spans="1:10" ht="14.25" x14ac:dyDescent="0.15">
      <c r="A20" s="17" t="str">
        <f t="shared" ca="1" si="0"/>
        <v>Steve Pearce (Ratae)</v>
      </c>
      <c r="B20" s="17">
        <v>0</v>
      </c>
      <c r="C20" s="17">
        <v>25</v>
      </c>
      <c r="D20" s="17">
        <v>12</v>
      </c>
      <c r="E20" s="17"/>
      <c r="F20" s="17"/>
      <c r="G20" s="19" t="str">
        <f ca="1">IF($A20="","",IF($I20="X",A20,CONCATENATE(VLOOKUP(A20,Competitors!$A$2:$I$650,3, FALSE)," ",VLOOKUP(A20,Competitors!$A$2:$I$650,2,FALSE))))</f>
        <v>Steve Pearce (Ratae)</v>
      </c>
      <c r="H20" s="20">
        <f t="shared" si="1"/>
        <v>1.7500000000000002E-2</v>
      </c>
      <c r="I20" t="str">
        <f t="shared" ca="1" si="2"/>
        <v>X</v>
      </c>
      <c r="J20" s="40" t="s">
        <v>149</v>
      </c>
    </row>
    <row r="21" spans="1:10" ht="14.25" x14ac:dyDescent="0.15">
      <c r="A21" s="17">
        <f t="shared" ca="1" si="0"/>
        <v>1135</v>
      </c>
      <c r="B21" s="17">
        <v>0</v>
      </c>
      <c r="C21" s="17">
        <v>25</v>
      </c>
      <c r="D21" s="17">
        <v>29</v>
      </c>
      <c r="E21" s="17" t="s">
        <v>170</v>
      </c>
      <c r="F21" s="17"/>
      <c r="G21" s="19" t="str">
        <f ca="1">IF($A21="","",IF($I21="X",A21,CONCATENATE(VLOOKUP(A21,Competitors!$A$2:$I$650,3, FALSE)," ",VLOOKUP(A21,Competitors!$A$2:$I$650,2,FALSE))))</f>
        <v>Simon Askham</v>
      </c>
      <c r="H21" s="20">
        <f t="shared" si="1"/>
        <v>1.7696759259259259E-2</v>
      </c>
      <c r="I21" t="str">
        <f t="shared" ca="1" si="2"/>
        <v/>
      </c>
      <c r="J21" s="40" t="s">
        <v>622</v>
      </c>
    </row>
    <row r="22" spans="1:10" ht="14.25" x14ac:dyDescent="0.15">
      <c r="A22" s="17">
        <f t="shared" ca="1" si="0"/>
        <v>1254</v>
      </c>
      <c r="B22" s="17">
        <v>0</v>
      </c>
      <c r="C22" s="17">
        <v>25</v>
      </c>
      <c r="D22" s="17">
        <v>42</v>
      </c>
      <c r="E22" s="17"/>
      <c r="F22" s="17"/>
      <c r="G22" s="19" t="str">
        <f ca="1">IF($A22="","",IF($I22="X",A22,CONCATENATE(VLOOKUP(A22,Competitors!$A$2:$I$650,3, FALSE)," ",VLOOKUP(A22,Competitors!$A$2:$I$650,2,FALSE))))</f>
        <v>Paul White</v>
      </c>
      <c r="H22" s="20">
        <f t="shared" si="1"/>
        <v>1.7847222222222223E-2</v>
      </c>
      <c r="I22" t="str">
        <f t="shared" ca="1" si="2"/>
        <v/>
      </c>
      <c r="J22" s="40" t="s">
        <v>624</v>
      </c>
    </row>
    <row r="23" spans="1:10" ht="14.25" x14ac:dyDescent="0.15">
      <c r="A23" s="17" t="s">
        <v>213</v>
      </c>
      <c r="B23" s="17">
        <v>0</v>
      </c>
      <c r="C23" s="17">
        <v>25</v>
      </c>
      <c r="D23" s="17">
        <v>48</v>
      </c>
      <c r="E23" s="17" t="s">
        <v>170</v>
      </c>
      <c r="F23" s="17"/>
      <c r="G23" s="19" t="str">
        <f>IF($A23="","",IF($I23="X",A23,CONCATENATE(VLOOKUP(A23,Competitors!$A$2:$I$650,3, FALSE)," ",VLOOKUP(A23,Competitors!$A$2:$I$650,2,FALSE))))</f>
        <v>Miles Marr</v>
      </c>
      <c r="H23" s="20">
        <f t="shared" si="1"/>
        <v>1.7916666666666668E-2</v>
      </c>
      <c r="I23" t="str">
        <f t="shared" si="2"/>
        <v>X</v>
      </c>
      <c r="J23" s="40" t="s">
        <v>213</v>
      </c>
    </row>
    <row r="24" spans="1:10" ht="14.25" x14ac:dyDescent="0.15">
      <c r="A24" s="17">
        <f t="shared" ca="1" si="0"/>
        <v>704</v>
      </c>
      <c r="B24" s="17">
        <v>0</v>
      </c>
      <c r="C24" s="17">
        <v>25</v>
      </c>
      <c r="D24" s="17">
        <v>51</v>
      </c>
      <c r="E24" s="17" t="s">
        <v>170</v>
      </c>
      <c r="F24" s="17"/>
      <c r="G24" s="19" t="str">
        <f ca="1">IF($A24="","",IF($I24="X",A24,CONCATENATE(VLOOKUP(A24,Competitors!$A$2:$I$650,3, FALSE)," ",VLOOKUP(A24,Competitors!$A$2:$I$650,2,FALSE))))</f>
        <v>Chris Dainty</v>
      </c>
      <c r="H24" s="20">
        <f t="shared" si="1"/>
        <v>1.7951388888888888E-2</v>
      </c>
      <c r="I24" t="str">
        <f t="shared" ca="1" si="2"/>
        <v/>
      </c>
      <c r="J24" s="40" t="s">
        <v>605</v>
      </c>
    </row>
    <row r="25" spans="1:10" ht="14.25" x14ac:dyDescent="0.15">
      <c r="A25" s="17">
        <f t="shared" ca="1" si="0"/>
        <v>715</v>
      </c>
      <c r="B25" s="17">
        <v>0</v>
      </c>
      <c r="C25" s="17">
        <v>25</v>
      </c>
      <c r="D25" s="17">
        <v>52</v>
      </c>
      <c r="E25" s="17"/>
      <c r="F25" s="17"/>
      <c r="G25" s="19" t="str">
        <f ca="1">IF($A25="","",IF($I25="X",A25,CONCATENATE(VLOOKUP(A25,Competitors!$A$2:$I$650,3, FALSE)," ",VLOOKUP(A25,Competitors!$A$2:$I$650,2,FALSE))))</f>
        <v>Steven Coulam</v>
      </c>
      <c r="H25" s="20">
        <f t="shared" si="1"/>
        <v>1.7962962962962962E-2</v>
      </c>
      <c r="I25" t="str">
        <f t="shared" ca="1" si="2"/>
        <v/>
      </c>
      <c r="J25" s="40" t="s">
        <v>623</v>
      </c>
    </row>
    <row r="26" spans="1:10" ht="14.25" x14ac:dyDescent="0.15">
      <c r="A26" s="17" t="str">
        <f t="shared" ca="1" si="0"/>
        <v>Mark Newton (Ratae)</v>
      </c>
      <c r="B26" s="17">
        <v>0</v>
      </c>
      <c r="C26" s="17">
        <v>26</v>
      </c>
      <c r="D26" s="17">
        <v>13</v>
      </c>
      <c r="E26" s="17" t="s">
        <v>170</v>
      </c>
      <c r="F26" s="17"/>
      <c r="G26" s="19" t="str">
        <f ca="1">IF($A26="","",IF($I26="X",A26,CONCATENATE(VLOOKUP(A26,Competitors!$A$2:$I$650,3, FALSE)," ",VLOOKUP(A26,Competitors!$A$2:$I$650,2,FALSE))))</f>
        <v>Mark Newton (Ratae)</v>
      </c>
      <c r="H26" s="20">
        <f t="shared" si="1"/>
        <v>1.8206018518518517E-2</v>
      </c>
      <c r="I26" t="str">
        <f t="shared" ca="1" si="2"/>
        <v>X</v>
      </c>
      <c r="J26" s="40" t="s">
        <v>145</v>
      </c>
    </row>
    <row r="27" spans="1:10" ht="14.25" x14ac:dyDescent="0.15">
      <c r="A27" s="17" t="s">
        <v>218</v>
      </c>
      <c r="B27" s="17">
        <v>0</v>
      </c>
      <c r="C27" s="17">
        <v>26</v>
      </c>
      <c r="D27" s="17">
        <v>26</v>
      </c>
      <c r="E27" s="17" t="s">
        <v>170</v>
      </c>
      <c r="F27" s="17"/>
      <c r="G27" s="19" t="str">
        <f>IF($A27="","",IF($I27="X",A27,CONCATENATE(VLOOKUP(A27,Competitors!$A$2:$I$650,3, FALSE)," ",VLOOKUP(A27,Competitors!$A$2:$I$650,2,FALSE))))</f>
        <v>Ian Parker</v>
      </c>
      <c r="H27" s="20">
        <f t="shared" si="1"/>
        <v>1.8356481481481481E-2</v>
      </c>
      <c r="I27" t="str">
        <f t="shared" si="2"/>
        <v>X</v>
      </c>
      <c r="J27" s="40" t="s">
        <v>218</v>
      </c>
    </row>
    <row r="28" spans="1:10" ht="14.25" x14ac:dyDescent="0.15">
      <c r="A28" s="17">
        <f t="shared" ca="1" si="0"/>
        <v>1107</v>
      </c>
      <c r="B28" s="17">
        <v>0</v>
      </c>
      <c r="C28" s="17">
        <v>26</v>
      </c>
      <c r="D28" s="17">
        <v>39</v>
      </c>
      <c r="E28" s="17" t="s">
        <v>170</v>
      </c>
      <c r="F28" s="17"/>
      <c r="G28" s="19" t="str">
        <f ca="1">IF($A28="","",IF($I28="X",A28,CONCATENATE(VLOOKUP(A28,Competitors!$A$2:$I$650,3, FALSE)," ",VLOOKUP(A28,Competitors!$A$2:$I$650,2,FALSE))))</f>
        <v>Milly Pinnock</v>
      </c>
      <c r="H28" s="20">
        <f t="shared" si="1"/>
        <v>1.8506944444444444E-2</v>
      </c>
      <c r="I28" t="str">
        <f t="shared" ca="1" si="2"/>
        <v/>
      </c>
      <c r="J28" s="40" t="s">
        <v>600</v>
      </c>
    </row>
    <row r="29" spans="1:10" ht="14.25" x14ac:dyDescent="0.15">
      <c r="A29" s="17" t="str">
        <f t="shared" ca="1" si="0"/>
        <v>Paul Eden (Ratae)</v>
      </c>
      <c r="B29" s="17">
        <v>0</v>
      </c>
      <c r="C29" s="17">
        <v>28</v>
      </c>
      <c r="D29" s="17">
        <v>20</v>
      </c>
      <c r="E29" s="17" t="s">
        <v>170</v>
      </c>
      <c r="F29" s="17"/>
      <c r="G29" s="19" t="str">
        <f ca="1">IF($A29="","",IF($I29="X",A29,CONCATENATE(VLOOKUP(A29,Competitors!$A$2:$I$650,3, FALSE)," ",VLOOKUP(A29,Competitors!$A$2:$I$650,2,FALSE))))</f>
        <v>Paul Eden (Ratae)</v>
      </c>
      <c r="H29" s="20">
        <f t="shared" si="1"/>
        <v>1.9675925925925927E-2</v>
      </c>
      <c r="I29" t="str">
        <f t="shared" ca="1" si="2"/>
        <v>X</v>
      </c>
      <c r="J29" s="40" t="s">
        <v>147</v>
      </c>
    </row>
    <row r="30" spans="1:10" ht="14.25" x14ac:dyDescent="0.15">
      <c r="A30" s="17">
        <f t="shared" ca="1" si="0"/>
        <v>1194</v>
      </c>
      <c r="B30" s="17">
        <v>0</v>
      </c>
      <c r="C30" s="17">
        <v>28</v>
      </c>
      <c r="D30" s="17">
        <v>25</v>
      </c>
      <c r="E30" s="17" t="s">
        <v>170</v>
      </c>
      <c r="F30" s="17"/>
      <c r="G30" s="19" t="str">
        <f ca="1">IF($A30="","",IF($I30="X",A30,CONCATENATE(VLOOKUP(A30,Competitors!$A$2:$I$650,3, FALSE)," ",VLOOKUP(A30,Competitors!$A$2:$I$650,2,FALSE))))</f>
        <v>Alex Hardwicke</v>
      </c>
      <c r="H30" s="20">
        <f t="shared" si="1"/>
        <v>1.9733796296296298E-2</v>
      </c>
      <c r="I30" t="str">
        <f t="shared" ca="1" si="2"/>
        <v/>
      </c>
      <c r="J30" s="40" t="s">
        <v>611</v>
      </c>
    </row>
    <row r="31" spans="1:10" ht="14.25" x14ac:dyDescent="0.15">
      <c r="A31" s="17" t="str">
        <f t="shared" ca="1" si="0"/>
        <v>Lynne Scofield (RFW)</v>
      </c>
      <c r="B31" s="17">
        <v>0</v>
      </c>
      <c r="C31" s="17">
        <v>28</v>
      </c>
      <c r="D31" s="17">
        <v>49</v>
      </c>
      <c r="E31" s="17"/>
      <c r="F31" s="17"/>
      <c r="G31" s="19" t="str">
        <f ca="1">IF($A31="","",IF($I31="X",A31,CONCATENATE(VLOOKUP(A31,Competitors!$A$2:$I$650,3, FALSE)," ",VLOOKUP(A31,Competitors!$A$2:$I$650,2,FALSE))))</f>
        <v>Lynne Scofield (RFW)</v>
      </c>
      <c r="H31" s="20">
        <f t="shared" si="1"/>
        <v>2.0011574074074074E-2</v>
      </c>
      <c r="I31" t="str">
        <f t="shared" ca="1" si="2"/>
        <v>X</v>
      </c>
      <c r="J31" s="40" t="s">
        <v>155</v>
      </c>
    </row>
    <row r="32" spans="1:10" ht="14.25" x14ac:dyDescent="0.15">
      <c r="A32" s="17" t="str">
        <f t="shared" ca="1" si="0"/>
        <v/>
      </c>
      <c r="B32" s="17"/>
      <c r="C32" s="17"/>
      <c r="D32" s="17"/>
      <c r="E32" s="17"/>
      <c r="F32" s="17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7"/>
      <c r="D33" s="17"/>
      <c r="E33" s="17"/>
      <c r="F33" s="17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7"/>
      <c r="D34" s="17"/>
      <c r="E34" s="17"/>
      <c r="F34" s="17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7"/>
      <c r="D35" s="17"/>
      <c r="E35" s="17"/>
      <c r="F35" s="17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7"/>
      <c r="D36" s="17"/>
      <c r="E36" s="17"/>
      <c r="F36" s="17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7"/>
      <c r="D37" s="17"/>
      <c r="E37" s="17"/>
      <c r="F37" s="17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7"/>
      <c r="D38" s="17"/>
      <c r="E38" s="17"/>
      <c r="F38" s="17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7"/>
      <c r="D39" s="17"/>
      <c r="E39" s="17"/>
      <c r="F39" s="17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7"/>
      <c r="D40" s="17"/>
      <c r="E40" s="17"/>
      <c r="F40" s="17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7"/>
      <c r="D41" s="17"/>
      <c r="E41" s="17"/>
      <c r="F41" s="17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7"/>
      <c r="D42" s="17"/>
      <c r="E42" s="17"/>
      <c r="F42" s="17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7"/>
      <c r="D43" s="17"/>
      <c r="E43" s="17"/>
      <c r="F43" s="17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7"/>
      <c r="D44" s="17"/>
      <c r="E44" s="17"/>
      <c r="F44" s="17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7"/>
      <c r="D45" s="17"/>
      <c r="E45" s="17"/>
      <c r="F45" s="17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7"/>
      <c r="D46" s="17"/>
      <c r="E46" s="17"/>
      <c r="F46" s="17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7"/>
      <c r="D47" s="17"/>
      <c r="E47" s="17"/>
      <c r="F47" s="17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7"/>
      <c r="D48" s="17"/>
      <c r="E48" s="17"/>
      <c r="F48" s="17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7"/>
      <c r="D49" s="17"/>
      <c r="E49" s="17"/>
      <c r="F49" s="17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7"/>
      <c r="D50" s="17"/>
      <c r="E50" s="17"/>
      <c r="F50" s="17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7"/>
      <c r="D51" s="17"/>
      <c r="E51" s="17"/>
      <c r="F51" s="17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7"/>
      <c r="D52" s="17"/>
      <c r="E52" s="17"/>
      <c r="F52" s="17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7"/>
      <c r="D53" s="17"/>
      <c r="E53" s="17"/>
      <c r="F53" s="17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7"/>
      <c r="D54" s="17"/>
      <c r="E54" s="17"/>
      <c r="F54" s="17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7"/>
      <c r="D55" s="17"/>
      <c r="E55" s="17"/>
      <c r="F55" s="17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7"/>
      <c r="D56" s="17"/>
      <c r="E56" s="17"/>
      <c r="F56" s="17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7"/>
      <c r="D57" s="17"/>
      <c r="E57" s="17"/>
      <c r="F57" s="17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7"/>
      <c r="D58" s="17"/>
      <c r="E58" s="17"/>
      <c r="F58" s="17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7"/>
      <c r="D59" s="17"/>
      <c r="E59" s="17"/>
      <c r="F59" s="17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7"/>
      <c r="D60" s="17"/>
      <c r="E60" s="17"/>
      <c r="F60" s="17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7"/>
      <c r="D61" s="17"/>
      <c r="E61" s="17"/>
      <c r="F61" s="17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7"/>
      <c r="D62" s="17"/>
      <c r="E62" s="17"/>
      <c r="F62" s="17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7"/>
      <c r="D63" s="17"/>
      <c r="E63" s="17"/>
      <c r="F63" s="17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7"/>
      <c r="D64" s="17"/>
      <c r="E64" s="17"/>
      <c r="F64" s="17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7"/>
      <c r="D65" s="17"/>
      <c r="E65" s="17"/>
      <c r="F65" s="17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7"/>
      <c r="D66" s="17"/>
      <c r="E66" s="17"/>
      <c r="F66" s="17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7"/>
      <c r="D67" s="17"/>
      <c r="E67" s="17"/>
      <c r="F67" s="17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7"/>
      <c r="D68" s="17"/>
      <c r="E68" s="17"/>
      <c r="F68" s="17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7"/>
      <c r="D69" s="17"/>
      <c r="E69" s="17"/>
      <c r="F69" s="17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7"/>
      <c r="D70" s="17"/>
      <c r="E70" s="17"/>
      <c r="F70" s="17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7"/>
      <c r="D71" s="17"/>
      <c r="E71" s="17"/>
      <c r="F71" s="17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7"/>
      <c r="D72" s="17"/>
      <c r="E72" s="17"/>
      <c r="F72" s="17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7"/>
      <c r="D73" s="17"/>
      <c r="E73" s="17"/>
      <c r="F73" s="17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7"/>
      <c r="D74" s="17"/>
      <c r="E74" s="17"/>
      <c r="F74" s="17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7"/>
      <c r="D75" s="17"/>
      <c r="E75" s="17"/>
      <c r="F75" s="17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7"/>
      <c r="D76" s="17"/>
      <c r="E76" s="17"/>
      <c r="F76" s="17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7"/>
      <c r="D77" s="17"/>
      <c r="E77" s="17"/>
      <c r="F77" s="17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7"/>
      <c r="D78" s="17"/>
      <c r="E78" s="17"/>
      <c r="F78" s="17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7"/>
      <c r="D79" s="17"/>
      <c r="E79" s="17"/>
      <c r="F79" s="17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7"/>
      <c r="D80" s="17"/>
      <c r="E80" s="17"/>
      <c r="F80" s="17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7"/>
      <c r="D81" s="17"/>
      <c r="E81" s="17"/>
      <c r="F81" s="17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7"/>
      <c r="D82" s="17"/>
      <c r="E82" s="17"/>
      <c r="F82" s="17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7"/>
      <c r="D83" s="17"/>
      <c r="E83" s="17"/>
      <c r="F83" s="17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7"/>
      <c r="D84" s="17"/>
      <c r="E84" s="17"/>
      <c r="F84" s="17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7"/>
      <c r="D85" s="17"/>
      <c r="E85" s="17"/>
      <c r="F85" s="17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7"/>
      <c r="D86" s="17"/>
      <c r="E86" s="17"/>
      <c r="F86" s="17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7"/>
      <c r="D87" s="17"/>
      <c r="E87" s="17"/>
      <c r="F87" s="17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7"/>
      <c r="D88" s="17"/>
      <c r="E88" s="17"/>
      <c r="F88" s="17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7"/>
      <c r="D89" s="17"/>
      <c r="E89" s="17"/>
      <c r="F89" s="17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7"/>
      <c r="D90" s="17"/>
      <c r="E90" s="17"/>
      <c r="F90" s="17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7"/>
      <c r="D91" s="17"/>
      <c r="E91" s="17"/>
      <c r="F91" s="17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7"/>
      <c r="D92" s="17"/>
      <c r="E92" s="17"/>
      <c r="F92" s="17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7"/>
      <c r="D93" s="17"/>
      <c r="E93" s="17"/>
      <c r="F93" s="17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7"/>
      <c r="D94" s="17"/>
      <c r="E94" s="17"/>
      <c r="F94" s="17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7"/>
      <c r="D95" s="17"/>
      <c r="E95" s="17"/>
      <c r="F95" s="17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7"/>
      <c r="D96" s="17"/>
      <c r="E96" s="17"/>
      <c r="F96" s="17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7"/>
      <c r="D97" s="17"/>
      <c r="E97" s="17"/>
      <c r="F97" s="17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7"/>
      <c r="D98" s="17"/>
      <c r="E98" s="17"/>
      <c r="F98" s="17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7"/>
      <c r="D99" s="17"/>
      <c r="E99" s="17"/>
      <c r="F99" s="17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7"/>
      <c r="D100" s="17"/>
      <c r="E100" s="17"/>
      <c r="F100" s="17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7"/>
      <c r="D101" s="17"/>
      <c r="E101" s="17"/>
      <c r="F101" s="17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50" priority="1">
      <formula>TEXT($B$104,"@")="Y"</formula>
    </cfRule>
  </conditionalFormatting>
  <conditionalFormatting sqref="G2:H101">
    <cfRule type="expression" dxfId="49" priority="3">
      <formula>$I2="X"</formula>
    </cfRule>
  </conditionalFormatting>
  <conditionalFormatting sqref="H2:H101">
    <cfRule type="expression" dxfId="48" priority="2">
      <formula>TEXT($B$104,"@")="Y"</formula>
    </cfRule>
  </conditionalFormatting>
  <printOptions horizontalCentered="1"/>
  <pageMargins left="0.62992125984251968" right="0.70866141732283472" top="1.7322834645669292" bottom="0.39370078740157483" header="0.31496062992125984" footer="0.31496062992125984"/>
  <pageSetup paperSize="9" scale="45" orientation="portrait" r:id="rId1"/>
  <headerFooter>
    <oddHeader>&amp;C&amp;24WVCC champs 2016 results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5A3B-32D4-459C-99B0-F8EF1FCE6A3F}">
  <sheetPr codeName="Sheet43">
    <pageSetUpPr fitToPage="1"/>
  </sheetPr>
  <dimension ref="A1:J104"/>
  <sheetViews>
    <sheetView zoomScaleNormal="100" workbookViewId="0">
      <selection activeCell="E35" sqref="E35:F36"/>
    </sheetView>
  </sheetViews>
  <sheetFormatPr defaultColWidth="9.16796875" defaultRowHeight="12.75" x14ac:dyDescent="0.15"/>
  <cols>
    <col min="1" max="1" width="21.98046875" bestFit="1" customWidth="1"/>
    <col min="2" max="4" width="4.71875" customWidth="1"/>
    <col min="5" max="6" width="11.0546875" customWidth="1"/>
    <col min="7" max="7" width="25.08203125" customWidth="1"/>
    <col min="8" max="8" width="14.6953125" style="23" customWidth="1"/>
    <col min="9" max="9" width="19.28125" bestFit="1" customWidth="1"/>
    <col min="10" max="10" width="16.31640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 t="str">
        <f t="shared" ref="A2:A33" ca="1" si="0">IF(J2="","",_xlfn.XLOOKUP(J2,ClubNames,ClubNumbers,_xlfn.XLOOKUP(J2,RoundRobinRiderNames,RoundRobinRiderDecoratedNames,J2)))</f>
        <v>Hudson Hendry</v>
      </c>
      <c r="B2" s="17">
        <v>0</v>
      </c>
      <c r="C2" s="17">
        <v>57</v>
      </c>
      <c r="D2" s="17">
        <v>8</v>
      </c>
      <c r="E2" s="17"/>
      <c r="F2" s="17"/>
      <c r="G2" s="19" t="str">
        <f ca="1">IF($A2="","",IF($I2="X",A2,CONCATENATE(VLOOKUP(A2,Competitors!$A$2:$I$650,3, FALSE)," ",VLOOKUP(A2,Competitors!$A$2:$I$650,2,FALSE))))</f>
        <v>Hudson Hendry</v>
      </c>
      <c r="H2" s="20">
        <f>IF(LEFT($E2,1)="D",UPPER($E2),(B2*3600+C2*60+D2)/86400)</f>
        <v>3.9675925925925927E-2</v>
      </c>
      <c r="I2" t="str">
        <f ca="1">IF(OR(A2="",ISNUMBER(A2)),"","X")</f>
        <v>X</v>
      </c>
      <c r="J2" s="40" t="s">
        <v>219</v>
      </c>
    </row>
    <row r="3" spans="1:10" ht="14.25" x14ac:dyDescent="0.15">
      <c r="A3" s="17">
        <f t="shared" ca="1" si="0"/>
        <v>407</v>
      </c>
      <c r="B3" s="17">
        <v>0</v>
      </c>
      <c r="C3" s="17">
        <v>59</v>
      </c>
      <c r="D3" s="17">
        <v>47</v>
      </c>
      <c r="E3" s="17"/>
      <c r="F3" s="17"/>
      <c r="G3" s="19" t="str">
        <f ca="1">IF($A3="","",IF($I3="X",A3,CONCATENATE(VLOOKUP(A3,Competitors!$A$2:$I$650,3, FALSE)," ",VLOOKUP(A3,Competitors!$A$2:$I$650,2,FALSE))))</f>
        <v>Hans van Nierop</v>
      </c>
      <c r="H3" s="20">
        <f t="shared" ref="H3:H66" si="1">IF(LEFT($E3,1)="D",UPPER($E3),(B3*3600+C3*60+D3)/86400)</f>
        <v>4.1516203703703701E-2</v>
      </c>
      <c r="I3" t="str">
        <f t="shared" ref="I3:I66" ca="1" si="2">IF(OR(A3="",ISNUMBER(A3)),"","X")</f>
        <v/>
      </c>
      <c r="J3" s="40" t="s">
        <v>583</v>
      </c>
    </row>
    <row r="4" spans="1:10" ht="14.25" x14ac:dyDescent="0.15">
      <c r="A4" s="17" t="str">
        <f t="shared" ca="1" si="0"/>
        <v>Chris Fowler (RFW)</v>
      </c>
      <c r="B4" s="17">
        <v>1</v>
      </c>
      <c r="C4" s="17">
        <v>0</v>
      </c>
      <c r="D4" s="17">
        <v>4</v>
      </c>
      <c r="E4" s="17"/>
      <c r="F4" s="17"/>
      <c r="G4" s="19" t="str">
        <f ca="1">IF($A4="","",IF($I4="X",A4,CONCATENATE(VLOOKUP(A4,Competitors!$A$2:$I$650,3, FALSE)," ",VLOOKUP(A4,Competitors!$A$2:$I$650,2,FALSE))))</f>
        <v>Chris Fowler (RFW)</v>
      </c>
      <c r="H4" s="20">
        <f t="shared" si="1"/>
        <v>4.1712962962962966E-2</v>
      </c>
      <c r="I4" t="str">
        <f t="shared" ca="1" si="2"/>
        <v>X</v>
      </c>
      <c r="J4" s="40" t="s">
        <v>153</v>
      </c>
    </row>
    <row r="5" spans="1:10" ht="14.25" x14ac:dyDescent="0.15">
      <c r="A5" s="17" t="str">
        <f t="shared" ca="1" si="0"/>
        <v>Mike Weaver</v>
      </c>
      <c r="B5" s="17">
        <v>1</v>
      </c>
      <c r="C5" s="17">
        <v>0</v>
      </c>
      <c r="D5" s="17">
        <v>51</v>
      </c>
      <c r="E5" s="17"/>
      <c r="F5" s="17"/>
      <c r="G5" s="19" t="str">
        <f ca="1">IF($A5="","",IF($I5="X",A5,CONCATENATE(VLOOKUP(A5,Competitors!$A$2:$I$650,3, FALSE)," ",VLOOKUP(A5,Competitors!$A$2:$I$650,2,FALSE))))</f>
        <v>Mike Weaver</v>
      </c>
      <c r="H5" s="20">
        <f t="shared" si="1"/>
        <v>4.2256944444444444E-2</v>
      </c>
      <c r="I5" t="str">
        <f t="shared" ca="1" si="2"/>
        <v>X</v>
      </c>
      <c r="J5" s="40" t="s">
        <v>220</v>
      </c>
    </row>
    <row r="6" spans="1:10" ht="14.25" x14ac:dyDescent="0.15">
      <c r="A6" s="17">
        <f t="shared" ca="1" si="0"/>
        <v>1144</v>
      </c>
      <c r="B6" s="17">
        <v>1</v>
      </c>
      <c r="C6" s="17">
        <v>3</v>
      </c>
      <c r="D6" s="17">
        <v>11</v>
      </c>
      <c r="E6" s="17"/>
      <c r="F6" s="17"/>
      <c r="G6" s="19" t="str">
        <f ca="1">IF($A6="","",IF($I6="X",A6,CONCATENATE(VLOOKUP(A6,Competitors!$A$2:$I$650,3, FALSE)," ",VLOOKUP(A6,Competitors!$A$2:$I$650,2,FALSE))))</f>
        <v>Jamie Kershaw</v>
      </c>
      <c r="H6" s="20">
        <f t="shared" si="1"/>
        <v>4.3877314814814813E-2</v>
      </c>
      <c r="I6" t="str">
        <f t="shared" ca="1" si="2"/>
        <v/>
      </c>
      <c r="J6" s="40" t="s">
        <v>584</v>
      </c>
    </row>
    <row r="7" spans="1:10" ht="14.25" x14ac:dyDescent="0.15">
      <c r="A7" s="17" t="str">
        <f t="shared" ca="1" si="0"/>
        <v>Adam Wells (RFW)</v>
      </c>
      <c r="B7" s="17">
        <v>1</v>
      </c>
      <c r="C7" s="17">
        <v>3</v>
      </c>
      <c r="D7" s="17">
        <v>16</v>
      </c>
      <c r="E7" s="17"/>
      <c r="F7" s="17"/>
      <c r="G7" s="19" t="str">
        <f ca="1">IF($A7="","",IF($I7="X",A7,CONCATENATE(VLOOKUP(A7,Competitors!$A$2:$I$650,3, FALSE)," ",VLOOKUP(A7,Competitors!$A$2:$I$650,2,FALSE))))</f>
        <v>Adam Wells (RFW)</v>
      </c>
      <c r="H7" s="20">
        <f t="shared" si="1"/>
        <v>4.3935185185185188E-2</v>
      </c>
      <c r="I7" t="str">
        <f t="shared" ca="1" si="2"/>
        <v>X</v>
      </c>
      <c r="J7" s="40" t="s">
        <v>150</v>
      </c>
    </row>
    <row r="8" spans="1:10" ht="14.25" x14ac:dyDescent="0.15">
      <c r="A8" s="17">
        <f t="shared" ca="1" si="0"/>
        <v>699</v>
      </c>
      <c r="B8" s="17">
        <v>1</v>
      </c>
      <c r="C8" s="17">
        <v>3</v>
      </c>
      <c r="D8" s="17">
        <v>58</v>
      </c>
      <c r="E8" s="17"/>
      <c r="F8" s="17"/>
      <c r="G8" s="19" t="str">
        <f ca="1">IF($A8="","",IF($I8="X",A8,CONCATENATE(VLOOKUP(A8,Competitors!$A$2:$I$650,3, FALSE)," ",VLOOKUP(A8,Competitors!$A$2:$I$650,2,FALSE))))</f>
        <v>Jonathan Durnin</v>
      </c>
      <c r="H8" s="20">
        <f t="shared" si="1"/>
        <v>4.4421296296296299E-2</v>
      </c>
      <c r="I8" t="str">
        <f t="shared" ca="1" si="2"/>
        <v/>
      </c>
      <c r="J8" s="40" t="s">
        <v>586</v>
      </c>
    </row>
    <row r="9" spans="1:10" ht="14.25" x14ac:dyDescent="0.15">
      <c r="A9" s="17" t="str">
        <f t="shared" ca="1" si="0"/>
        <v>Phil Wilkinson (RFW)</v>
      </c>
      <c r="B9" s="17">
        <v>1</v>
      </c>
      <c r="C9" s="17">
        <v>4</v>
      </c>
      <c r="D9" s="17">
        <v>15</v>
      </c>
      <c r="E9" s="17"/>
      <c r="F9" s="17"/>
      <c r="G9" s="19" t="str">
        <f ca="1">IF($A9="","",IF($I9="X",A9,CONCATENATE(VLOOKUP(A9,Competitors!$A$2:$I$650,3, FALSE)," ",VLOOKUP(A9,Competitors!$A$2:$I$650,2,FALSE))))</f>
        <v>Phil Wilkinson (RFW)</v>
      </c>
      <c r="H9" s="20">
        <f t="shared" si="1"/>
        <v>4.4618055555555557E-2</v>
      </c>
      <c r="I9" t="str">
        <f t="shared" ca="1" si="2"/>
        <v>X</v>
      </c>
      <c r="J9" s="40" t="s">
        <v>157</v>
      </c>
    </row>
    <row r="10" spans="1:10" ht="14.25" x14ac:dyDescent="0.15">
      <c r="A10" s="17">
        <f t="shared" ca="1" si="0"/>
        <v>967</v>
      </c>
      <c r="B10" s="17">
        <v>1</v>
      </c>
      <c r="C10" s="17">
        <v>4</v>
      </c>
      <c r="D10" s="17">
        <v>21</v>
      </c>
      <c r="E10" s="17" t="s">
        <v>170</v>
      </c>
      <c r="F10" s="17"/>
      <c r="G10" s="19" t="str">
        <f ca="1">IF($A10="","",IF($I10="X",A10,CONCATENATE(VLOOKUP(A10,Competitors!$A$2:$I$650,3, FALSE)," ",VLOOKUP(A10,Competitors!$A$2:$I$650,2,FALSE))))</f>
        <v>Daniel McDonnell</v>
      </c>
      <c r="H10" s="20">
        <f t="shared" si="1"/>
        <v>4.4687499999999998E-2</v>
      </c>
      <c r="I10" t="str">
        <f t="shared" ca="1" si="2"/>
        <v/>
      </c>
      <c r="J10" s="40" t="s">
        <v>620</v>
      </c>
    </row>
    <row r="11" spans="1:10" ht="14.25" x14ac:dyDescent="0.15">
      <c r="A11" s="17" t="str">
        <f t="shared" ca="1" si="0"/>
        <v>Alex Barrowman</v>
      </c>
      <c r="B11" s="17">
        <v>1</v>
      </c>
      <c r="C11" s="17">
        <v>4</v>
      </c>
      <c r="D11" s="17">
        <v>34</v>
      </c>
      <c r="E11" s="17"/>
      <c r="F11" s="17"/>
      <c r="G11" s="19" t="str">
        <f ca="1">IF($A11="","",IF($I11="X",A11,CONCATENATE(VLOOKUP(A11,Competitors!$A$2:$I$650,3, FALSE)," ",VLOOKUP(A11,Competitors!$A$2:$I$650,2,FALSE))))</f>
        <v>Alex Barrowman</v>
      </c>
      <c r="H11" s="20">
        <f t="shared" si="1"/>
        <v>4.4837962962962961E-2</v>
      </c>
      <c r="I11" t="str">
        <f t="shared" ca="1" si="2"/>
        <v>X</v>
      </c>
      <c r="J11" s="40" t="s">
        <v>180</v>
      </c>
    </row>
    <row r="12" spans="1:10" ht="14.25" x14ac:dyDescent="0.15">
      <c r="A12" s="17" t="str">
        <f t="shared" ca="1" si="0"/>
        <v>Michael Carter (RFW)</v>
      </c>
      <c r="B12" s="17">
        <v>1</v>
      </c>
      <c r="C12" s="17">
        <v>5</v>
      </c>
      <c r="D12" s="17">
        <v>6</v>
      </c>
      <c r="E12" s="17" t="s">
        <v>170</v>
      </c>
      <c r="F12" s="17"/>
      <c r="G12" s="19" t="str">
        <f ca="1">IF($A12="","",IF($I12="X",A12,CONCATENATE(VLOOKUP(A12,Competitors!$A$2:$I$650,3, FALSE)," ",VLOOKUP(A12,Competitors!$A$2:$I$650,2,FALSE))))</f>
        <v>Michael Carter (RFW)</v>
      </c>
      <c r="H12" s="20">
        <f t="shared" si="1"/>
        <v>4.5208333333333336E-2</v>
      </c>
      <c r="I12" t="str">
        <f t="shared" ca="1" si="2"/>
        <v>X</v>
      </c>
      <c r="J12" s="40" t="s">
        <v>156</v>
      </c>
    </row>
    <row r="13" spans="1:10" ht="14.25" x14ac:dyDescent="0.15">
      <c r="A13" s="17">
        <f t="shared" ca="1" si="0"/>
        <v>415</v>
      </c>
      <c r="B13" s="17">
        <v>1</v>
      </c>
      <c r="C13" s="17">
        <v>5</v>
      </c>
      <c r="D13" s="17">
        <v>36</v>
      </c>
      <c r="E13" s="17"/>
      <c r="F13" s="17"/>
      <c r="G13" s="19" t="str">
        <f ca="1">IF($A13="","",IF($I13="X",A13,CONCATENATE(VLOOKUP(A13,Competitors!$A$2:$I$650,3, FALSE)," ",VLOOKUP(A13,Competitors!$A$2:$I$650,2,FALSE))))</f>
        <v>Nik Kershaw</v>
      </c>
      <c r="H13" s="20">
        <f t="shared" si="1"/>
        <v>4.5555555555555557E-2</v>
      </c>
      <c r="I13" t="str">
        <f t="shared" ca="1" si="2"/>
        <v/>
      </c>
      <c r="J13" s="40" t="s">
        <v>594</v>
      </c>
    </row>
    <row r="14" spans="1:10" ht="14.25" x14ac:dyDescent="0.15">
      <c r="A14" s="17">
        <f t="shared" ca="1" si="0"/>
        <v>35</v>
      </c>
      <c r="B14" s="17">
        <v>1</v>
      </c>
      <c r="C14" s="17">
        <v>5</v>
      </c>
      <c r="D14" s="17">
        <v>48</v>
      </c>
      <c r="E14" s="17"/>
      <c r="F14" s="17"/>
      <c r="G14" s="19" t="str">
        <f ca="1">IF($A14="","",IF($I14="X",A14,CONCATENATE(VLOOKUP(A14,Competitors!$A$2:$I$650,3, FALSE)," ",VLOOKUP(A14,Competitors!$A$2:$I$650,2,FALSE))))</f>
        <v>Matt Plews</v>
      </c>
      <c r="H14" s="20">
        <f t="shared" si="1"/>
        <v>4.5694444444444447E-2</v>
      </c>
      <c r="I14" t="str">
        <f t="shared" ca="1" si="2"/>
        <v/>
      </c>
      <c r="J14" s="40" t="s">
        <v>588</v>
      </c>
    </row>
    <row r="15" spans="1:10" ht="14.25" x14ac:dyDescent="0.15">
      <c r="A15" s="17">
        <f t="shared" ca="1" si="0"/>
        <v>1192</v>
      </c>
      <c r="B15" s="17">
        <v>1</v>
      </c>
      <c r="C15" s="17">
        <v>6</v>
      </c>
      <c r="D15" s="17">
        <v>21</v>
      </c>
      <c r="E15" s="17"/>
      <c r="F15" s="17"/>
      <c r="G15" s="19" t="str">
        <f ca="1">IF($A15="","",IF($I15="X",A15,CONCATENATE(VLOOKUP(A15,Competitors!$A$2:$I$650,3, FALSE)," ",VLOOKUP(A15,Competitors!$A$2:$I$650,2,FALSE))))</f>
        <v>Dale Norris</v>
      </c>
      <c r="H15" s="20">
        <f t="shared" si="1"/>
        <v>4.6076388888888889E-2</v>
      </c>
      <c r="I15" t="str">
        <f t="shared" ca="1" si="2"/>
        <v/>
      </c>
      <c r="J15" s="40" t="s">
        <v>590</v>
      </c>
    </row>
    <row r="16" spans="1:10" ht="14.25" x14ac:dyDescent="0.15">
      <c r="A16" s="17" t="str">
        <f t="shared" ca="1" si="0"/>
        <v>Ruth Dempsey</v>
      </c>
      <c r="B16" s="17">
        <v>1</v>
      </c>
      <c r="C16" s="17">
        <v>7</v>
      </c>
      <c r="D16" s="17">
        <v>21</v>
      </c>
      <c r="E16" s="17"/>
      <c r="F16" s="17"/>
      <c r="G16" s="19" t="str">
        <f ca="1">IF($A16="","",IF($I16="X",A16,CONCATENATE(VLOOKUP(A16,Competitors!$A$2:$I$650,3, FALSE)," ",VLOOKUP(A16,Competitors!$A$2:$I$650,2,FALSE))))</f>
        <v>Ruth Dempsey</v>
      </c>
      <c r="H16" s="20">
        <f t="shared" si="1"/>
        <v>4.6770833333333331E-2</v>
      </c>
      <c r="I16" t="str">
        <f t="shared" ca="1" si="2"/>
        <v>X</v>
      </c>
      <c r="J16" s="40" t="s">
        <v>221</v>
      </c>
    </row>
    <row r="17" spans="1:10" ht="14.25" x14ac:dyDescent="0.15">
      <c r="A17" s="17">
        <f t="shared" ca="1" si="0"/>
        <v>203</v>
      </c>
      <c r="B17" s="17">
        <v>1</v>
      </c>
      <c r="C17" s="17">
        <v>8</v>
      </c>
      <c r="D17" s="17">
        <v>46</v>
      </c>
      <c r="E17" s="17"/>
      <c r="F17" s="17"/>
      <c r="G17" s="19" t="str">
        <f ca="1">IF($A17="","",IF($I17="X",A17,CONCATENATE(VLOOKUP(A17,Competitors!$A$2:$I$650,3, FALSE)," ",VLOOKUP(A17,Competitors!$A$2:$I$650,2,FALSE))))</f>
        <v>Adrian Killworth</v>
      </c>
      <c r="H17" s="20">
        <f t="shared" si="1"/>
        <v>4.7754629629629633E-2</v>
      </c>
      <c r="I17" t="str">
        <f t="shared" ca="1" si="2"/>
        <v/>
      </c>
      <c r="J17" s="40" t="s">
        <v>603</v>
      </c>
    </row>
    <row r="18" spans="1:10" ht="14.25" x14ac:dyDescent="0.15">
      <c r="A18" s="17" t="str">
        <f t="shared" ca="1" si="0"/>
        <v>Steve Wickham</v>
      </c>
      <c r="B18" s="17">
        <v>1</v>
      </c>
      <c r="C18" s="17">
        <v>11</v>
      </c>
      <c r="D18" s="17">
        <v>15</v>
      </c>
      <c r="E18" s="17"/>
      <c r="F18" s="17"/>
      <c r="G18" s="19" t="str">
        <f ca="1">IF($A18="","",IF($I18="X",A18,CONCATENATE(VLOOKUP(A18,Competitors!$A$2:$I$650,3, FALSE)," ",VLOOKUP(A18,Competitors!$A$2:$I$650,2,FALSE))))</f>
        <v>Steve Wickham</v>
      </c>
      <c r="H18" s="20">
        <f t="shared" si="1"/>
        <v>4.9479166666666664E-2</v>
      </c>
      <c r="I18" t="str">
        <f t="shared" ca="1" si="2"/>
        <v>X</v>
      </c>
      <c r="J18" s="40" t="s">
        <v>222</v>
      </c>
    </row>
    <row r="19" spans="1:10" ht="14.25" x14ac:dyDescent="0.15">
      <c r="A19" s="17" t="str">
        <f t="shared" ca="1" si="0"/>
        <v>Shay Dempsey</v>
      </c>
      <c r="B19" s="17">
        <v>1</v>
      </c>
      <c r="C19" s="17">
        <v>11</v>
      </c>
      <c r="D19" s="17">
        <v>46</v>
      </c>
      <c r="E19" s="17"/>
      <c r="F19" s="17"/>
      <c r="G19" s="19" t="str">
        <f ca="1">IF($A19="","",IF($I19="X",A19,CONCATENATE(VLOOKUP(A19,Competitors!$A$2:$I$650,3, FALSE)," ",VLOOKUP(A19,Competitors!$A$2:$I$650,2,FALSE))))</f>
        <v>Shay Dempsey</v>
      </c>
      <c r="H19" s="20">
        <f t="shared" si="1"/>
        <v>4.9837962962962966E-2</v>
      </c>
      <c r="I19" t="str">
        <f t="shared" ca="1" si="2"/>
        <v>X</v>
      </c>
      <c r="J19" s="40" t="s">
        <v>223</v>
      </c>
    </row>
    <row r="20" spans="1:10" ht="14.25" x14ac:dyDescent="0.15">
      <c r="A20" s="17">
        <f t="shared" ca="1" si="0"/>
        <v>674</v>
      </c>
      <c r="B20" s="17">
        <v>1</v>
      </c>
      <c r="C20" s="17">
        <v>12</v>
      </c>
      <c r="D20" s="17">
        <v>3</v>
      </c>
      <c r="E20" s="17"/>
      <c r="F20" s="17"/>
      <c r="G20" s="19" t="str">
        <f ca="1">IF($A20="","",IF($I20="X",A20,CONCATENATE(VLOOKUP(A20,Competitors!$A$2:$I$650,3, FALSE)," ",VLOOKUP(A20,Competitors!$A$2:$I$650,2,FALSE))))</f>
        <v>Jennifer Clegg</v>
      </c>
      <c r="H20" s="20">
        <f t="shared" si="1"/>
        <v>5.0034722222222223E-2</v>
      </c>
      <c r="I20" t="str">
        <f t="shared" ca="1" si="2"/>
        <v/>
      </c>
      <c r="J20" s="40" t="s">
        <v>641</v>
      </c>
    </row>
    <row r="21" spans="1:10" ht="14.25" x14ac:dyDescent="0.15">
      <c r="A21" s="17">
        <f t="shared" ca="1" si="0"/>
        <v>846</v>
      </c>
      <c r="B21" s="17">
        <v>1</v>
      </c>
      <c r="C21" s="17">
        <v>12</v>
      </c>
      <c r="D21" s="17">
        <v>20</v>
      </c>
      <c r="E21" s="17"/>
      <c r="F21" s="17"/>
      <c r="G21" s="19" t="str">
        <f ca="1">IF($A21="","",IF($I21="X",A21,CONCATENATE(VLOOKUP(A21,Competitors!$A$2:$I$650,3, FALSE)," ",VLOOKUP(A21,Competitors!$A$2:$I$650,2,FALSE))))</f>
        <v>Roger Kockelbergh</v>
      </c>
      <c r="H21" s="20">
        <f t="shared" si="1"/>
        <v>5.0231481481481481E-2</v>
      </c>
      <c r="I21" t="str">
        <f t="shared" ca="1" si="2"/>
        <v/>
      </c>
      <c r="J21" s="40" t="s">
        <v>601</v>
      </c>
    </row>
    <row r="22" spans="1:10" ht="14.25" x14ac:dyDescent="0.15">
      <c r="A22" s="17" t="str">
        <f t="shared" ca="1" si="0"/>
        <v>Lee Murray</v>
      </c>
      <c r="B22" s="17">
        <v>1</v>
      </c>
      <c r="C22" s="17">
        <v>13</v>
      </c>
      <c r="D22" s="17">
        <v>1</v>
      </c>
      <c r="E22" s="17" t="s">
        <v>170</v>
      </c>
      <c r="F22" s="17"/>
      <c r="G22" s="19" t="str">
        <f ca="1">IF($A22="","",IF($I22="X",A22,CONCATENATE(VLOOKUP(A22,Competitors!$A$2:$I$650,3, FALSE)," ",VLOOKUP(A22,Competitors!$A$2:$I$650,2,FALSE))))</f>
        <v>Lee Murray</v>
      </c>
      <c r="H22" s="20">
        <f t="shared" si="1"/>
        <v>5.0706018518518518E-2</v>
      </c>
      <c r="I22" t="str">
        <f t="shared" ca="1" si="2"/>
        <v>X</v>
      </c>
      <c r="J22" s="40" t="s">
        <v>224</v>
      </c>
    </row>
    <row r="23" spans="1:10" ht="14.25" x14ac:dyDescent="0.15">
      <c r="A23" s="17">
        <f t="shared" ca="1" si="0"/>
        <v>715</v>
      </c>
      <c r="B23" s="17">
        <v>1</v>
      </c>
      <c r="C23" s="17">
        <v>13</v>
      </c>
      <c r="D23" s="17">
        <v>22</v>
      </c>
      <c r="E23" s="17"/>
      <c r="F23" s="17"/>
      <c r="G23" s="19" t="str">
        <f ca="1">IF($A23="","",IF($I23="X",A23,CONCATENATE(VLOOKUP(A23,Competitors!$A$2:$I$650,3, FALSE)," ",VLOOKUP(A23,Competitors!$A$2:$I$650,2,FALSE))))</f>
        <v>Steven Coulam</v>
      </c>
      <c r="H23" s="20">
        <f t="shared" si="1"/>
        <v>5.0949074074074077E-2</v>
      </c>
      <c r="I23" t="str">
        <f t="shared" ca="1" si="2"/>
        <v/>
      </c>
      <c r="J23" s="40" t="s">
        <v>623</v>
      </c>
    </row>
    <row r="24" spans="1:10" ht="14.25" x14ac:dyDescent="0.15">
      <c r="A24" s="17" t="str">
        <f t="shared" ca="1" si="0"/>
        <v>David Hill (RFW)</v>
      </c>
      <c r="B24" s="17">
        <v>1</v>
      </c>
      <c r="C24" s="17">
        <v>17</v>
      </c>
      <c r="D24" s="17">
        <v>12</v>
      </c>
      <c r="E24" s="17" t="s">
        <v>170</v>
      </c>
      <c r="F24" s="17"/>
      <c r="G24" s="19" t="str">
        <f ca="1">IF($A24="","",IF($I24="X",A24,CONCATENATE(VLOOKUP(A24,Competitors!$A$2:$I$650,3, FALSE)," ",VLOOKUP(A24,Competitors!$A$2:$I$650,2,FALSE))))</f>
        <v>David Hill (RFW)</v>
      </c>
      <c r="H24" s="20">
        <f t="shared" si="1"/>
        <v>5.3611111111111109E-2</v>
      </c>
      <c r="I24" t="str">
        <f t="shared" ca="1" si="2"/>
        <v>X</v>
      </c>
      <c r="J24" s="40" t="s">
        <v>225</v>
      </c>
    </row>
    <row r="25" spans="1:10" ht="14.25" x14ac:dyDescent="0.15">
      <c r="A25" s="17">
        <f t="shared" ca="1" si="0"/>
        <v>1195</v>
      </c>
      <c r="B25" s="17">
        <v>1</v>
      </c>
      <c r="C25" s="17">
        <v>18</v>
      </c>
      <c r="D25" s="17">
        <v>51</v>
      </c>
      <c r="E25" s="17" t="s">
        <v>170</v>
      </c>
      <c r="F25" s="17"/>
      <c r="G25" s="19" t="str">
        <f ca="1">IF($A25="","",IF($I25="X",A25,CONCATENATE(VLOOKUP(A25,Competitors!$A$2:$I$650,3, FALSE)," ",VLOOKUP(A25,Competitors!$A$2:$I$650,2,FALSE))))</f>
        <v>Charlie Hardwicke</v>
      </c>
      <c r="H25" s="20">
        <f t="shared" si="1"/>
        <v>5.4756944444444441E-2</v>
      </c>
      <c r="I25" t="str">
        <f t="shared" ca="1" si="2"/>
        <v/>
      </c>
      <c r="J25" s="40" t="s">
        <v>613</v>
      </c>
    </row>
    <row r="26" spans="1:10" ht="14.25" x14ac:dyDescent="0.15">
      <c r="A26" s="17" t="str">
        <f t="shared" ca="1" si="0"/>
        <v>Lynne Scofield (RFW)</v>
      </c>
      <c r="B26" s="17">
        <v>1</v>
      </c>
      <c r="C26" s="17">
        <v>19</v>
      </c>
      <c r="D26" s="17">
        <v>2</v>
      </c>
      <c r="E26" s="17"/>
      <c r="F26" s="17"/>
      <c r="G26" s="19" t="str">
        <f ca="1">IF($A26="","",IF($I26="X",A26,CONCATENATE(VLOOKUP(A26,Competitors!$A$2:$I$650,3, FALSE)," ",VLOOKUP(A26,Competitors!$A$2:$I$650,2,FALSE))))</f>
        <v>Lynne Scofield (RFW)</v>
      </c>
      <c r="H26" s="20">
        <f t="shared" si="1"/>
        <v>5.4884259259259258E-2</v>
      </c>
      <c r="I26" t="str">
        <f t="shared" ca="1" si="2"/>
        <v>X</v>
      </c>
      <c r="J26" s="40" t="s">
        <v>155</v>
      </c>
    </row>
    <row r="27" spans="1:10" ht="14.25" x14ac:dyDescent="0.15">
      <c r="A27" s="17" t="str">
        <f t="shared" ca="1" si="0"/>
        <v>Mike Deely</v>
      </c>
      <c r="B27" s="17"/>
      <c r="C27" s="17"/>
      <c r="D27" s="17"/>
      <c r="E27" s="17"/>
      <c r="F27" s="17" t="s">
        <v>215</v>
      </c>
      <c r="G27" s="19" t="str">
        <f ca="1">IF($A27="","",IF($I27="X",A27,CONCATENATE(VLOOKUP(A27,Competitors!$A$2:$I$650,3, FALSE)," ",VLOOKUP(A27,Competitors!$A$2:$I$650,2,FALSE))))</f>
        <v>Mike Deely</v>
      </c>
      <c r="H27" s="20">
        <f t="shared" si="1"/>
        <v>0</v>
      </c>
      <c r="I27" t="str">
        <f t="shared" ca="1" si="2"/>
        <v>X</v>
      </c>
      <c r="J27" s="40" t="s">
        <v>191</v>
      </c>
    </row>
    <row r="28" spans="1:10" ht="14.25" x14ac:dyDescent="0.15">
      <c r="A28" s="17" t="str">
        <f t="shared" ca="1" si="0"/>
        <v/>
      </c>
      <c r="B28" s="17"/>
      <c r="C28" s="17"/>
      <c r="D28" s="17"/>
      <c r="E28" s="17"/>
      <c r="F28" s="17"/>
      <c r="G28" s="19" t="str">
        <f ca="1">IF($A28="","",IF($I28="X",A28,CONCATENATE(VLOOKUP(A28,Competitors!$A$2:$I$650,3, FALSE)," ",VLOOKUP(A28,Competitors!$A$2:$I$650,2,FALSE))))</f>
        <v/>
      </c>
      <c r="H28" s="20">
        <f t="shared" si="1"/>
        <v>0</v>
      </c>
      <c r="I28" t="str">
        <f t="shared" ca="1" si="2"/>
        <v/>
      </c>
      <c r="J28" s="40" t="s">
        <v>173</v>
      </c>
    </row>
    <row r="29" spans="1:10" ht="14.25" x14ac:dyDescent="0.15">
      <c r="A29" s="17" t="str">
        <f t="shared" ca="1" si="0"/>
        <v/>
      </c>
      <c r="B29" s="17"/>
      <c r="C29" s="17"/>
      <c r="D29" s="17"/>
      <c r="E29" s="17"/>
      <c r="F29" s="17"/>
      <c r="G29" s="19" t="str">
        <f ca="1">IF($A29="","",IF($I29="X",A29,CONCATENATE(VLOOKUP(A29,Competitors!$A$2:$I$650,3, FALSE)," ",VLOOKUP(A29,Competitors!$A$2:$I$650,2,FALSE))))</f>
        <v/>
      </c>
      <c r="H29" s="20">
        <f t="shared" si="1"/>
        <v>0</v>
      </c>
      <c r="I29" t="str">
        <f t="shared" ca="1" si="2"/>
        <v/>
      </c>
      <c r="J29" s="40" t="s">
        <v>173</v>
      </c>
    </row>
    <row r="30" spans="1:10" ht="14.25" x14ac:dyDescent="0.15">
      <c r="A30" s="17" t="str">
        <f t="shared" ca="1" si="0"/>
        <v/>
      </c>
      <c r="B30" s="17"/>
      <c r="C30" s="17"/>
      <c r="D30" s="17"/>
      <c r="E30" s="17"/>
      <c r="F30" s="17"/>
      <c r="G30" s="19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17" t="str">
        <f t="shared" ca="1" si="0"/>
        <v/>
      </c>
      <c r="B31" s="17"/>
      <c r="C31" s="17"/>
      <c r="D31" s="17"/>
      <c r="E31" s="17"/>
      <c r="F31" s="17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7"/>
      <c r="D32" s="17"/>
      <c r="E32" s="17"/>
      <c r="F32" s="17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7"/>
      <c r="D33" s="17"/>
      <c r="E33" s="17"/>
      <c r="F33" s="17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7"/>
      <c r="D34" s="17"/>
      <c r="E34" s="17"/>
      <c r="F34" s="17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7"/>
      <c r="D35" s="17"/>
      <c r="E35" s="17"/>
      <c r="F35" s="17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7"/>
      <c r="D36" s="17"/>
      <c r="E36" s="17"/>
      <c r="F36" s="17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7"/>
      <c r="D37" s="17"/>
      <c r="E37" s="17"/>
      <c r="F37" s="17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7"/>
      <c r="D38" s="17"/>
      <c r="E38" s="17"/>
      <c r="F38" s="17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7"/>
      <c r="D39" s="17"/>
      <c r="E39" s="17"/>
      <c r="F39" s="17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7"/>
      <c r="D40" s="17"/>
      <c r="E40" s="17"/>
      <c r="F40" s="17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7"/>
      <c r="D41" s="17"/>
      <c r="E41" s="17"/>
      <c r="F41" s="17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7"/>
      <c r="D42" s="17"/>
      <c r="E42" s="17"/>
      <c r="F42" s="17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7"/>
      <c r="D43" s="17"/>
      <c r="E43" s="17"/>
      <c r="F43" s="17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7"/>
      <c r="D44" s="17"/>
      <c r="E44" s="17"/>
      <c r="F44" s="17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7"/>
      <c r="D45" s="17"/>
      <c r="E45" s="17"/>
      <c r="F45" s="17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7"/>
      <c r="D46" s="17"/>
      <c r="E46" s="17"/>
      <c r="F46" s="17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7"/>
      <c r="D47" s="17"/>
      <c r="E47" s="17"/>
      <c r="F47" s="17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7"/>
      <c r="D48" s="17"/>
      <c r="E48" s="17"/>
      <c r="F48" s="17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7"/>
      <c r="D49" s="17"/>
      <c r="E49" s="17"/>
      <c r="F49" s="17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7"/>
      <c r="D50" s="17"/>
      <c r="E50" s="17"/>
      <c r="F50" s="17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7"/>
      <c r="D51" s="17"/>
      <c r="E51" s="17"/>
      <c r="F51" s="17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7"/>
      <c r="D52" s="17"/>
      <c r="E52" s="17"/>
      <c r="F52" s="17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7"/>
      <c r="D53" s="17"/>
      <c r="E53" s="17"/>
      <c r="F53" s="17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7"/>
      <c r="D54" s="17"/>
      <c r="E54" s="17"/>
      <c r="F54" s="17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7"/>
      <c r="D55" s="17"/>
      <c r="E55" s="17"/>
      <c r="F55" s="17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7"/>
      <c r="D56" s="17"/>
      <c r="E56" s="17"/>
      <c r="F56" s="17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7"/>
      <c r="D57" s="17"/>
      <c r="E57" s="17"/>
      <c r="F57" s="17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7"/>
      <c r="D58" s="17"/>
      <c r="E58" s="17"/>
      <c r="F58" s="17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7"/>
      <c r="D59" s="17"/>
      <c r="E59" s="17"/>
      <c r="F59" s="17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7"/>
      <c r="D60" s="17"/>
      <c r="E60" s="17"/>
      <c r="F60" s="17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7"/>
      <c r="D61" s="17"/>
      <c r="E61" s="17"/>
      <c r="F61" s="17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7"/>
      <c r="D62" s="17"/>
      <c r="E62" s="17"/>
      <c r="F62" s="17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7"/>
      <c r="D63" s="17"/>
      <c r="E63" s="17"/>
      <c r="F63" s="17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7"/>
      <c r="D64" s="17"/>
      <c r="E64" s="17"/>
      <c r="F64" s="17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7"/>
      <c r="D65" s="17"/>
      <c r="E65" s="17"/>
      <c r="F65" s="17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7"/>
      <c r="D66" s="17"/>
      <c r="E66" s="17"/>
      <c r="F66" s="17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7"/>
      <c r="D67" s="17"/>
      <c r="E67" s="17"/>
      <c r="F67" s="17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7"/>
      <c r="D68" s="17"/>
      <c r="E68" s="17"/>
      <c r="F68" s="17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7"/>
      <c r="D69" s="17"/>
      <c r="E69" s="17"/>
      <c r="F69" s="17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7"/>
      <c r="D70" s="17"/>
      <c r="E70" s="17"/>
      <c r="F70" s="17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7"/>
      <c r="D71" s="17"/>
      <c r="E71" s="17"/>
      <c r="F71" s="17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7"/>
      <c r="D72" s="17"/>
      <c r="E72" s="17"/>
      <c r="F72" s="17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7"/>
      <c r="D73" s="17"/>
      <c r="E73" s="17"/>
      <c r="F73" s="17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7"/>
      <c r="D74" s="17"/>
      <c r="E74" s="17"/>
      <c r="F74" s="17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7"/>
      <c r="D75" s="17"/>
      <c r="E75" s="17"/>
      <c r="F75" s="17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7"/>
      <c r="D76" s="17"/>
      <c r="E76" s="17"/>
      <c r="F76" s="17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7"/>
      <c r="D77" s="17"/>
      <c r="E77" s="17"/>
      <c r="F77" s="17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7"/>
      <c r="D78" s="17"/>
      <c r="E78" s="17"/>
      <c r="F78" s="17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7"/>
      <c r="D79" s="17"/>
      <c r="E79" s="17"/>
      <c r="F79" s="17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7"/>
      <c r="D80" s="17"/>
      <c r="E80" s="17"/>
      <c r="F80" s="17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7"/>
      <c r="D81" s="17"/>
      <c r="E81" s="17"/>
      <c r="F81" s="17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7"/>
      <c r="D82" s="17"/>
      <c r="E82" s="17"/>
      <c r="F82" s="17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7"/>
      <c r="D83" s="17"/>
      <c r="E83" s="17"/>
      <c r="F83" s="17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7"/>
      <c r="D84" s="17"/>
      <c r="E84" s="17"/>
      <c r="F84" s="17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7"/>
      <c r="D85" s="17"/>
      <c r="E85" s="17"/>
      <c r="F85" s="17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7"/>
      <c r="D86" s="17"/>
      <c r="E86" s="17"/>
      <c r="F86" s="17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7"/>
      <c r="D87" s="17"/>
      <c r="E87" s="17"/>
      <c r="F87" s="17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7"/>
      <c r="D88" s="17"/>
      <c r="E88" s="17"/>
      <c r="F88" s="17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7"/>
      <c r="D89" s="17"/>
      <c r="E89" s="17"/>
      <c r="F89" s="17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7"/>
      <c r="D90" s="17"/>
      <c r="E90" s="17"/>
      <c r="F90" s="17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7"/>
      <c r="D91" s="17"/>
      <c r="E91" s="17"/>
      <c r="F91" s="17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7"/>
      <c r="D92" s="17"/>
      <c r="E92" s="17"/>
      <c r="F92" s="17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7"/>
      <c r="D93" s="17"/>
      <c r="E93" s="17"/>
      <c r="F93" s="17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7"/>
      <c r="D94" s="17"/>
      <c r="E94" s="17"/>
      <c r="F94" s="17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7"/>
      <c r="D95" s="17"/>
      <c r="E95" s="17"/>
      <c r="F95" s="17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7"/>
      <c r="D96" s="17"/>
      <c r="E96" s="17"/>
      <c r="F96" s="17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7"/>
      <c r="D97" s="17"/>
      <c r="E97" s="17"/>
      <c r="F97" s="17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7"/>
      <c r="D98" s="17"/>
      <c r="E98" s="17"/>
      <c r="F98" s="17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7"/>
      <c r="D99" s="17"/>
      <c r="E99" s="17"/>
      <c r="F99" s="17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7"/>
      <c r="D100" s="17"/>
      <c r="E100" s="17"/>
      <c r="F100" s="17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7"/>
      <c r="D101" s="17"/>
      <c r="E101" s="17"/>
      <c r="F101" s="17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47" priority="1">
      <formula>TEXT($B$104,"@")="Y"</formula>
    </cfRule>
  </conditionalFormatting>
  <conditionalFormatting sqref="G2:H101">
    <cfRule type="expression" dxfId="46" priority="3">
      <formula>$I2="X"</formula>
    </cfRule>
  </conditionalFormatting>
  <conditionalFormatting sqref="H2:H101">
    <cfRule type="expression" dxfId="45" priority="2">
      <formula>TEXT($B$104,"@")="Y"</formula>
    </cfRule>
  </conditionalFormatting>
  <printOptions horizontalCentered="1"/>
  <pageMargins left="0.62992125984251968" right="0.70866141732283472" top="1.7322834645669292" bottom="0.39370078740157483" header="0.31496062992125984" footer="0.31496062992125984"/>
  <pageSetup paperSize="9" scale="45" orientation="portrait" r:id="rId1"/>
  <headerFooter>
    <oddHeader>&amp;C&amp;24WVCC champs 2016 results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688D-B4F8-42C7-8A94-9DADA91A0011}">
  <sheetPr codeName="Sheet4"/>
  <dimension ref="A1:J104"/>
  <sheetViews>
    <sheetView zoomScale="75" zoomScaleNormal="75" workbookViewId="0">
      <selection activeCell="A8" sqref="A8"/>
    </sheetView>
  </sheetViews>
  <sheetFormatPr defaultColWidth="9.16796875" defaultRowHeight="12.75" x14ac:dyDescent="0.15"/>
  <cols>
    <col min="1" max="1" width="21.7109375" bestFit="1" customWidth="1"/>
    <col min="2" max="4" width="4.71875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  <col min="10" max="10" width="16.31640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>
        <f t="shared" ref="A2:A33" ca="1" si="0">IF(J2="","",_xlfn.XLOOKUP(J2,ClubNames,ClubNumbers,_xlfn.XLOOKUP(J2,RoundRobinRiderNames,RoundRobinRiderDecoratedNames,J2)))</f>
        <v>407</v>
      </c>
      <c r="B2" s="17">
        <v>0</v>
      </c>
      <c r="C2" s="18">
        <v>21</v>
      </c>
      <c r="D2" s="18">
        <v>26</v>
      </c>
      <c r="E2" s="18"/>
      <c r="F2" s="18"/>
      <c r="G2" s="19" t="str">
        <f ca="1">IF($A2="","",IF($I2="X",A2,CONCATENATE(VLOOKUP(A2,Competitors!$A$2:$I$650,3, FALSE)," ",VLOOKUP(A2,Competitors!$A$2:$I$650,2,FALSE))))</f>
        <v>Hans van Nierop</v>
      </c>
      <c r="H2" s="20">
        <f>IF(LEFT($E2,1)="D",UPPER($E2),(B2*3600+C2*60+D2)/86400)</f>
        <v>1.4884259259259259E-2</v>
      </c>
      <c r="I2" t="str">
        <f ca="1">IF(OR(A2="",ISNUMBER(A2)),"","X")</f>
        <v/>
      </c>
      <c r="J2" s="40" t="s">
        <v>583</v>
      </c>
    </row>
    <row r="3" spans="1:10" ht="14.25" x14ac:dyDescent="0.15">
      <c r="A3" s="17">
        <f t="shared" ca="1" si="0"/>
        <v>699</v>
      </c>
      <c r="B3" s="17">
        <v>0</v>
      </c>
      <c r="C3" s="18">
        <v>21</v>
      </c>
      <c r="D3" s="18">
        <v>56</v>
      </c>
      <c r="E3" s="18"/>
      <c r="F3" s="18"/>
      <c r="G3" s="19" t="str">
        <f ca="1">IF($A3="","",IF($I3="X",A3,CONCATENATE(VLOOKUP(A3,Competitors!$A$2:$I$650,3, FALSE)," ",VLOOKUP(A3,Competitors!$A$2:$I$650,2,FALSE))))</f>
        <v>Jonathan Durnin</v>
      </c>
      <c r="H3" s="20">
        <f t="shared" ref="H3:H66" si="1">IF(LEFT($E3,1)="D",UPPER($E3),(B3*3600+C3*60+D3)/86400)</f>
        <v>1.5231481481481481E-2</v>
      </c>
      <c r="I3" t="str">
        <f t="shared" ref="I3:I66" ca="1" si="2">IF(OR(A3="",ISNUMBER(A3)),"","X")</f>
        <v/>
      </c>
      <c r="J3" s="40" t="s">
        <v>586</v>
      </c>
    </row>
    <row r="4" spans="1:10" ht="14.25" x14ac:dyDescent="0.15">
      <c r="A4" s="17" t="str">
        <f t="shared" ca="1" si="0"/>
        <v>Adam Wells (RFW)</v>
      </c>
      <c r="B4" s="17">
        <v>0</v>
      </c>
      <c r="C4" s="18">
        <v>22</v>
      </c>
      <c r="D4" s="18">
        <v>11</v>
      </c>
      <c r="E4" s="18"/>
      <c r="F4" s="18"/>
      <c r="G4" s="19" t="str">
        <f ca="1">IF($A4="","",IF($I4="X",A4,CONCATENATE(VLOOKUP(A4,Competitors!$A$2:$I$650,3, FALSE)," ",VLOOKUP(A4,Competitors!$A$2:$I$650,2,FALSE))))</f>
        <v>Adam Wells (RFW)</v>
      </c>
      <c r="H4" s="20">
        <f t="shared" si="1"/>
        <v>1.5405092592592592E-2</v>
      </c>
      <c r="I4" t="str">
        <f t="shared" ca="1" si="2"/>
        <v>X</v>
      </c>
      <c r="J4" s="40" t="s">
        <v>150</v>
      </c>
    </row>
    <row r="5" spans="1:10" ht="14.25" x14ac:dyDescent="0.15">
      <c r="A5" s="17" t="str">
        <f t="shared" ca="1" si="0"/>
        <v>Phil Wilkinson (RFW)</v>
      </c>
      <c r="B5" s="17">
        <v>0</v>
      </c>
      <c r="C5" s="18">
        <v>22</v>
      </c>
      <c r="D5" s="18">
        <v>23</v>
      </c>
      <c r="E5" s="18"/>
      <c r="F5" s="18"/>
      <c r="G5" s="19" t="str">
        <f ca="1">IF($A5="","",IF($I5="X",A5,CONCATENATE(VLOOKUP(A5,Competitors!$A$2:$I$650,3, FALSE)," ",VLOOKUP(A5,Competitors!$A$2:$I$650,2,FALSE))))</f>
        <v>Phil Wilkinson (RFW)</v>
      </c>
      <c r="H5" s="20">
        <f t="shared" si="1"/>
        <v>1.5543981481481482E-2</v>
      </c>
      <c r="I5" t="str">
        <f t="shared" ca="1" si="2"/>
        <v>X</v>
      </c>
      <c r="J5" s="40" t="s">
        <v>157</v>
      </c>
    </row>
    <row r="6" spans="1:10" ht="14.25" x14ac:dyDescent="0.15">
      <c r="A6" s="17">
        <f t="shared" ca="1" si="0"/>
        <v>38</v>
      </c>
      <c r="B6" s="17">
        <v>0</v>
      </c>
      <c r="C6" s="18">
        <v>22</v>
      </c>
      <c r="D6" s="18">
        <v>37</v>
      </c>
      <c r="E6" s="18"/>
      <c r="F6" s="18"/>
      <c r="G6" s="19" t="str">
        <f ca="1">IF($A6="","",IF($I6="X",A6,CONCATENATE(VLOOKUP(A6,Competitors!$A$2:$I$650,3, FALSE)," ",VLOOKUP(A6,Competitors!$A$2:$I$650,2,FALSE))))</f>
        <v>Phil Rayner</v>
      </c>
      <c r="H6" s="20">
        <f t="shared" si="1"/>
        <v>1.5706018518518518E-2</v>
      </c>
      <c r="I6" t="str">
        <f t="shared" ca="1" si="2"/>
        <v/>
      </c>
      <c r="J6" s="40" t="s">
        <v>619</v>
      </c>
    </row>
    <row r="7" spans="1:10" ht="14.25" x14ac:dyDescent="0.15">
      <c r="A7" s="17">
        <f t="shared" ca="1" si="0"/>
        <v>35</v>
      </c>
      <c r="B7" s="17">
        <v>0</v>
      </c>
      <c r="C7" s="18">
        <v>22</v>
      </c>
      <c r="D7" s="18">
        <v>47</v>
      </c>
      <c r="E7" s="18"/>
      <c r="F7" s="18"/>
      <c r="G7" s="19" t="str">
        <f ca="1">IF($A7="","",IF($I7="X",A7,CONCATENATE(VLOOKUP(A7,Competitors!$A$2:$I$650,3, FALSE)," ",VLOOKUP(A7,Competitors!$A$2:$I$650,2,FALSE))))</f>
        <v>Matt Plews</v>
      </c>
      <c r="H7" s="20">
        <f t="shared" si="1"/>
        <v>1.5821759259259258E-2</v>
      </c>
      <c r="I7" t="str">
        <f t="shared" ca="1" si="2"/>
        <v/>
      </c>
      <c r="J7" s="40" t="s">
        <v>588</v>
      </c>
    </row>
    <row r="8" spans="1:10" ht="14.25" x14ac:dyDescent="0.15">
      <c r="A8" s="17" t="s">
        <v>226</v>
      </c>
      <c r="B8" s="17">
        <v>0</v>
      </c>
      <c r="C8" s="18">
        <v>23</v>
      </c>
      <c r="D8" s="18">
        <v>29</v>
      </c>
      <c r="E8" s="18"/>
      <c r="F8" s="18"/>
      <c r="G8" s="19" t="str">
        <f>IF($A8="","",IF($I8="X",A8,CONCATENATE(VLOOKUP(A8,Competitors!$A$2:$I$650,3, FALSE)," ",VLOOKUP(A8,Competitors!$A$2:$I$650,2,FALSE))))</f>
        <v>Ed Tarelli</v>
      </c>
      <c r="H8" s="20">
        <f t="shared" si="1"/>
        <v>1.6307870370370372E-2</v>
      </c>
      <c r="I8" t="str">
        <f t="shared" si="2"/>
        <v>X</v>
      </c>
      <c r="J8" s="40" t="s">
        <v>226</v>
      </c>
    </row>
    <row r="9" spans="1:10" ht="14.25" x14ac:dyDescent="0.15">
      <c r="A9" s="17">
        <f t="shared" ca="1" si="0"/>
        <v>415</v>
      </c>
      <c r="B9" s="17">
        <v>0</v>
      </c>
      <c r="C9" s="18">
        <v>23</v>
      </c>
      <c r="D9" s="18">
        <v>31</v>
      </c>
      <c r="E9" s="18"/>
      <c r="F9" s="18"/>
      <c r="G9" s="19" t="str">
        <f ca="1">IF($A9="","",IF($I9="X",A9,CONCATENATE(VLOOKUP(A9,Competitors!$A$2:$I$650,3, FALSE)," ",VLOOKUP(A9,Competitors!$A$2:$I$650,2,FALSE))))</f>
        <v>Nik Kershaw</v>
      </c>
      <c r="H9" s="20">
        <f t="shared" si="1"/>
        <v>1.6331018518518519E-2</v>
      </c>
      <c r="I9" t="str">
        <f t="shared" ca="1" si="2"/>
        <v/>
      </c>
      <c r="J9" s="40" t="s">
        <v>594</v>
      </c>
    </row>
    <row r="10" spans="1:10" ht="14.25" x14ac:dyDescent="0.15">
      <c r="A10" s="17" t="str">
        <f t="shared" ca="1" si="0"/>
        <v>John Tracy</v>
      </c>
      <c r="B10" s="17">
        <v>0</v>
      </c>
      <c r="C10" s="18">
        <v>23</v>
      </c>
      <c r="D10" s="18">
        <v>40</v>
      </c>
      <c r="E10" s="18"/>
      <c r="F10" s="18"/>
      <c r="G10" s="19" t="str">
        <f ca="1">IF($A10="","",IF($I10="X",A10,CONCATENATE(VLOOKUP(A10,Competitors!$A$2:$I$650,3, FALSE)," ",VLOOKUP(A10,Competitors!$A$2:$I$650,2,FALSE))))</f>
        <v>John Tracy</v>
      </c>
      <c r="H10" s="20">
        <f t="shared" si="1"/>
        <v>1.6435185185185185E-2</v>
      </c>
      <c r="I10" t="str">
        <f t="shared" ca="1" si="2"/>
        <v>X</v>
      </c>
      <c r="J10" s="40" t="s">
        <v>227</v>
      </c>
    </row>
    <row r="11" spans="1:10" ht="14.25" x14ac:dyDescent="0.15">
      <c r="A11" s="17">
        <f t="shared" ca="1" si="0"/>
        <v>967</v>
      </c>
      <c r="B11" s="17">
        <v>0</v>
      </c>
      <c r="C11" s="18">
        <v>23</v>
      </c>
      <c r="D11" s="18">
        <v>43</v>
      </c>
      <c r="E11" s="18" t="s">
        <v>170</v>
      </c>
      <c r="F11" s="18"/>
      <c r="G11" s="19" t="str">
        <f ca="1">IF($A11="","",IF($I11="X",A11,CONCATENATE(VLOOKUP(A11,Competitors!$A$2:$I$650,3, FALSE)," ",VLOOKUP(A11,Competitors!$A$2:$I$650,2,FALSE))))</f>
        <v>Daniel McDonnell</v>
      </c>
      <c r="H11" s="20">
        <f t="shared" si="1"/>
        <v>1.6469907407407409E-2</v>
      </c>
      <c r="I11" t="str">
        <f t="shared" ca="1" si="2"/>
        <v/>
      </c>
      <c r="J11" s="40" t="s">
        <v>620</v>
      </c>
    </row>
    <row r="12" spans="1:10" ht="14.25" x14ac:dyDescent="0.15">
      <c r="A12" s="17">
        <f t="shared" ca="1" si="0"/>
        <v>1135</v>
      </c>
      <c r="B12" s="17">
        <v>0</v>
      </c>
      <c r="C12" s="18">
        <v>23</v>
      </c>
      <c r="D12" s="18">
        <v>45</v>
      </c>
      <c r="E12" s="18" t="s">
        <v>170</v>
      </c>
      <c r="F12" s="18"/>
      <c r="G12" s="19" t="str">
        <f ca="1">IF($A12="","",IF($I12="X",A12,CONCATENATE(VLOOKUP(A12,Competitors!$A$2:$I$650,3, FALSE)," ",VLOOKUP(A12,Competitors!$A$2:$I$650,2,FALSE))))</f>
        <v>Simon Askham</v>
      </c>
      <c r="H12" s="20">
        <f t="shared" si="1"/>
        <v>1.6493055555555556E-2</v>
      </c>
      <c r="I12" t="str">
        <f t="shared" ca="1" si="2"/>
        <v/>
      </c>
      <c r="J12" s="40" t="s">
        <v>622</v>
      </c>
    </row>
    <row r="13" spans="1:10" ht="14.25" x14ac:dyDescent="0.15">
      <c r="A13" s="17">
        <f t="shared" ca="1" si="0"/>
        <v>846</v>
      </c>
      <c r="B13" s="17">
        <v>0</v>
      </c>
      <c r="C13" s="18">
        <v>24</v>
      </c>
      <c r="D13" s="18">
        <v>16</v>
      </c>
      <c r="E13" s="18"/>
      <c r="F13" s="18"/>
      <c r="G13" s="19" t="str">
        <f ca="1">IF($A13="","",IF($I13="X",A13,CONCATENATE(VLOOKUP(A13,Competitors!$A$2:$I$650,3, FALSE)," ",VLOOKUP(A13,Competitors!$A$2:$I$650,2,FALSE))))</f>
        <v>Roger Kockelbergh</v>
      </c>
      <c r="H13" s="20">
        <f t="shared" si="1"/>
        <v>1.6851851851851851E-2</v>
      </c>
      <c r="I13" t="str">
        <f t="shared" ca="1" si="2"/>
        <v/>
      </c>
      <c r="J13" s="40" t="s">
        <v>601</v>
      </c>
    </row>
    <row r="14" spans="1:10" ht="14.25" x14ac:dyDescent="0.15">
      <c r="A14" s="17">
        <f t="shared" ca="1" si="0"/>
        <v>203</v>
      </c>
      <c r="B14" s="17">
        <v>0</v>
      </c>
      <c r="C14" s="18">
        <v>24</v>
      </c>
      <c r="D14" s="18">
        <v>18</v>
      </c>
      <c r="E14" s="18"/>
      <c r="F14" s="18"/>
      <c r="G14" s="19" t="str">
        <f ca="1">IF($A14="","",IF($I14="X",A14,CONCATENATE(VLOOKUP(A14,Competitors!$A$2:$I$650,3, FALSE)," ",VLOOKUP(A14,Competitors!$A$2:$I$650,2,FALSE))))</f>
        <v>Adrian Killworth</v>
      </c>
      <c r="H14" s="20">
        <f t="shared" si="1"/>
        <v>1.6875000000000001E-2</v>
      </c>
      <c r="I14" t="str">
        <f t="shared" ca="1" si="2"/>
        <v/>
      </c>
      <c r="J14" s="40" t="s">
        <v>603</v>
      </c>
    </row>
    <row r="15" spans="1:10" ht="14.25" x14ac:dyDescent="0.15">
      <c r="A15" s="17">
        <f t="shared" ca="1" si="0"/>
        <v>1055</v>
      </c>
      <c r="B15" s="17">
        <v>0</v>
      </c>
      <c r="C15" s="18">
        <v>24</v>
      </c>
      <c r="D15" s="18">
        <v>18</v>
      </c>
      <c r="E15" s="18"/>
      <c r="F15" s="18"/>
      <c r="G15" s="19" t="str">
        <f ca="1">IF($A15="","",IF($I15="X",A15,CONCATENATE(VLOOKUP(A15,Competitors!$A$2:$I$650,3, FALSE)," ",VLOOKUP(A15,Competitors!$A$2:$I$650,2,FALSE))))</f>
        <v>Austin Smith</v>
      </c>
      <c r="H15" s="20">
        <f t="shared" si="1"/>
        <v>1.6875000000000001E-2</v>
      </c>
      <c r="I15" t="str">
        <f t="shared" ca="1" si="2"/>
        <v/>
      </c>
      <c r="J15" s="40" t="s">
        <v>589</v>
      </c>
    </row>
    <row r="16" spans="1:10" ht="14.25" x14ac:dyDescent="0.15">
      <c r="A16" s="17">
        <f t="shared" ca="1" si="0"/>
        <v>1254</v>
      </c>
      <c r="B16" s="17">
        <v>0</v>
      </c>
      <c r="C16" s="18">
        <v>24</v>
      </c>
      <c r="D16" s="18">
        <v>55</v>
      </c>
      <c r="E16" s="18"/>
      <c r="F16" s="18"/>
      <c r="G16" s="19" t="str">
        <f ca="1">IF($A16="","",IF($I16="X",A16,CONCATENATE(VLOOKUP(A16,Competitors!$A$2:$I$650,3, FALSE)," ",VLOOKUP(A16,Competitors!$A$2:$I$650,2,FALSE))))</f>
        <v>Paul White</v>
      </c>
      <c r="H16" s="20">
        <f t="shared" si="1"/>
        <v>1.7303240740740741E-2</v>
      </c>
      <c r="I16" t="str">
        <f t="shared" ca="1" si="2"/>
        <v/>
      </c>
      <c r="J16" s="40" t="s">
        <v>624</v>
      </c>
    </row>
    <row r="17" spans="1:10" ht="14.25" x14ac:dyDescent="0.15">
      <c r="A17" s="17">
        <f t="shared" ca="1" si="0"/>
        <v>616</v>
      </c>
      <c r="B17" s="17">
        <v>0</v>
      </c>
      <c r="C17" s="18">
        <v>24</v>
      </c>
      <c r="D17" s="18">
        <v>56</v>
      </c>
      <c r="E17" s="18"/>
      <c r="F17" s="18"/>
      <c r="G17" s="19" t="str">
        <f ca="1">IF($A17="","",IF($I17="X",A17,CONCATENATE(VLOOKUP(A17,Competitors!$A$2:$I$650,3, FALSE)," ",VLOOKUP(A17,Competitors!$A$2:$I$650,2,FALSE))))</f>
        <v>Simon Ward</v>
      </c>
      <c r="H17" s="20">
        <f t="shared" si="1"/>
        <v>1.7314814814814814E-2</v>
      </c>
      <c r="I17" t="str">
        <f t="shared" ca="1" si="2"/>
        <v/>
      </c>
      <c r="J17" s="40" t="s">
        <v>610</v>
      </c>
    </row>
    <row r="18" spans="1:10" ht="14.25" x14ac:dyDescent="0.15">
      <c r="A18" s="17">
        <f t="shared" ca="1" si="0"/>
        <v>23</v>
      </c>
      <c r="B18" s="17">
        <v>0</v>
      </c>
      <c r="C18" s="18">
        <v>25</v>
      </c>
      <c r="D18" s="18">
        <v>36</v>
      </c>
      <c r="E18" s="18"/>
      <c r="F18" s="18"/>
      <c r="G18" s="19" t="str">
        <f ca="1">IF($A18="","",IF($I18="X",A18,CONCATENATE(VLOOKUP(A18,Competitors!$A$2:$I$650,3, FALSE)," ",VLOOKUP(A18,Competitors!$A$2:$I$650,2,FALSE))))</f>
        <v>Chris Hyde</v>
      </c>
      <c r="H18" s="20">
        <f t="shared" si="1"/>
        <v>1.7777777777777778E-2</v>
      </c>
      <c r="I18" t="str">
        <f t="shared" ca="1" si="2"/>
        <v/>
      </c>
      <c r="J18" s="40" t="s">
        <v>606</v>
      </c>
    </row>
    <row r="19" spans="1:10" ht="14.25" x14ac:dyDescent="0.15">
      <c r="A19" s="17">
        <f t="shared" ca="1" si="0"/>
        <v>715</v>
      </c>
      <c r="B19" s="17">
        <v>0</v>
      </c>
      <c r="C19" s="18">
        <v>25</v>
      </c>
      <c r="D19" s="18">
        <v>41</v>
      </c>
      <c r="E19" s="18"/>
      <c r="F19" s="18"/>
      <c r="G19" s="19" t="str">
        <f ca="1">IF($A19="","",IF($I19="X",A19,CONCATENATE(VLOOKUP(A19,Competitors!$A$2:$I$650,3, FALSE)," ",VLOOKUP(A19,Competitors!$A$2:$I$650,2,FALSE))))</f>
        <v>Steven Coulam</v>
      </c>
      <c r="H19" s="20">
        <f t="shared" si="1"/>
        <v>1.7835648148148149E-2</v>
      </c>
      <c r="I19" t="str">
        <f t="shared" ca="1" si="2"/>
        <v/>
      </c>
      <c r="J19" s="40" t="s">
        <v>623</v>
      </c>
    </row>
    <row r="20" spans="1:10" ht="14.25" x14ac:dyDescent="0.15">
      <c r="A20" s="17">
        <f t="shared" ca="1" si="0"/>
        <v>1107</v>
      </c>
      <c r="B20" s="17">
        <v>0</v>
      </c>
      <c r="C20" s="18">
        <v>25</v>
      </c>
      <c r="D20" s="18">
        <v>59</v>
      </c>
      <c r="E20" s="18" t="s">
        <v>170</v>
      </c>
      <c r="F20" s="18"/>
      <c r="G20" s="19" t="str">
        <f ca="1">IF($A20="","",IF($I20="X",A20,CONCATENATE(VLOOKUP(A20,Competitors!$A$2:$I$650,3, FALSE)," ",VLOOKUP(A20,Competitors!$A$2:$I$650,2,FALSE))))</f>
        <v>Milly Pinnock</v>
      </c>
      <c r="H20" s="20">
        <f t="shared" si="1"/>
        <v>1.804398148148148E-2</v>
      </c>
      <c r="I20" t="str">
        <f t="shared" ca="1" si="2"/>
        <v/>
      </c>
      <c r="J20" s="40" t="s">
        <v>600</v>
      </c>
    </row>
    <row r="21" spans="1:10" ht="14.25" x14ac:dyDescent="0.15">
      <c r="A21" s="17">
        <f t="shared" ca="1" si="0"/>
        <v>1357</v>
      </c>
      <c r="B21" s="17">
        <v>0</v>
      </c>
      <c r="C21" s="18">
        <v>26</v>
      </c>
      <c r="D21" s="18">
        <v>4</v>
      </c>
      <c r="E21" s="18" t="s">
        <v>170</v>
      </c>
      <c r="F21" s="18"/>
      <c r="G21" s="19" t="str">
        <f ca="1">IF($A21="","",IF($I21="X",A21,CONCATENATE(VLOOKUP(A21,Competitors!$A$2:$I$650,3, FALSE)," ",VLOOKUP(A21,Competitors!$A$2:$I$650,2,FALSE))))</f>
        <v>Ian Parker</v>
      </c>
      <c r="H21" s="20">
        <f t="shared" si="1"/>
        <v>1.8101851851851852E-2</v>
      </c>
      <c r="I21" t="str">
        <f t="shared" ca="1" si="2"/>
        <v/>
      </c>
      <c r="J21" s="40" t="s">
        <v>218</v>
      </c>
    </row>
    <row r="22" spans="1:10" ht="14.25" x14ac:dyDescent="0.15">
      <c r="A22" s="17">
        <f t="shared" ca="1" si="0"/>
        <v>1194</v>
      </c>
      <c r="B22" s="17">
        <v>0</v>
      </c>
      <c r="C22" s="18">
        <v>28</v>
      </c>
      <c r="D22" s="18">
        <v>44</v>
      </c>
      <c r="E22" s="18" t="s">
        <v>170</v>
      </c>
      <c r="F22" s="18"/>
      <c r="G22" s="19" t="str">
        <f ca="1">IF($A22="","",IF($I22="X",A22,CONCATENATE(VLOOKUP(A22,Competitors!$A$2:$I$650,3, FALSE)," ",VLOOKUP(A22,Competitors!$A$2:$I$650,2,FALSE))))</f>
        <v>Alex Hardwicke</v>
      </c>
      <c r="H22" s="20">
        <f t="shared" si="1"/>
        <v>1.9953703703703703E-2</v>
      </c>
      <c r="I22" t="str">
        <f t="shared" ca="1" si="2"/>
        <v/>
      </c>
      <c r="J22" s="40" t="s">
        <v>611</v>
      </c>
    </row>
    <row r="23" spans="1:10" ht="14.25" x14ac:dyDescent="0.15">
      <c r="A23" s="17">
        <f t="shared" ca="1" si="0"/>
        <v>1385</v>
      </c>
      <c r="B23" s="17"/>
      <c r="C23" s="18"/>
      <c r="D23" s="18"/>
      <c r="E23" s="18"/>
      <c r="F23" s="18" t="s">
        <v>215</v>
      </c>
      <c r="G23" s="19" t="str">
        <f ca="1">IF($A23="","",IF($I23="X",A23,CONCATENATE(VLOOKUP(A23,Competitors!$A$2:$I$650,3, FALSE)," ",VLOOKUP(A23,Competitors!$A$2:$I$650,2,FALSE))))</f>
        <v>Miles Marr</v>
      </c>
      <c r="H23" s="20">
        <f t="shared" si="1"/>
        <v>0</v>
      </c>
      <c r="I23" t="str">
        <f t="shared" ca="1" si="2"/>
        <v/>
      </c>
      <c r="J23" s="40" t="s">
        <v>213</v>
      </c>
    </row>
    <row r="24" spans="1:10" ht="14.25" x14ac:dyDescent="0.15">
      <c r="A24" s="17" t="str">
        <f t="shared" ca="1" si="0"/>
        <v/>
      </c>
      <c r="B24" s="17"/>
      <c r="C24" s="18"/>
      <c r="D24" s="18"/>
      <c r="E24" s="18"/>
      <c r="F24" s="18"/>
      <c r="G24" s="19" t="str">
        <f ca="1">IF($A24="","",IF($I24="X",A24,CONCATENATE(VLOOKUP(A24,Competitors!$A$2:$I$650,3, FALSE)," ",VLOOKUP(A24,Competitors!$A$2:$I$650,2,FALSE))))</f>
        <v/>
      </c>
      <c r="H24" s="20">
        <f t="shared" si="1"/>
        <v>0</v>
      </c>
      <c r="I24" t="str">
        <f t="shared" ca="1" si="2"/>
        <v/>
      </c>
      <c r="J24" s="40" t="s">
        <v>173</v>
      </c>
    </row>
    <row r="25" spans="1:10" ht="14.25" x14ac:dyDescent="0.15">
      <c r="A25" s="17" t="str">
        <f t="shared" ca="1" si="0"/>
        <v/>
      </c>
      <c r="B25" s="17"/>
      <c r="C25" s="18"/>
      <c r="D25" s="18"/>
      <c r="E25" s="18"/>
      <c r="F25" s="18"/>
      <c r="G25" s="19" t="str">
        <f ca="1">IF($A25="","",IF($I25="X",A25,CONCATENATE(VLOOKUP(A25,Competitors!$A$2:$I$650,3, FALSE)," ",VLOOKUP(A25,Competitors!$A$2:$I$650,2,FALSE))))</f>
        <v/>
      </c>
      <c r="H25" s="20">
        <f t="shared" si="1"/>
        <v>0</v>
      </c>
      <c r="I25" t="str">
        <f t="shared" ca="1" si="2"/>
        <v/>
      </c>
      <c r="J25" s="40" t="s">
        <v>173</v>
      </c>
    </row>
    <row r="26" spans="1:10" ht="14.25" x14ac:dyDescent="0.15">
      <c r="A26" s="17" t="str">
        <f t="shared" ca="1" si="0"/>
        <v/>
      </c>
      <c r="B26" s="17"/>
      <c r="C26" s="18"/>
      <c r="D26" s="18"/>
      <c r="E26" s="18"/>
      <c r="F26" s="18"/>
      <c r="G26" s="19" t="str">
        <f ca="1">IF($A26="","",IF($I26="X",A26,CONCATENATE(VLOOKUP(A26,Competitors!$A$2:$I$650,3, FALSE)," ",VLOOKUP(A26,Competitors!$A$2:$I$650,2,FALSE))))</f>
        <v/>
      </c>
      <c r="H26" s="20">
        <f t="shared" si="1"/>
        <v>0</v>
      </c>
      <c r="I26" t="str">
        <f t="shared" ca="1" si="2"/>
        <v/>
      </c>
      <c r="J26" s="40" t="s">
        <v>173</v>
      </c>
    </row>
    <row r="27" spans="1:10" ht="14.25" x14ac:dyDescent="0.15">
      <c r="A27" s="17" t="str">
        <f t="shared" ca="1" si="0"/>
        <v/>
      </c>
      <c r="B27" s="17"/>
      <c r="C27" s="18"/>
      <c r="D27" s="18"/>
      <c r="E27" s="18"/>
      <c r="F27" s="18"/>
      <c r="G27" s="19" t="str">
        <f ca="1">IF($A27="","",IF($I27="X",A27,CONCATENATE(VLOOKUP(A27,Competitors!$A$2:$I$650,3, FALSE)," ",VLOOKUP(A27,Competitors!$A$2:$I$650,2,FALSE))))</f>
        <v/>
      </c>
      <c r="H27" s="20">
        <f t="shared" si="1"/>
        <v>0</v>
      </c>
      <c r="I27" t="str">
        <f t="shared" ca="1" si="2"/>
        <v/>
      </c>
      <c r="J27" s="40" t="s">
        <v>173</v>
      </c>
    </row>
    <row r="28" spans="1:10" ht="14.25" x14ac:dyDescent="0.15">
      <c r="A28" s="17" t="str">
        <f t="shared" ca="1" si="0"/>
        <v/>
      </c>
      <c r="B28" s="17"/>
      <c r="C28" s="18"/>
      <c r="D28" s="18"/>
      <c r="E28" s="18"/>
      <c r="F28" s="18"/>
      <c r="G28" s="19" t="str">
        <f ca="1">IF($A28="","",IF($I28="X",A28,CONCATENATE(VLOOKUP(A28,Competitors!$A$2:$I$650,3, FALSE)," ",VLOOKUP(A28,Competitors!$A$2:$I$650,2,FALSE))))</f>
        <v/>
      </c>
      <c r="H28" s="20">
        <f t="shared" si="1"/>
        <v>0</v>
      </c>
      <c r="I28" t="str">
        <f t="shared" ca="1" si="2"/>
        <v/>
      </c>
      <c r="J28" s="40" t="s">
        <v>173</v>
      </c>
    </row>
    <row r="29" spans="1:10" ht="14.25" x14ac:dyDescent="0.15">
      <c r="A29" s="17" t="str">
        <f t="shared" ca="1" si="0"/>
        <v/>
      </c>
      <c r="B29" s="17"/>
      <c r="C29" s="18"/>
      <c r="D29" s="18"/>
      <c r="E29" s="18"/>
      <c r="F29" s="18"/>
      <c r="G29" s="19" t="str">
        <f ca="1">IF($A29="","",IF($I29="X",A29,CONCATENATE(VLOOKUP(A29,Competitors!$A$2:$I$650,3, FALSE)," ",VLOOKUP(A29,Competitors!$A$2:$I$650,2,FALSE))))</f>
        <v/>
      </c>
      <c r="H29" s="20">
        <f t="shared" si="1"/>
        <v>0</v>
      </c>
      <c r="I29" t="str">
        <f t="shared" ca="1" si="2"/>
        <v/>
      </c>
      <c r="J29" s="40" t="s">
        <v>173</v>
      </c>
    </row>
    <row r="30" spans="1:10" ht="14.25" x14ac:dyDescent="0.15">
      <c r="A30" s="17" t="str">
        <f t="shared" ca="1" si="0"/>
        <v/>
      </c>
      <c r="B30" s="17"/>
      <c r="C30" s="18"/>
      <c r="D30" s="18"/>
      <c r="E30" s="18"/>
      <c r="F30" s="18"/>
      <c r="G30" s="19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17" t="str">
        <f t="shared" ca="1" si="0"/>
        <v/>
      </c>
      <c r="B31" s="17"/>
      <c r="C31" s="18"/>
      <c r="D31" s="18"/>
      <c r="E31" s="18"/>
      <c r="F31" s="18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8"/>
      <c r="D32" s="18"/>
      <c r="E32" s="18"/>
      <c r="F32" s="18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8"/>
      <c r="D33" s="18"/>
      <c r="E33" s="18"/>
      <c r="F33" s="18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8"/>
      <c r="D34" s="18"/>
      <c r="E34" s="18"/>
      <c r="F34" s="18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8"/>
      <c r="D35" s="18"/>
      <c r="E35" s="18"/>
      <c r="F35" s="18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8"/>
      <c r="D36" s="18"/>
      <c r="E36" s="18"/>
      <c r="F36" s="18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8"/>
      <c r="D37" s="18"/>
      <c r="E37" s="18"/>
      <c r="F37" s="18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8"/>
      <c r="D38" s="18"/>
      <c r="E38" s="18"/>
      <c r="F38" s="18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8"/>
      <c r="D39" s="18"/>
      <c r="E39" s="18"/>
      <c r="F39" s="18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8"/>
      <c r="D40" s="18"/>
      <c r="E40" s="18"/>
      <c r="F40" s="18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8"/>
      <c r="D41" s="18"/>
      <c r="E41" s="18"/>
      <c r="F41" s="18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8"/>
      <c r="D42" s="18"/>
      <c r="E42" s="18"/>
      <c r="F42" s="18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8"/>
      <c r="D43" s="18"/>
      <c r="E43" s="18"/>
      <c r="F43" s="18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8"/>
      <c r="D44" s="18"/>
      <c r="E44" s="18"/>
      <c r="F44" s="18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8"/>
      <c r="D45" s="18"/>
      <c r="E45" s="18"/>
      <c r="F45" s="18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8"/>
      <c r="D46" s="18"/>
      <c r="E46" s="18"/>
      <c r="F46" s="18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8"/>
      <c r="D47" s="18"/>
      <c r="E47" s="18"/>
      <c r="F47" s="18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8"/>
      <c r="D48" s="18"/>
      <c r="E48" s="18"/>
      <c r="F48" s="18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8"/>
      <c r="D49" s="18"/>
      <c r="E49" s="18"/>
      <c r="F49" s="18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8"/>
      <c r="D50" s="18"/>
      <c r="E50" s="18"/>
      <c r="F50" s="18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8"/>
      <c r="D51" s="18"/>
      <c r="E51" s="18"/>
      <c r="F51" s="18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8"/>
      <c r="D52" s="18"/>
      <c r="E52" s="18"/>
      <c r="F52" s="18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8"/>
      <c r="D53" s="18"/>
      <c r="E53" s="18"/>
      <c r="F53" s="18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8"/>
      <c r="D54" s="18"/>
      <c r="E54" s="18"/>
      <c r="F54" s="18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8"/>
      <c r="D55" s="18"/>
      <c r="E55" s="18"/>
      <c r="F55" s="18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8"/>
      <c r="D56" s="18"/>
      <c r="E56" s="18"/>
      <c r="F56" s="18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8"/>
      <c r="D57" s="18"/>
      <c r="E57" s="18"/>
      <c r="F57" s="18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8"/>
      <c r="D58" s="18"/>
      <c r="E58" s="18"/>
      <c r="F58" s="18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8"/>
      <c r="D59" s="18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8"/>
      <c r="D60" s="18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8"/>
      <c r="D61" s="18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8"/>
      <c r="D62" s="18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8"/>
      <c r="D63" s="18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8"/>
      <c r="D64" s="18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8"/>
      <c r="D65" s="18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18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8"/>
      <c r="D67" s="18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8"/>
      <c r="D68" s="18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8"/>
      <c r="D69" s="18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8"/>
      <c r="D70" s="18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8"/>
      <c r="D71" s="18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8"/>
      <c r="D72" s="18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8"/>
      <c r="D73" s="18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8"/>
      <c r="D74" s="18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8"/>
      <c r="D75" s="18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8"/>
      <c r="D76" s="18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8"/>
      <c r="D77" s="18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8"/>
      <c r="D78" s="18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8"/>
      <c r="D79" s="18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8"/>
      <c r="D80" s="18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8"/>
      <c r="D81" s="18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8"/>
      <c r="D82" s="18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8"/>
      <c r="D83" s="18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8"/>
      <c r="D84" s="18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8"/>
      <c r="D85" s="18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8"/>
      <c r="D86" s="18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8"/>
      <c r="D87" s="18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8"/>
      <c r="D88" s="18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8"/>
      <c r="D89" s="18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8"/>
      <c r="D90" s="18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8"/>
      <c r="D91" s="18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8"/>
      <c r="D92" s="18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8"/>
      <c r="D93" s="18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8"/>
      <c r="D94" s="18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8"/>
      <c r="D95" s="18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8"/>
      <c r="D96" s="18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8"/>
      <c r="D97" s="18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8"/>
      <c r="D98" s="18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8"/>
      <c r="D99" s="18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8"/>
      <c r="D100" s="18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8"/>
      <c r="D101" s="18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44" priority="1">
      <formula>TEXT($B$104,"@")="Y"</formula>
    </cfRule>
  </conditionalFormatting>
  <conditionalFormatting sqref="G2:H101">
    <cfRule type="expression" dxfId="43" priority="3">
      <formula>$I2="X"</formula>
    </cfRule>
  </conditionalFormatting>
  <conditionalFormatting sqref="H2:H101">
    <cfRule type="expression" dxfId="42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4DAF-5749-40F5-9B81-078745D8EECB}">
  <sheetPr codeName="Sheet12"/>
  <dimension ref="A1:J104"/>
  <sheetViews>
    <sheetView zoomScale="85" zoomScaleNormal="85" workbookViewId="0">
      <selection activeCell="A32" sqref="A32"/>
    </sheetView>
  </sheetViews>
  <sheetFormatPr defaultColWidth="9.16796875" defaultRowHeight="12.75" x14ac:dyDescent="0.15"/>
  <cols>
    <col min="1" max="1" width="24.9453125" bestFit="1" customWidth="1"/>
    <col min="2" max="4" width="4.71875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  <col min="10" max="10" width="15.1015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>
        <f t="shared" ref="A2:A33" ca="1" si="0">IF(J2="","",_xlfn.XLOOKUP(J2,ClubNames,ClubNumbers,_xlfn.XLOOKUP(J2,RoundRobinRiderNames,RoundRobinRiderDecoratedNames,J2)))</f>
        <v>407</v>
      </c>
      <c r="B2" s="17">
        <v>0</v>
      </c>
      <c r="C2" s="18">
        <v>21</v>
      </c>
      <c r="D2" s="18">
        <v>18</v>
      </c>
      <c r="E2" s="18"/>
      <c r="F2" s="18"/>
      <c r="G2" s="19" t="str">
        <f ca="1">IF($A2="","",IF($I2="X",A2,CONCATENATE(VLOOKUP(A2,Competitors!$A$2:$I$650,3, FALSE)," ",VLOOKUP(A2,Competitors!$A$2:$I$650,2,FALSE))))</f>
        <v>Hans van Nierop</v>
      </c>
      <c r="H2" s="20">
        <f>IF(LEFT($E2,1)="D",UPPER($E2),(B2*3600+C2*60+D2)/86400)</f>
        <v>1.4791666666666667E-2</v>
      </c>
      <c r="I2" t="str">
        <f ca="1">IF(OR(A2="",ISNUMBER(A2)),"","X")</f>
        <v/>
      </c>
      <c r="J2" s="40" t="s">
        <v>583</v>
      </c>
    </row>
    <row r="3" spans="1:10" ht="14.25" x14ac:dyDescent="0.15">
      <c r="A3" s="17" t="str">
        <f t="shared" ca="1" si="0"/>
        <v>Phil Wilikinson</v>
      </c>
      <c r="B3" s="17">
        <v>0</v>
      </c>
      <c r="C3" s="18">
        <v>22</v>
      </c>
      <c r="D3" s="18">
        <v>30</v>
      </c>
      <c r="E3" s="18"/>
      <c r="F3" s="18"/>
      <c r="G3" s="19" t="str">
        <f ca="1">IF($A3="","",IF($I3="X",A3,CONCATENATE(VLOOKUP(A3,Competitors!$A$2:$I$650,3, FALSE)," ",VLOOKUP(A3,Competitors!$A$2:$I$650,2,FALSE))))</f>
        <v>Phil Wilikinson</v>
      </c>
      <c r="H3" s="20">
        <f t="shared" ref="H3:H66" si="1">IF(LEFT($E3,1)="D",UPPER($E3),(B3*3600+C3*60+D3)/86400)</f>
        <v>1.5625E-2</v>
      </c>
      <c r="I3" t="str">
        <f t="shared" ref="I3:I66" ca="1" si="2">IF(OR(A3="",ISNUMBER(A3)),"","X")</f>
        <v>X</v>
      </c>
      <c r="J3" s="40" t="s">
        <v>228</v>
      </c>
    </row>
    <row r="4" spans="1:10" ht="14.25" x14ac:dyDescent="0.15">
      <c r="A4" s="17">
        <f t="shared" ca="1" si="0"/>
        <v>35</v>
      </c>
      <c r="B4" s="17">
        <v>0</v>
      </c>
      <c r="C4" s="18">
        <v>22</v>
      </c>
      <c r="D4" s="18">
        <v>45</v>
      </c>
      <c r="E4" s="18"/>
      <c r="F4" s="18"/>
      <c r="G4" s="19" t="str">
        <f ca="1">IF($A4="","",IF($I4="X",A4,CONCATENATE(VLOOKUP(A4,Competitors!$A$2:$I$650,3, FALSE)," ",VLOOKUP(A4,Competitors!$A$2:$I$650,2,FALSE))))</f>
        <v>Matt Plews</v>
      </c>
      <c r="H4" s="20">
        <f t="shared" si="1"/>
        <v>1.579861111111111E-2</v>
      </c>
      <c r="I4" t="str">
        <f t="shared" ca="1" si="2"/>
        <v/>
      </c>
      <c r="J4" s="40" t="s">
        <v>588</v>
      </c>
    </row>
    <row r="5" spans="1:10" ht="14.25" x14ac:dyDescent="0.15">
      <c r="A5" s="17">
        <f t="shared" ca="1" si="0"/>
        <v>38</v>
      </c>
      <c r="B5" s="17">
        <v>0</v>
      </c>
      <c r="C5" s="18">
        <v>22</v>
      </c>
      <c r="D5" s="18">
        <v>55</v>
      </c>
      <c r="E5" s="18"/>
      <c r="F5" s="18"/>
      <c r="G5" s="19" t="str">
        <f ca="1">IF($A5="","",IF($I5="X",A5,CONCATENATE(VLOOKUP(A5,Competitors!$A$2:$I$650,3, FALSE)," ",VLOOKUP(A5,Competitors!$A$2:$I$650,2,FALSE))))</f>
        <v>Phil Rayner</v>
      </c>
      <c r="H5" s="20">
        <f t="shared" si="1"/>
        <v>1.5914351851851853E-2</v>
      </c>
      <c r="I5" t="str">
        <f t="shared" ca="1" si="2"/>
        <v/>
      </c>
      <c r="J5" s="40" t="s">
        <v>619</v>
      </c>
    </row>
    <row r="6" spans="1:10" ht="14.25" x14ac:dyDescent="0.15">
      <c r="A6" s="17">
        <f t="shared" ca="1" si="0"/>
        <v>967</v>
      </c>
      <c r="B6" s="17">
        <v>0</v>
      </c>
      <c r="C6" s="18">
        <v>23</v>
      </c>
      <c r="D6" s="18">
        <v>27</v>
      </c>
      <c r="E6" s="18" t="s">
        <v>170</v>
      </c>
      <c r="F6" s="18"/>
      <c r="G6" s="19" t="str">
        <f ca="1">IF($A6="","",IF($I6="X",A6,CONCATENATE(VLOOKUP(A6,Competitors!$A$2:$I$650,3, FALSE)," ",VLOOKUP(A6,Competitors!$A$2:$I$650,2,FALSE))))</f>
        <v>Daniel McDonnell</v>
      </c>
      <c r="H6" s="20">
        <f t="shared" si="1"/>
        <v>1.6284722222222221E-2</v>
      </c>
      <c r="I6" t="str">
        <f t="shared" ca="1" si="2"/>
        <v/>
      </c>
      <c r="J6" s="40" t="s">
        <v>620</v>
      </c>
    </row>
    <row r="7" spans="1:10" ht="14.25" x14ac:dyDescent="0.15">
      <c r="A7" s="17">
        <f t="shared" ca="1" si="0"/>
        <v>1192</v>
      </c>
      <c r="B7" s="17">
        <v>0</v>
      </c>
      <c r="C7" s="18">
        <v>23</v>
      </c>
      <c r="D7" s="18">
        <v>45</v>
      </c>
      <c r="E7" s="18"/>
      <c r="F7" s="18"/>
      <c r="G7" s="19" t="str">
        <f ca="1">IF($A7="","",IF($I7="X",A7,CONCATENATE(VLOOKUP(A7,Competitors!$A$2:$I$650,3, FALSE)," ",VLOOKUP(A7,Competitors!$A$2:$I$650,2,FALSE))))</f>
        <v>Dale Norris</v>
      </c>
      <c r="H7" s="20">
        <f t="shared" si="1"/>
        <v>1.6493055555555556E-2</v>
      </c>
      <c r="I7" t="str">
        <f t="shared" ca="1" si="2"/>
        <v/>
      </c>
      <c r="J7" s="40" t="s">
        <v>590</v>
      </c>
    </row>
    <row r="8" spans="1:10" ht="14.25" x14ac:dyDescent="0.15">
      <c r="A8" s="17" t="str">
        <f t="shared" ca="1" si="0"/>
        <v>John Tracey</v>
      </c>
      <c r="B8" s="17">
        <v>0</v>
      </c>
      <c r="C8" s="18">
        <v>23</v>
      </c>
      <c r="D8" s="18">
        <v>52</v>
      </c>
      <c r="E8" s="18"/>
      <c r="F8" s="18"/>
      <c r="G8" s="19" t="str">
        <f ca="1">IF($A8="","",IF($I8="X",A8,CONCATENATE(VLOOKUP(A8,Competitors!$A$2:$I$650,3, FALSE)," ",VLOOKUP(A8,Competitors!$A$2:$I$650,2,FALSE))))</f>
        <v>John Tracey</v>
      </c>
      <c r="H8" s="20">
        <f t="shared" si="1"/>
        <v>1.6574074074074074E-2</v>
      </c>
      <c r="I8" t="str">
        <f t="shared" ca="1" si="2"/>
        <v>X</v>
      </c>
      <c r="J8" s="40" t="s">
        <v>229</v>
      </c>
    </row>
    <row r="9" spans="1:10" ht="14.25" x14ac:dyDescent="0.15">
      <c r="A9" s="17" t="str">
        <f t="shared" ca="1" si="0"/>
        <v>Chris Bonsor (Ratae)</v>
      </c>
      <c r="B9" s="17">
        <v>0</v>
      </c>
      <c r="C9" s="18">
        <v>23</v>
      </c>
      <c r="D9" s="18">
        <v>53</v>
      </c>
      <c r="E9" s="18"/>
      <c r="F9" s="18"/>
      <c r="G9" s="19" t="str">
        <f ca="1">IF($A9="","",IF($I9="X",A9,CONCATENATE(VLOOKUP(A9,Competitors!$A$2:$I$650,3, FALSE)," ",VLOOKUP(A9,Competitors!$A$2:$I$650,2,FALSE))))</f>
        <v>Chris Bonsor (Ratae)</v>
      </c>
      <c r="H9" s="20">
        <f t="shared" si="1"/>
        <v>1.6585648148148148E-2</v>
      </c>
      <c r="I9" t="str">
        <f t="shared" ca="1" si="2"/>
        <v>X</v>
      </c>
      <c r="J9" s="40" t="s">
        <v>141</v>
      </c>
    </row>
    <row r="10" spans="1:10" ht="14.25" x14ac:dyDescent="0.15">
      <c r="A10" s="17">
        <f t="shared" ca="1" si="0"/>
        <v>1055</v>
      </c>
      <c r="B10" s="17">
        <v>0</v>
      </c>
      <c r="C10" s="18">
        <v>23</v>
      </c>
      <c r="D10" s="18">
        <v>56</v>
      </c>
      <c r="E10" s="18"/>
      <c r="F10" s="18"/>
      <c r="G10" s="19" t="str">
        <f ca="1">IF($A10="","",IF($I10="X",A10,CONCATENATE(VLOOKUP(A10,Competitors!$A$2:$I$650,3, FALSE)," ",VLOOKUP(A10,Competitors!$A$2:$I$650,2,FALSE))))</f>
        <v>Austin Smith</v>
      </c>
      <c r="H10" s="20">
        <f t="shared" si="1"/>
        <v>1.6620370370370369E-2</v>
      </c>
      <c r="I10" t="str">
        <f t="shared" ca="1" si="2"/>
        <v/>
      </c>
      <c r="J10" s="40" t="s">
        <v>589</v>
      </c>
    </row>
    <row r="11" spans="1:10" ht="14.25" x14ac:dyDescent="0.15">
      <c r="A11" s="17">
        <f t="shared" ca="1" si="0"/>
        <v>1135</v>
      </c>
      <c r="B11" s="17">
        <v>0</v>
      </c>
      <c r="C11" s="18">
        <v>24</v>
      </c>
      <c r="D11" s="18">
        <v>3</v>
      </c>
      <c r="E11" s="18" t="s">
        <v>170</v>
      </c>
      <c r="F11" s="18"/>
      <c r="G11" s="19" t="str">
        <f ca="1">IF($A11="","",IF($I11="X",A11,CONCATENATE(VLOOKUP(A11,Competitors!$A$2:$I$650,3, FALSE)," ",VLOOKUP(A11,Competitors!$A$2:$I$650,2,FALSE))))</f>
        <v>Simon Askham</v>
      </c>
      <c r="H11" s="20">
        <f t="shared" si="1"/>
        <v>1.6701388888888891E-2</v>
      </c>
      <c r="I11" t="str">
        <f t="shared" ca="1" si="2"/>
        <v/>
      </c>
      <c r="J11" s="40" t="s">
        <v>622</v>
      </c>
    </row>
    <row r="12" spans="1:10" ht="14.25" x14ac:dyDescent="0.15">
      <c r="A12" s="17">
        <f t="shared" ca="1" si="0"/>
        <v>203</v>
      </c>
      <c r="B12" s="17">
        <v>0</v>
      </c>
      <c r="C12" s="18">
        <v>24</v>
      </c>
      <c r="D12" s="18">
        <v>5</v>
      </c>
      <c r="E12" s="18"/>
      <c r="F12" s="18"/>
      <c r="G12" s="19" t="str">
        <f ca="1">IF($A12="","",IF($I12="X",A12,CONCATENATE(VLOOKUP(A12,Competitors!$A$2:$I$650,3, FALSE)," ",VLOOKUP(A12,Competitors!$A$2:$I$650,2,FALSE))))</f>
        <v>Adrian Killworth</v>
      </c>
      <c r="H12" s="20">
        <f t="shared" si="1"/>
        <v>1.6724537037037038E-2</v>
      </c>
      <c r="I12" t="str">
        <f t="shared" ca="1" si="2"/>
        <v/>
      </c>
      <c r="J12" s="40" t="s">
        <v>603</v>
      </c>
    </row>
    <row r="13" spans="1:10" ht="14.25" x14ac:dyDescent="0.15">
      <c r="A13" s="17" t="str">
        <f t="shared" ca="1" si="0"/>
        <v>Megan Cherry</v>
      </c>
      <c r="B13" s="17">
        <v>0</v>
      </c>
      <c r="C13" s="18">
        <v>24</v>
      </c>
      <c r="D13" s="18">
        <v>20</v>
      </c>
      <c r="E13" s="18"/>
      <c r="F13" s="18"/>
      <c r="G13" s="19" t="str">
        <f ca="1">IF($A13="","",IF($I13="X",A13,CONCATENATE(VLOOKUP(A13,Competitors!$A$2:$I$650,3, FALSE)," ",VLOOKUP(A13,Competitors!$A$2:$I$650,2,FALSE))))</f>
        <v>Megan Cherry</v>
      </c>
      <c r="H13" s="20">
        <f t="shared" si="1"/>
        <v>1.6898148148148148E-2</v>
      </c>
      <c r="I13" t="str">
        <f t="shared" ca="1" si="2"/>
        <v>X</v>
      </c>
      <c r="J13" s="40" t="s">
        <v>230</v>
      </c>
    </row>
    <row r="14" spans="1:10" ht="14.25" x14ac:dyDescent="0.15">
      <c r="A14" s="17">
        <f t="shared" ca="1" si="0"/>
        <v>1129</v>
      </c>
      <c r="B14" s="17">
        <v>0</v>
      </c>
      <c r="C14" s="18">
        <v>24</v>
      </c>
      <c r="D14" s="18">
        <v>26</v>
      </c>
      <c r="E14" s="18"/>
      <c r="F14" s="18"/>
      <c r="G14" s="19" t="str">
        <f ca="1">IF($A14="","",IF($I14="X",A14,CONCATENATE(VLOOKUP(A14,Competitors!$A$2:$I$650,3, FALSE)," ",VLOOKUP(A14,Competitors!$A$2:$I$650,2,FALSE))))</f>
        <v>Doug Tincello</v>
      </c>
      <c r="H14" s="20">
        <f t="shared" si="1"/>
        <v>1.6967592592592593E-2</v>
      </c>
      <c r="I14" t="str">
        <f t="shared" ca="1" si="2"/>
        <v/>
      </c>
      <c r="J14" s="40" t="s">
        <v>596</v>
      </c>
    </row>
    <row r="15" spans="1:10" ht="14.25" x14ac:dyDescent="0.15">
      <c r="A15" s="17">
        <f t="shared" ca="1" si="0"/>
        <v>707</v>
      </c>
      <c r="B15" s="17">
        <v>0</v>
      </c>
      <c r="C15" s="18">
        <v>24</v>
      </c>
      <c r="D15" s="18">
        <v>35</v>
      </c>
      <c r="E15" s="18" t="s">
        <v>170</v>
      </c>
      <c r="F15" s="18"/>
      <c r="G15" s="19" t="str">
        <f ca="1">IF($A15="","",IF($I15="X",A15,CONCATENATE(VLOOKUP(A15,Competitors!$A$2:$I$650,3, FALSE)," ",VLOOKUP(A15,Competitors!$A$2:$I$650,2,FALSE))))</f>
        <v>Martin Webster</v>
      </c>
      <c r="H15" s="20">
        <f t="shared" si="1"/>
        <v>1.7071759259259259E-2</v>
      </c>
      <c r="I15" t="str">
        <f t="shared" ca="1" si="2"/>
        <v/>
      </c>
      <c r="J15" s="40" t="s">
        <v>653</v>
      </c>
    </row>
    <row r="16" spans="1:10" ht="14.25" x14ac:dyDescent="0.15">
      <c r="A16" s="17">
        <f t="shared" ca="1" si="0"/>
        <v>1152</v>
      </c>
      <c r="B16" s="17">
        <v>0</v>
      </c>
      <c r="C16" s="18">
        <v>24</v>
      </c>
      <c r="D16" s="18">
        <v>38</v>
      </c>
      <c r="E16" s="18" t="s">
        <v>170</v>
      </c>
      <c r="F16" s="18"/>
      <c r="G16" s="19" t="str">
        <f ca="1">IF($A16="","",IF($I16="X",A16,CONCATENATE(VLOOKUP(A16,Competitors!$A$2:$I$650,3, FALSE)," ",VLOOKUP(A16,Competitors!$A$2:$I$650,2,FALSE))))</f>
        <v>Ruby Isaac</v>
      </c>
      <c r="H16" s="20">
        <f t="shared" si="1"/>
        <v>1.7106481481481483E-2</v>
      </c>
      <c r="I16" t="str">
        <f t="shared" ca="1" si="2"/>
        <v/>
      </c>
      <c r="J16" s="40" t="s">
        <v>602</v>
      </c>
    </row>
    <row r="17" spans="1:10" ht="14.25" x14ac:dyDescent="0.15">
      <c r="A17" s="17" t="str">
        <f t="shared" ca="1" si="0"/>
        <v>Steve Pearce (Ratae)</v>
      </c>
      <c r="B17" s="17">
        <v>0</v>
      </c>
      <c r="C17" s="18">
        <v>24</v>
      </c>
      <c r="D17" s="18">
        <v>39</v>
      </c>
      <c r="E17" s="18"/>
      <c r="F17" s="18"/>
      <c r="G17" s="19" t="str">
        <f ca="1">IF($A17="","",IF($I17="X",A17,CONCATENATE(VLOOKUP(A17,Competitors!$A$2:$I$650,3, FALSE)," ",VLOOKUP(A17,Competitors!$A$2:$I$650,2,FALSE))))</f>
        <v>Steve Pearce (Ratae)</v>
      </c>
      <c r="H17" s="20">
        <f t="shared" si="1"/>
        <v>1.7118055555555556E-2</v>
      </c>
      <c r="I17" t="str">
        <f t="shared" ca="1" si="2"/>
        <v>X</v>
      </c>
      <c r="J17" s="40" t="s">
        <v>149</v>
      </c>
    </row>
    <row r="18" spans="1:10" ht="14.25" x14ac:dyDescent="0.15">
      <c r="A18" s="17">
        <f t="shared" ca="1" si="0"/>
        <v>1254</v>
      </c>
      <c r="B18" s="17">
        <v>0</v>
      </c>
      <c r="C18" s="18">
        <v>24</v>
      </c>
      <c r="D18" s="18">
        <v>41</v>
      </c>
      <c r="E18" s="18"/>
      <c r="F18" s="18"/>
      <c r="G18" s="19" t="str">
        <f ca="1">IF($A18="","",IF($I18="X",A18,CONCATENATE(VLOOKUP(A18,Competitors!$A$2:$I$650,3, FALSE)," ",VLOOKUP(A18,Competitors!$A$2:$I$650,2,FALSE))))</f>
        <v>Paul White</v>
      </c>
      <c r="H18" s="20">
        <f t="shared" si="1"/>
        <v>1.7141203703703704E-2</v>
      </c>
      <c r="I18" t="str">
        <f t="shared" ca="1" si="2"/>
        <v/>
      </c>
      <c r="J18" s="40" t="s">
        <v>624</v>
      </c>
    </row>
    <row r="19" spans="1:10" ht="14.25" x14ac:dyDescent="0.15">
      <c r="A19" s="17" t="str">
        <f t="shared" ca="1" si="0"/>
        <v>Mark Newton (Ratae)</v>
      </c>
      <c r="B19" s="17">
        <v>0</v>
      </c>
      <c r="C19" s="18">
        <v>24</v>
      </c>
      <c r="D19" s="18">
        <v>44</v>
      </c>
      <c r="E19" s="18"/>
      <c r="F19" s="18"/>
      <c r="G19" s="19" t="str">
        <f ca="1">IF($A19="","",IF($I19="X",A19,CONCATENATE(VLOOKUP(A19,Competitors!$A$2:$I$650,3, FALSE)," ",VLOOKUP(A19,Competitors!$A$2:$I$650,2,FALSE))))</f>
        <v>Mark Newton (Ratae)</v>
      </c>
      <c r="H19" s="20">
        <f t="shared" si="1"/>
        <v>1.7175925925925924E-2</v>
      </c>
      <c r="I19" t="str">
        <f t="shared" ca="1" si="2"/>
        <v>X</v>
      </c>
      <c r="J19" s="40" t="s">
        <v>145</v>
      </c>
    </row>
    <row r="20" spans="1:10" ht="14.25" x14ac:dyDescent="0.15">
      <c r="A20" s="17">
        <f t="shared" ca="1" si="0"/>
        <v>1109</v>
      </c>
      <c r="B20" s="17">
        <v>0</v>
      </c>
      <c r="C20" s="18">
        <v>24</v>
      </c>
      <c r="D20" s="18">
        <v>51</v>
      </c>
      <c r="E20" s="18"/>
      <c r="F20" s="18"/>
      <c r="G20" s="19" t="str">
        <f ca="1">IF($A20="","",IF($I20="X",A20,CONCATENATE(VLOOKUP(A20,Competitors!$A$2:$I$650,3, FALSE)," ",VLOOKUP(A20,Competitors!$A$2:$I$650,2,FALSE))))</f>
        <v>Stuart Haycox</v>
      </c>
      <c r="H20" s="20">
        <f t="shared" si="1"/>
        <v>1.7256944444444443E-2</v>
      </c>
      <c r="I20" t="str">
        <f t="shared" ca="1" si="2"/>
        <v/>
      </c>
      <c r="J20" s="40" t="s">
        <v>643</v>
      </c>
    </row>
    <row r="21" spans="1:10" ht="14.25" x14ac:dyDescent="0.15">
      <c r="A21" s="17">
        <f t="shared" ca="1" si="0"/>
        <v>704</v>
      </c>
      <c r="B21" s="17">
        <v>0</v>
      </c>
      <c r="C21" s="18">
        <v>25</v>
      </c>
      <c r="D21" s="18">
        <v>1</v>
      </c>
      <c r="E21" s="18"/>
      <c r="F21" s="18"/>
      <c r="G21" s="19" t="str">
        <f ca="1">IF($A21="","",IF($I21="X",A21,CONCATENATE(VLOOKUP(A21,Competitors!$A$2:$I$650,3, FALSE)," ",VLOOKUP(A21,Competitors!$A$2:$I$650,2,FALSE))))</f>
        <v>Chris Dainty</v>
      </c>
      <c r="H21" s="20">
        <f t="shared" si="1"/>
        <v>1.7372685185185185E-2</v>
      </c>
      <c r="I21" t="str">
        <f t="shared" ca="1" si="2"/>
        <v/>
      </c>
      <c r="J21" s="40" t="s">
        <v>605</v>
      </c>
    </row>
    <row r="22" spans="1:10" ht="14.25" x14ac:dyDescent="0.15">
      <c r="A22" s="17" t="str">
        <f t="shared" ca="1" si="0"/>
        <v>Marshall Briggs (Ratae)</v>
      </c>
      <c r="B22" s="17">
        <v>0</v>
      </c>
      <c r="C22" s="18">
        <v>25</v>
      </c>
      <c r="D22" s="18">
        <v>20</v>
      </c>
      <c r="E22" s="18"/>
      <c r="F22" s="18"/>
      <c r="G22" s="19" t="str">
        <f ca="1">IF($A22="","",IF($I22="X",A22,CONCATENATE(VLOOKUP(A22,Competitors!$A$2:$I$650,3, FALSE)," ",VLOOKUP(A22,Competitors!$A$2:$I$650,2,FALSE))))</f>
        <v>Marshall Briggs (Ratae)</v>
      </c>
      <c r="H22" s="20">
        <f t="shared" si="1"/>
        <v>1.7592592592592594E-2</v>
      </c>
      <c r="I22" t="str">
        <f t="shared" ca="1" si="2"/>
        <v>X</v>
      </c>
      <c r="J22" s="40" t="s">
        <v>146</v>
      </c>
    </row>
    <row r="23" spans="1:10" ht="14.25" x14ac:dyDescent="0.15">
      <c r="A23" s="17">
        <f t="shared" ca="1" si="0"/>
        <v>23</v>
      </c>
      <c r="B23" s="17">
        <v>0</v>
      </c>
      <c r="C23" s="18">
        <v>25</v>
      </c>
      <c r="D23" s="18">
        <v>59</v>
      </c>
      <c r="E23" s="18"/>
      <c r="F23" s="18"/>
      <c r="G23" s="19" t="str">
        <f ca="1">IF($A23="","",IF($I23="X",A23,CONCATENATE(VLOOKUP(A23,Competitors!$A$2:$I$650,3, FALSE)," ",VLOOKUP(A23,Competitors!$A$2:$I$650,2,FALSE))))</f>
        <v>Chris Hyde</v>
      </c>
      <c r="H23" s="20">
        <f t="shared" si="1"/>
        <v>1.804398148148148E-2</v>
      </c>
      <c r="I23" t="str">
        <f t="shared" ca="1" si="2"/>
        <v/>
      </c>
      <c r="J23" s="40" t="s">
        <v>606</v>
      </c>
    </row>
    <row r="24" spans="1:10" ht="14.25" x14ac:dyDescent="0.15">
      <c r="A24" s="17">
        <f t="shared" ca="1" si="0"/>
        <v>1107</v>
      </c>
      <c r="B24" s="17">
        <v>0</v>
      </c>
      <c r="C24" s="18">
        <v>26</v>
      </c>
      <c r="D24" s="18">
        <v>15</v>
      </c>
      <c r="E24" s="18" t="s">
        <v>170</v>
      </c>
      <c r="F24" s="18"/>
      <c r="G24" s="19" t="str">
        <f ca="1">IF($A24="","",IF($I24="X",A24,CONCATENATE(VLOOKUP(A24,Competitors!$A$2:$I$650,3, FALSE)," ",VLOOKUP(A24,Competitors!$A$2:$I$650,2,FALSE))))</f>
        <v>Milly Pinnock</v>
      </c>
      <c r="H24" s="20">
        <f t="shared" si="1"/>
        <v>1.8229166666666668E-2</v>
      </c>
      <c r="I24" t="str">
        <f t="shared" ca="1" si="2"/>
        <v/>
      </c>
      <c r="J24" s="40" t="s">
        <v>600</v>
      </c>
    </row>
    <row r="25" spans="1:10" ht="14.25" x14ac:dyDescent="0.15">
      <c r="A25" s="17">
        <f t="shared" ca="1" si="0"/>
        <v>1194</v>
      </c>
      <c r="B25" s="17">
        <v>0</v>
      </c>
      <c r="C25" s="18">
        <v>28</v>
      </c>
      <c r="D25" s="18">
        <v>15</v>
      </c>
      <c r="E25" s="18" t="s">
        <v>170</v>
      </c>
      <c r="F25" s="18"/>
      <c r="G25" s="19" t="str">
        <f ca="1">IF($A25="","",IF($I25="X",A25,CONCATENATE(VLOOKUP(A25,Competitors!$A$2:$I$650,3, FALSE)," ",VLOOKUP(A25,Competitors!$A$2:$I$650,2,FALSE))))</f>
        <v>Alex Hardwicke</v>
      </c>
      <c r="H25" s="20">
        <f t="shared" si="1"/>
        <v>1.9618055555555555E-2</v>
      </c>
      <c r="I25" t="str">
        <f t="shared" ca="1" si="2"/>
        <v/>
      </c>
      <c r="J25" s="40" t="s">
        <v>611</v>
      </c>
    </row>
    <row r="26" spans="1:10" ht="14.25" x14ac:dyDescent="0.15">
      <c r="A26" s="17" t="str">
        <f t="shared" ca="1" si="0"/>
        <v>Brian Lincoln (Ratae)</v>
      </c>
      <c r="B26" s="17">
        <v>0</v>
      </c>
      <c r="C26" s="18">
        <v>29</v>
      </c>
      <c r="D26" s="18">
        <v>4</v>
      </c>
      <c r="E26" s="18" t="s">
        <v>170</v>
      </c>
      <c r="F26" s="18"/>
      <c r="G26" s="19" t="str">
        <f ca="1">IF($A26="","",IF($I26="X",A26,CONCATENATE(VLOOKUP(A26,Competitors!$A$2:$I$650,3, FALSE)," ",VLOOKUP(A26,Competitors!$A$2:$I$650,2,FALSE))))</f>
        <v>Brian Lincoln (Ratae)</v>
      </c>
      <c r="H26" s="20">
        <f t="shared" si="1"/>
        <v>2.0185185185185184E-2</v>
      </c>
      <c r="I26" t="str">
        <f t="shared" ca="1" si="2"/>
        <v>X</v>
      </c>
      <c r="J26" s="40" t="s">
        <v>140</v>
      </c>
    </row>
    <row r="27" spans="1:10" ht="14.25" x14ac:dyDescent="0.15">
      <c r="A27" s="17">
        <f t="shared" ca="1" si="0"/>
        <v>1332</v>
      </c>
      <c r="B27" s="17">
        <v>0</v>
      </c>
      <c r="C27" s="18">
        <v>29</v>
      </c>
      <c r="D27" s="18">
        <v>37</v>
      </c>
      <c r="E27" s="18" t="s">
        <v>170</v>
      </c>
      <c r="F27" s="18"/>
      <c r="G27" s="19" t="str">
        <f ca="1">IF($A27="","",IF($I27="X",A27,CONCATENATE(VLOOKUP(A27,Competitors!$A$2:$I$650,3, FALSE)," ",VLOOKUP(A27,Competitors!$A$2:$I$650,2,FALSE))))</f>
        <v>Jo Eaton</v>
      </c>
      <c r="H27" s="20">
        <f t="shared" si="1"/>
        <v>2.056712962962963E-2</v>
      </c>
      <c r="I27" t="str">
        <f t="shared" ca="1" si="2"/>
        <v/>
      </c>
      <c r="J27" s="40" t="s">
        <v>615</v>
      </c>
    </row>
    <row r="28" spans="1:10" ht="14.25" x14ac:dyDescent="0.15">
      <c r="A28" s="17" t="s">
        <v>213</v>
      </c>
      <c r="B28" s="17"/>
      <c r="C28" s="18"/>
      <c r="D28" s="18"/>
      <c r="E28" s="18"/>
      <c r="F28" s="18" t="s">
        <v>205</v>
      </c>
      <c r="G28" s="19" t="str">
        <f>IF($A28="","",IF($I28="X",A28,CONCATENATE(VLOOKUP(A28,Competitors!$A$2:$I$650,3, FALSE)," ",VLOOKUP(A28,Competitors!$A$2:$I$650,2,FALSE))))</f>
        <v>Miles Marr</v>
      </c>
      <c r="H28" s="20">
        <f t="shared" si="1"/>
        <v>0</v>
      </c>
      <c r="I28" t="str">
        <f t="shared" si="2"/>
        <v>X</v>
      </c>
      <c r="J28" s="40" t="s">
        <v>213</v>
      </c>
    </row>
    <row r="29" spans="1:10" ht="14.25" x14ac:dyDescent="0.15">
      <c r="A29" s="17" t="str">
        <f t="shared" ca="1" si="0"/>
        <v>Martin Wright</v>
      </c>
      <c r="B29" s="17"/>
      <c r="C29" s="18"/>
      <c r="D29" s="18"/>
      <c r="E29" s="18"/>
      <c r="F29" s="18" t="s">
        <v>205</v>
      </c>
      <c r="G29" s="19" t="str">
        <f ca="1">IF($A29="","",IF($I29="X",A29,CONCATENATE(VLOOKUP(A29,Competitors!$A$2:$I$650,3, FALSE)," ",VLOOKUP(A29,Competitors!$A$2:$I$650,2,FALSE))))</f>
        <v>Martin Wright</v>
      </c>
      <c r="H29" s="20">
        <f t="shared" si="1"/>
        <v>0</v>
      </c>
      <c r="I29" t="str">
        <f t="shared" ca="1" si="2"/>
        <v>X</v>
      </c>
      <c r="J29" s="40" t="s">
        <v>231</v>
      </c>
    </row>
    <row r="30" spans="1:10" ht="14.25" x14ac:dyDescent="0.15">
      <c r="A30" s="17">
        <f t="shared" ca="1" si="0"/>
        <v>935</v>
      </c>
      <c r="B30" s="17">
        <v>0</v>
      </c>
      <c r="C30" s="18">
        <v>32</v>
      </c>
      <c r="D30" s="18">
        <v>29</v>
      </c>
      <c r="E30" s="18"/>
      <c r="F30" s="18"/>
      <c r="G30" s="19" t="str">
        <f ca="1">IF($A30="","",IF($I30="X",A30,CONCATENATE(VLOOKUP(A30,Competitors!$A$2:$I$650,3, FALSE)," ",VLOOKUP(A30,Competitors!$A$2:$I$650,2,FALSE))))</f>
        <v>Sophie Ward</v>
      </c>
      <c r="H30" s="20">
        <f t="shared" si="1"/>
        <v>2.255787037037037E-2</v>
      </c>
      <c r="I30" t="str">
        <f t="shared" ca="1" si="2"/>
        <v/>
      </c>
      <c r="J30" s="40" t="s">
        <v>651</v>
      </c>
    </row>
    <row r="31" spans="1:10" ht="14.25" x14ac:dyDescent="0.15">
      <c r="A31" s="17" t="str">
        <f t="shared" ca="1" si="0"/>
        <v/>
      </c>
      <c r="B31" s="17"/>
      <c r="C31" s="18"/>
      <c r="D31" s="18"/>
      <c r="E31" s="18"/>
      <c r="F31" s="18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8"/>
      <c r="D32" s="18"/>
      <c r="E32" s="18"/>
      <c r="F32" s="18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8"/>
      <c r="D33" s="18"/>
      <c r="E33" s="18"/>
      <c r="F33" s="18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8"/>
      <c r="D34" s="18"/>
      <c r="E34" s="18"/>
      <c r="F34" s="18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8"/>
      <c r="D35" s="18"/>
      <c r="E35" s="18"/>
      <c r="F35" s="18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8"/>
      <c r="D36" s="18"/>
      <c r="E36" s="18"/>
      <c r="F36" s="18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8"/>
      <c r="D37" s="18"/>
      <c r="E37" s="18"/>
      <c r="F37" s="18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8"/>
      <c r="D38" s="18"/>
      <c r="E38" s="18"/>
      <c r="F38" s="18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8"/>
      <c r="D39" s="18"/>
      <c r="E39" s="18"/>
      <c r="F39" s="18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8"/>
      <c r="D40" s="18"/>
      <c r="E40" s="18"/>
      <c r="F40" s="18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8"/>
      <c r="D41" s="18"/>
      <c r="E41" s="18"/>
      <c r="F41" s="18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8"/>
      <c r="D42" s="18"/>
      <c r="E42" s="18"/>
      <c r="F42" s="18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8"/>
      <c r="D43" s="18"/>
      <c r="E43" s="18"/>
      <c r="F43" s="18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8"/>
      <c r="D44" s="18"/>
      <c r="E44" s="18"/>
      <c r="F44" s="18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8"/>
      <c r="D45" s="18"/>
      <c r="E45" s="18"/>
      <c r="F45" s="18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8"/>
      <c r="D46" s="18"/>
      <c r="E46" s="18"/>
      <c r="F46" s="18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8"/>
      <c r="D47" s="18"/>
      <c r="E47" s="18"/>
      <c r="F47" s="18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8"/>
      <c r="D48" s="18"/>
      <c r="E48" s="18"/>
      <c r="F48" s="18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8"/>
      <c r="D49" s="18"/>
      <c r="E49" s="18"/>
      <c r="F49" s="18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8"/>
      <c r="D50" s="18"/>
      <c r="E50" s="18"/>
      <c r="F50" s="18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8"/>
      <c r="D51" s="18"/>
      <c r="E51" s="18"/>
      <c r="F51" s="18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8"/>
      <c r="D52" s="18"/>
      <c r="E52" s="18"/>
      <c r="F52" s="18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8"/>
      <c r="D53" s="18"/>
      <c r="E53" s="18"/>
      <c r="F53" s="18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8"/>
      <c r="D54" s="18"/>
      <c r="E54" s="18"/>
      <c r="F54" s="18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8"/>
      <c r="D55" s="18"/>
      <c r="E55" s="18"/>
      <c r="F55" s="18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8"/>
      <c r="D56" s="18"/>
      <c r="E56" s="18"/>
      <c r="F56" s="18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8"/>
      <c r="D57" s="18"/>
      <c r="E57" s="18"/>
      <c r="F57" s="18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8"/>
      <c r="D58" s="18"/>
      <c r="E58" s="18"/>
      <c r="F58" s="18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8"/>
      <c r="D59" s="18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8"/>
      <c r="D60" s="18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8"/>
      <c r="D61" s="18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8"/>
      <c r="D62" s="18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8"/>
      <c r="D63" s="18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8"/>
      <c r="D64" s="18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8"/>
      <c r="D65" s="18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18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8"/>
      <c r="D67" s="18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8"/>
      <c r="D68" s="18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8"/>
      <c r="D69" s="18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8"/>
      <c r="D70" s="18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8"/>
      <c r="D71" s="18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8"/>
      <c r="D72" s="18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8"/>
      <c r="D73" s="18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8"/>
      <c r="D74" s="18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8"/>
      <c r="D75" s="18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8"/>
      <c r="D76" s="18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8"/>
      <c r="D77" s="18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8"/>
      <c r="D78" s="18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8"/>
      <c r="D79" s="18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8"/>
      <c r="D80" s="18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8"/>
      <c r="D81" s="18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8"/>
      <c r="D82" s="18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8"/>
      <c r="D83" s="18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8"/>
      <c r="D84" s="18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8"/>
      <c r="D85" s="18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8"/>
      <c r="D86" s="18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8"/>
      <c r="D87" s="18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8"/>
      <c r="D88" s="18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8"/>
      <c r="D89" s="18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8"/>
      <c r="D90" s="18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8"/>
      <c r="D91" s="18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8"/>
      <c r="D92" s="18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8"/>
      <c r="D93" s="18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8"/>
      <c r="D94" s="18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8"/>
      <c r="D95" s="18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8"/>
      <c r="D96" s="18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8"/>
      <c r="D97" s="18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8"/>
      <c r="D98" s="18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8"/>
      <c r="D99" s="18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8"/>
      <c r="D100" s="18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8"/>
      <c r="D101" s="18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41" priority="1">
      <formula>TEXT($B$104,"@")="Y"</formula>
    </cfRule>
  </conditionalFormatting>
  <conditionalFormatting sqref="G2:H101">
    <cfRule type="expression" dxfId="40" priority="3">
      <formula>$I2="X"</formula>
    </cfRule>
  </conditionalFormatting>
  <conditionalFormatting sqref="H2:H101">
    <cfRule type="expression" dxfId="39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0CD1-A0A1-4DCA-9586-C207DE78E424}">
  <sheetPr codeName="Sheet13"/>
  <dimension ref="A1:J104"/>
  <sheetViews>
    <sheetView zoomScaleNormal="100" workbookViewId="0">
      <selection activeCell="O11" sqref="O11"/>
    </sheetView>
  </sheetViews>
  <sheetFormatPr defaultColWidth="9.16796875" defaultRowHeight="12.75" x14ac:dyDescent="0.15"/>
  <cols>
    <col min="1" max="1" width="24.67578125" bestFit="1" customWidth="1"/>
    <col min="2" max="4" width="4.71875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  <col min="10" max="10" width="14.5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>
        <f t="shared" ref="A2:A33" ca="1" si="0">IF(J2="","",_xlfn.XLOOKUP(J2,ClubNames,ClubNumbers,_xlfn.XLOOKUP(J2,RoundRobinRiderNames,RoundRobinRiderDecoratedNames,J2)))</f>
        <v>407</v>
      </c>
      <c r="B2" s="17">
        <v>0</v>
      </c>
      <c r="C2" s="18">
        <v>21</v>
      </c>
      <c r="D2" s="18">
        <v>20</v>
      </c>
      <c r="E2" s="18"/>
      <c r="F2" s="18"/>
      <c r="G2" s="19" t="str">
        <f ca="1">IF($A2="","",IF($I2="X",A2,CONCATENATE(VLOOKUP(A2,Competitors!$A$2:$I$650,3, FALSE)," ",VLOOKUP(A2,Competitors!$A$2:$I$650,2,FALSE))))</f>
        <v>Hans van Nierop</v>
      </c>
      <c r="H2" s="20">
        <f>IF(LEFT($E2,1)="D",UPPER($E2),(B2*3600+C2*60+D2)/86400)</f>
        <v>1.4814814814814815E-2</v>
      </c>
      <c r="I2" t="str">
        <f ca="1">IF(OR(A2="",ISNUMBER(A2)),"","X")</f>
        <v/>
      </c>
      <c r="J2" s="40" t="s">
        <v>583</v>
      </c>
    </row>
    <row r="3" spans="1:10" ht="14.25" x14ac:dyDescent="0.15">
      <c r="A3" s="17">
        <f t="shared" ca="1" si="0"/>
        <v>1144</v>
      </c>
      <c r="B3" s="17">
        <v>0</v>
      </c>
      <c r="C3" s="18">
        <v>21</v>
      </c>
      <c r="D3" s="18">
        <v>59</v>
      </c>
      <c r="E3" s="18"/>
      <c r="F3" s="18"/>
      <c r="G3" s="19" t="str">
        <f ca="1">IF($A3="","",IF($I3="X",A3,CONCATENATE(VLOOKUP(A3,Competitors!$A$2:$I$650,3, FALSE)," ",VLOOKUP(A3,Competitors!$A$2:$I$650,2,FALSE))))</f>
        <v>Jamie Kershaw</v>
      </c>
      <c r="H3" s="20">
        <f t="shared" ref="H3:H66" si="1">IF(LEFT($E3,1)="D",UPPER($E3),(B3*3600+C3*60+D3)/86400)</f>
        <v>1.5266203703703704E-2</v>
      </c>
      <c r="I3" t="str">
        <f t="shared" ref="I3:I66" ca="1" si="2">IF(OR(A3="",ISNUMBER(A3)),"","X")</f>
        <v/>
      </c>
      <c r="J3" s="40" t="s">
        <v>584</v>
      </c>
    </row>
    <row r="4" spans="1:10" ht="14.25" x14ac:dyDescent="0.15">
      <c r="A4" s="17">
        <f t="shared" ca="1" si="0"/>
        <v>699</v>
      </c>
      <c r="B4" s="17">
        <v>0</v>
      </c>
      <c r="C4" s="18">
        <v>22</v>
      </c>
      <c r="D4" s="18">
        <v>13</v>
      </c>
      <c r="E4" s="18"/>
      <c r="F4" s="18"/>
      <c r="G4" s="19" t="str">
        <f ca="1">IF($A4="","",IF($I4="X",A4,CONCATENATE(VLOOKUP(A4,Competitors!$A$2:$I$650,3, FALSE)," ",VLOOKUP(A4,Competitors!$A$2:$I$650,2,FALSE))))</f>
        <v>Jonathan Durnin</v>
      </c>
      <c r="H4" s="20">
        <f t="shared" si="1"/>
        <v>1.5428240740740741E-2</v>
      </c>
      <c r="I4" t="str">
        <f t="shared" ca="1" si="2"/>
        <v/>
      </c>
      <c r="J4" s="40" t="s">
        <v>586</v>
      </c>
    </row>
    <row r="5" spans="1:10" ht="14.25" x14ac:dyDescent="0.15">
      <c r="A5" s="17" t="str">
        <f t="shared" ca="1" si="0"/>
        <v>Phil Wilkinson (RFW)</v>
      </c>
      <c r="B5" s="17">
        <v>0</v>
      </c>
      <c r="C5" s="18">
        <v>22</v>
      </c>
      <c r="D5" s="18">
        <v>15</v>
      </c>
      <c r="E5" s="18"/>
      <c r="F5" s="18"/>
      <c r="G5" s="19" t="str">
        <f ca="1">IF($A5="","",IF($I5="X",A5,CONCATENATE(VLOOKUP(A5,Competitors!$A$2:$I$650,3, FALSE)," ",VLOOKUP(A5,Competitors!$A$2:$I$650,2,FALSE))))</f>
        <v>Phil Wilkinson (RFW)</v>
      </c>
      <c r="H5" s="20">
        <f t="shared" si="1"/>
        <v>1.545138888888889E-2</v>
      </c>
      <c r="I5" t="str">
        <f t="shared" ca="1" si="2"/>
        <v>X</v>
      </c>
      <c r="J5" s="40" t="s">
        <v>157</v>
      </c>
    </row>
    <row r="6" spans="1:10" ht="14.25" x14ac:dyDescent="0.15">
      <c r="A6" s="17" t="str">
        <f t="shared" ca="1" si="0"/>
        <v>Guy Bibby</v>
      </c>
      <c r="B6" s="17">
        <v>0</v>
      </c>
      <c r="C6" s="18">
        <v>22</v>
      </c>
      <c r="D6" s="18">
        <v>27</v>
      </c>
      <c r="E6" s="18"/>
      <c r="F6" s="18"/>
      <c r="G6" s="19" t="str">
        <f ca="1">IF($A6="","",IF($I6="X",A6,CONCATENATE(VLOOKUP(A6,Competitors!$A$2:$I$650,3, FALSE)," ",VLOOKUP(A6,Competitors!$A$2:$I$650,2,FALSE))))</f>
        <v>Guy Bibby</v>
      </c>
      <c r="H6" s="20">
        <f t="shared" si="1"/>
        <v>1.5590277777777778E-2</v>
      </c>
      <c r="I6" t="str">
        <f t="shared" ca="1" si="2"/>
        <v>X</v>
      </c>
      <c r="J6" s="40" t="s">
        <v>232</v>
      </c>
    </row>
    <row r="7" spans="1:10" ht="14.25" x14ac:dyDescent="0.15">
      <c r="A7" s="17">
        <f t="shared" ca="1" si="0"/>
        <v>35</v>
      </c>
      <c r="B7" s="17">
        <v>0</v>
      </c>
      <c r="C7" s="18">
        <v>22</v>
      </c>
      <c r="D7" s="18">
        <v>39</v>
      </c>
      <c r="E7" s="18"/>
      <c r="F7" s="18"/>
      <c r="G7" s="19" t="str">
        <f ca="1">IF($A7="","",IF($I7="X",A7,CONCATENATE(VLOOKUP(A7,Competitors!$A$2:$I$650,3, FALSE)," ",VLOOKUP(A7,Competitors!$A$2:$I$650,2,FALSE))))</f>
        <v>Matt Plews</v>
      </c>
      <c r="H7" s="20">
        <f t="shared" si="1"/>
        <v>1.5729166666666666E-2</v>
      </c>
      <c r="I7" t="str">
        <f t="shared" ca="1" si="2"/>
        <v/>
      </c>
      <c r="J7" s="40" t="s">
        <v>588</v>
      </c>
    </row>
    <row r="8" spans="1:10" ht="14.25" x14ac:dyDescent="0.15">
      <c r="A8" s="17" t="str">
        <f t="shared" ca="1" si="0"/>
        <v>Giles Brook</v>
      </c>
      <c r="B8" s="17">
        <v>0</v>
      </c>
      <c r="C8" s="18">
        <v>22</v>
      </c>
      <c r="D8" s="18">
        <v>52</v>
      </c>
      <c r="E8" s="18"/>
      <c r="F8" s="18"/>
      <c r="G8" s="19" t="str">
        <f ca="1">IF($A8="","",IF($I8="X",A8,CONCATENATE(VLOOKUP(A8,Competitors!$A$2:$I$650,3, FALSE)," ",VLOOKUP(A8,Competitors!$A$2:$I$650,2,FALSE))))</f>
        <v>Giles Brook</v>
      </c>
      <c r="H8" s="20">
        <f t="shared" si="1"/>
        <v>1.5879629629629629E-2</v>
      </c>
      <c r="I8" t="str">
        <f t="shared" ca="1" si="2"/>
        <v>X</v>
      </c>
      <c r="J8" s="40" t="s">
        <v>233</v>
      </c>
    </row>
    <row r="9" spans="1:10" ht="14.25" x14ac:dyDescent="0.15">
      <c r="A9" s="17">
        <f t="shared" ca="1" si="0"/>
        <v>38</v>
      </c>
      <c r="B9" s="17">
        <v>0</v>
      </c>
      <c r="C9" s="18">
        <v>23</v>
      </c>
      <c r="D9" s="18">
        <v>1</v>
      </c>
      <c r="E9" s="18"/>
      <c r="F9" s="18"/>
      <c r="G9" s="19" t="str">
        <f ca="1">IF($A9="","",IF($I9="X",A9,CONCATENATE(VLOOKUP(A9,Competitors!$A$2:$I$650,3, FALSE)," ",VLOOKUP(A9,Competitors!$A$2:$I$650,2,FALSE))))</f>
        <v>Phil Rayner</v>
      </c>
      <c r="H9" s="20">
        <f t="shared" si="1"/>
        <v>1.5983796296296298E-2</v>
      </c>
      <c r="I9" t="str">
        <f t="shared" ca="1" si="2"/>
        <v/>
      </c>
      <c r="J9" s="40" t="s">
        <v>619</v>
      </c>
    </row>
    <row r="10" spans="1:10" ht="14.25" x14ac:dyDescent="0.15">
      <c r="A10" s="17">
        <f t="shared" ca="1" si="0"/>
        <v>989</v>
      </c>
      <c r="B10" s="17">
        <v>0</v>
      </c>
      <c r="C10" s="18">
        <v>23</v>
      </c>
      <c r="D10" s="18">
        <v>8</v>
      </c>
      <c r="E10" s="18" t="s">
        <v>170</v>
      </c>
      <c r="F10" s="18"/>
      <c r="G10" s="19" t="str">
        <f ca="1">IF($A10="","",IF($I10="X",A10,CONCATENATE(VLOOKUP(A10,Competitors!$A$2:$I$650,3, FALSE)," ",VLOOKUP(A10,Competitors!$A$2:$I$650,2,FALSE))))</f>
        <v>Jason Williams</v>
      </c>
      <c r="H10" s="20">
        <f t="shared" si="1"/>
        <v>1.6064814814814816E-2</v>
      </c>
      <c r="I10" t="str">
        <f t="shared" ca="1" si="2"/>
        <v/>
      </c>
      <c r="J10" s="40" t="s">
        <v>585</v>
      </c>
    </row>
    <row r="11" spans="1:10" ht="14.25" x14ac:dyDescent="0.15">
      <c r="A11" s="17">
        <f t="shared" ca="1" si="0"/>
        <v>1339</v>
      </c>
      <c r="B11" s="17">
        <v>0</v>
      </c>
      <c r="C11" s="18">
        <v>23</v>
      </c>
      <c r="D11" s="18">
        <v>30</v>
      </c>
      <c r="E11" s="18" t="s">
        <v>170</v>
      </c>
      <c r="F11" s="18"/>
      <c r="G11" s="19" t="str">
        <f ca="1">IF($A11="","",IF($I11="X",A11,CONCATENATE(VLOOKUP(A11,Competitors!$A$2:$I$650,3, FALSE)," ",VLOOKUP(A11,Competitors!$A$2:$I$650,2,FALSE))))</f>
        <v>Jack Shewring</v>
      </c>
      <c r="H11" s="20">
        <f t="shared" si="1"/>
        <v>1.6319444444444445E-2</v>
      </c>
      <c r="I11" t="str">
        <f t="shared" ca="1" si="2"/>
        <v/>
      </c>
      <c r="J11" s="40" t="s">
        <v>597</v>
      </c>
    </row>
    <row r="12" spans="1:10" ht="14.25" x14ac:dyDescent="0.15">
      <c r="A12" s="17">
        <f t="shared" ca="1" si="0"/>
        <v>1192</v>
      </c>
      <c r="B12" s="17">
        <v>0</v>
      </c>
      <c r="C12" s="18">
        <v>23</v>
      </c>
      <c r="D12" s="18">
        <v>44</v>
      </c>
      <c r="E12" s="18"/>
      <c r="F12" s="18"/>
      <c r="G12" s="19" t="str">
        <f ca="1">IF($A12="","",IF($I12="X",A12,CONCATENATE(VLOOKUP(A12,Competitors!$A$2:$I$650,3, FALSE)," ",VLOOKUP(A12,Competitors!$A$2:$I$650,2,FALSE))))</f>
        <v>Dale Norris</v>
      </c>
      <c r="H12" s="20">
        <f t="shared" si="1"/>
        <v>1.6481481481481482E-2</v>
      </c>
      <c r="I12" t="str">
        <f t="shared" ca="1" si="2"/>
        <v/>
      </c>
      <c r="J12" s="40" t="s">
        <v>590</v>
      </c>
    </row>
    <row r="13" spans="1:10" ht="14.25" x14ac:dyDescent="0.15">
      <c r="A13" s="17">
        <f t="shared" ca="1" si="0"/>
        <v>203</v>
      </c>
      <c r="B13" s="17">
        <v>0</v>
      </c>
      <c r="C13" s="18">
        <v>23</v>
      </c>
      <c r="D13" s="18">
        <v>49</v>
      </c>
      <c r="E13" s="18"/>
      <c r="F13" s="18"/>
      <c r="G13" s="19" t="str">
        <f ca="1">IF($A13="","",IF($I13="X",A13,CONCATENATE(VLOOKUP(A13,Competitors!$A$2:$I$650,3, FALSE)," ",VLOOKUP(A13,Competitors!$A$2:$I$650,2,FALSE))))</f>
        <v>Adrian Killworth</v>
      </c>
      <c r="H13" s="20">
        <f t="shared" si="1"/>
        <v>1.653935185185185E-2</v>
      </c>
      <c r="I13" t="str">
        <f t="shared" ca="1" si="2"/>
        <v/>
      </c>
      <c r="J13" s="40" t="s">
        <v>603</v>
      </c>
    </row>
    <row r="14" spans="1:10" ht="14.25" x14ac:dyDescent="0.15">
      <c r="A14" s="17">
        <f t="shared" ca="1" si="0"/>
        <v>1055</v>
      </c>
      <c r="B14" s="17">
        <v>0</v>
      </c>
      <c r="C14" s="18">
        <v>23</v>
      </c>
      <c r="D14" s="18">
        <v>57</v>
      </c>
      <c r="E14" s="18"/>
      <c r="F14" s="18"/>
      <c r="G14" s="19" t="str">
        <f ca="1">IF($A14="","",IF($I14="X",A14,CONCATENATE(VLOOKUP(A14,Competitors!$A$2:$I$650,3, FALSE)," ",VLOOKUP(A14,Competitors!$A$2:$I$650,2,FALSE))))</f>
        <v>Austin Smith</v>
      </c>
      <c r="H14" s="20">
        <f t="shared" si="1"/>
        <v>1.6631944444444446E-2</v>
      </c>
      <c r="I14" t="str">
        <f t="shared" ca="1" si="2"/>
        <v/>
      </c>
      <c r="J14" s="40" t="s">
        <v>589</v>
      </c>
    </row>
    <row r="15" spans="1:10" ht="14.25" x14ac:dyDescent="0.15">
      <c r="A15" s="17" t="str">
        <f t="shared" ca="1" si="0"/>
        <v>Megan Cherry</v>
      </c>
      <c r="B15" s="17">
        <v>0</v>
      </c>
      <c r="C15" s="18">
        <v>24</v>
      </c>
      <c r="D15" s="18">
        <v>2</v>
      </c>
      <c r="E15" s="18"/>
      <c r="F15" s="18"/>
      <c r="G15" s="19" t="str">
        <f ca="1">IF($A15="","",IF($I15="X",A15,CONCATENATE(VLOOKUP(A15,Competitors!$A$2:$I$650,3, FALSE)," ",VLOOKUP(A15,Competitors!$A$2:$I$650,2,FALSE))))</f>
        <v>Megan Cherry</v>
      </c>
      <c r="H15" s="20">
        <f t="shared" si="1"/>
        <v>1.6689814814814814E-2</v>
      </c>
      <c r="I15" t="str">
        <f t="shared" ca="1" si="2"/>
        <v>X</v>
      </c>
      <c r="J15" s="40" t="s">
        <v>230</v>
      </c>
    </row>
    <row r="16" spans="1:10" ht="14.25" x14ac:dyDescent="0.15">
      <c r="A16" s="17" t="str">
        <f t="shared" ca="1" si="0"/>
        <v>Chris Bonsor (Ratae)</v>
      </c>
      <c r="B16" s="17">
        <v>0</v>
      </c>
      <c r="C16" s="18">
        <v>24</v>
      </c>
      <c r="D16" s="18">
        <v>3</v>
      </c>
      <c r="E16" s="18"/>
      <c r="F16" s="18"/>
      <c r="G16" s="19" t="str">
        <f ca="1">IF($A16="","",IF($I16="X",A16,CONCATENATE(VLOOKUP(A16,Competitors!$A$2:$I$650,3, FALSE)," ",VLOOKUP(A16,Competitors!$A$2:$I$650,2,FALSE))))</f>
        <v>Chris Bonsor (Ratae)</v>
      </c>
      <c r="H16" s="20">
        <f t="shared" si="1"/>
        <v>1.6701388888888891E-2</v>
      </c>
      <c r="I16" t="str">
        <f t="shared" ca="1" si="2"/>
        <v>X</v>
      </c>
      <c r="J16" s="40" t="s">
        <v>141</v>
      </c>
    </row>
    <row r="17" spans="1:10" ht="14.25" x14ac:dyDescent="0.15">
      <c r="A17" s="17">
        <f t="shared" ca="1" si="0"/>
        <v>415</v>
      </c>
      <c r="B17" s="17">
        <v>0</v>
      </c>
      <c r="C17" s="18">
        <v>24</v>
      </c>
      <c r="D17" s="18">
        <v>4</v>
      </c>
      <c r="E17" s="18" t="s">
        <v>170</v>
      </c>
      <c r="F17" s="18"/>
      <c r="G17" s="19" t="str">
        <f ca="1">IF($A17="","",IF($I17="X",A17,CONCATENATE(VLOOKUP(A17,Competitors!$A$2:$I$650,3, FALSE)," ",VLOOKUP(A17,Competitors!$A$2:$I$650,2,FALSE))))</f>
        <v>Nik Kershaw</v>
      </c>
      <c r="H17" s="20">
        <f t="shared" si="1"/>
        <v>1.6712962962962964E-2</v>
      </c>
      <c r="I17" t="str">
        <f t="shared" ca="1" si="2"/>
        <v/>
      </c>
      <c r="J17" s="40" t="s">
        <v>594</v>
      </c>
    </row>
    <row r="18" spans="1:10" ht="14.25" x14ac:dyDescent="0.15">
      <c r="A18" s="17">
        <f t="shared" ca="1" si="0"/>
        <v>1129</v>
      </c>
      <c r="B18" s="17">
        <v>0</v>
      </c>
      <c r="C18" s="18">
        <v>24</v>
      </c>
      <c r="D18" s="18">
        <v>6</v>
      </c>
      <c r="E18" s="18"/>
      <c r="F18" s="18"/>
      <c r="G18" s="19" t="str">
        <f ca="1">IF($A18="","",IF($I18="X",A18,CONCATENATE(VLOOKUP(A18,Competitors!$A$2:$I$650,3, FALSE)," ",VLOOKUP(A18,Competitors!$A$2:$I$650,2,FALSE))))</f>
        <v>Doug Tincello</v>
      </c>
      <c r="H18" s="20">
        <f t="shared" si="1"/>
        <v>1.6736111111111111E-2</v>
      </c>
      <c r="I18" t="str">
        <f t="shared" ca="1" si="2"/>
        <v/>
      </c>
      <c r="J18" s="40" t="s">
        <v>596</v>
      </c>
    </row>
    <row r="19" spans="1:10" ht="14.25" x14ac:dyDescent="0.15">
      <c r="A19" s="17">
        <f t="shared" ca="1" si="0"/>
        <v>707</v>
      </c>
      <c r="B19" s="17">
        <v>0</v>
      </c>
      <c r="C19" s="18">
        <v>24</v>
      </c>
      <c r="D19" s="18">
        <v>26</v>
      </c>
      <c r="E19" s="18" t="s">
        <v>170</v>
      </c>
      <c r="F19" s="18"/>
      <c r="G19" s="19" t="str">
        <f ca="1">IF($A19="","",IF($I19="X",A19,CONCATENATE(VLOOKUP(A19,Competitors!$A$2:$I$650,3, FALSE)," ",VLOOKUP(A19,Competitors!$A$2:$I$650,2,FALSE))))</f>
        <v>Martin Webster</v>
      </c>
      <c r="H19" s="20">
        <f t="shared" si="1"/>
        <v>1.6967592592592593E-2</v>
      </c>
      <c r="I19" t="str">
        <f t="shared" ca="1" si="2"/>
        <v/>
      </c>
      <c r="J19" s="40" t="s">
        <v>653</v>
      </c>
    </row>
    <row r="20" spans="1:10" ht="14.25" x14ac:dyDescent="0.15">
      <c r="A20" s="17" t="str">
        <f t="shared" ca="1" si="0"/>
        <v>John Tracey</v>
      </c>
      <c r="B20" s="17">
        <v>0</v>
      </c>
      <c r="C20" s="18">
        <v>24</v>
      </c>
      <c r="D20" s="18">
        <v>31</v>
      </c>
      <c r="E20" s="18"/>
      <c r="F20" s="18"/>
      <c r="G20" s="19" t="str">
        <f ca="1">IF($A20="","",IF($I20="X",A20,CONCATENATE(VLOOKUP(A20,Competitors!$A$2:$I$650,3, FALSE)," ",VLOOKUP(A20,Competitors!$A$2:$I$650,2,FALSE))))</f>
        <v>John Tracey</v>
      </c>
      <c r="H20" s="20">
        <f t="shared" si="1"/>
        <v>1.7025462962962964E-2</v>
      </c>
      <c r="I20" t="str">
        <f t="shared" ca="1" si="2"/>
        <v>X</v>
      </c>
      <c r="J20" s="40" t="s">
        <v>229</v>
      </c>
    </row>
    <row r="21" spans="1:10" ht="14.25" x14ac:dyDescent="0.15">
      <c r="A21" s="17">
        <f t="shared" ca="1" si="0"/>
        <v>1237</v>
      </c>
      <c r="B21" s="17">
        <v>0</v>
      </c>
      <c r="C21" s="18">
        <v>24</v>
      </c>
      <c r="D21" s="18">
        <v>47</v>
      </c>
      <c r="E21" s="18" t="s">
        <v>170</v>
      </c>
      <c r="F21" s="18"/>
      <c r="G21" s="19" t="str">
        <f ca="1">IF($A21="","",IF($I21="X",A21,CONCATENATE(VLOOKUP(A21,Competitors!$A$2:$I$650,3, FALSE)," ",VLOOKUP(A21,Competitors!$A$2:$I$650,2,FALSE))))</f>
        <v>John Abbott</v>
      </c>
      <c r="H21" s="20">
        <f t="shared" si="1"/>
        <v>1.7210648148148149E-2</v>
      </c>
      <c r="I21" t="str">
        <f t="shared" ca="1" si="2"/>
        <v/>
      </c>
      <c r="J21" s="40" t="s">
        <v>598</v>
      </c>
    </row>
    <row r="22" spans="1:10" ht="14.25" x14ac:dyDescent="0.15">
      <c r="A22" s="17">
        <f t="shared" ca="1" si="0"/>
        <v>23</v>
      </c>
      <c r="B22" s="17">
        <v>0</v>
      </c>
      <c r="C22" s="18">
        <v>24</v>
      </c>
      <c r="D22" s="18">
        <v>57</v>
      </c>
      <c r="E22" s="18"/>
      <c r="F22" s="18"/>
      <c r="G22" s="19" t="str">
        <f ca="1">IF($A22="","",IF($I22="X",A22,CONCATENATE(VLOOKUP(A22,Competitors!$A$2:$I$650,3, FALSE)," ",VLOOKUP(A22,Competitors!$A$2:$I$650,2,FALSE))))</f>
        <v>Chris Hyde</v>
      </c>
      <c r="H22" s="20">
        <f t="shared" si="1"/>
        <v>1.7326388888888888E-2</v>
      </c>
      <c r="I22" t="str">
        <f t="shared" ca="1" si="2"/>
        <v/>
      </c>
      <c r="J22" s="40" t="s">
        <v>606</v>
      </c>
    </row>
    <row r="23" spans="1:10" ht="14.25" x14ac:dyDescent="0.15">
      <c r="A23" s="17" t="str">
        <f t="shared" ca="1" si="0"/>
        <v>Steve Pearce (Ratae)</v>
      </c>
      <c r="B23" s="17">
        <v>0</v>
      </c>
      <c r="C23" s="18">
        <v>24</v>
      </c>
      <c r="D23" s="18">
        <v>59</v>
      </c>
      <c r="E23" s="18"/>
      <c r="F23" s="18"/>
      <c r="G23" s="19" t="str">
        <f ca="1">IF($A23="","",IF($I23="X",A23,CONCATENATE(VLOOKUP(A23,Competitors!$A$2:$I$650,3, FALSE)," ",VLOOKUP(A23,Competitors!$A$2:$I$650,2,FALSE))))</f>
        <v>Steve Pearce (Ratae)</v>
      </c>
      <c r="H23" s="20">
        <f t="shared" si="1"/>
        <v>1.7349537037037038E-2</v>
      </c>
      <c r="I23" t="str">
        <f t="shared" ca="1" si="2"/>
        <v>X</v>
      </c>
      <c r="J23" s="40" t="s">
        <v>149</v>
      </c>
    </row>
    <row r="24" spans="1:10" ht="14.25" x14ac:dyDescent="0.15">
      <c r="A24" s="17">
        <f t="shared" ca="1" si="0"/>
        <v>616</v>
      </c>
      <c r="B24" s="17">
        <v>0</v>
      </c>
      <c r="C24" s="18">
        <v>25</v>
      </c>
      <c r="D24" s="18">
        <v>5</v>
      </c>
      <c r="E24" s="18"/>
      <c r="F24" s="18"/>
      <c r="G24" s="19" t="str">
        <f ca="1">IF($A24="","",IF($I24="X",A24,CONCATENATE(VLOOKUP(A24,Competitors!$A$2:$I$650,3, FALSE)," ",VLOOKUP(A24,Competitors!$A$2:$I$650,2,FALSE))))</f>
        <v>Simon Ward</v>
      </c>
      <c r="H24" s="20">
        <f t="shared" si="1"/>
        <v>1.7418981481481483E-2</v>
      </c>
      <c r="I24" t="str">
        <f t="shared" ca="1" si="2"/>
        <v/>
      </c>
      <c r="J24" s="40" t="s">
        <v>610</v>
      </c>
    </row>
    <row r="25" spans="1:10" ht="14.25" x14ac:dyDescent="0.15">
      <c r="A25" s="17">
        <f t="shared" ca="1" si="0"/>
        <v>1109</v>
      </c>
      <c r="B25" s="17">
        <v>0</v>
      </c>
      <c r="C25" s="18">
        <v>25</v>
      </c>
      <c r="D25" s="18">
        <v>15</v>
      </c>
      <c r="E25" s="18" t="s">
        <v>170</v>
      </c>
      <c r="F25" s="18"/>
      <c r="G25" s="19" t="str">
        <f ca="1">IF($A25="","",IF($I25="X",A25,CONCATENATE(VLOOKUP(A25,Competitors!$A$2:$I$650,3, FALSE)," ",VLOOKUP(A25,Competitors!$A$2:$I$650,2,FALSE))))</f>
        <v>Stuart Haycox</v>
      </c>
      <c r="H25" s="20">
        <f t="shared" si="1"/>
        <v>1.7534722222222222E-2</v>
      </c>
      <c r="I25" t="str">
        <f t="shared" ca="1" si="2"/>
        <v/>
      </c>
      <c r="J25" s="40" t="s">
        <v>643</v>
      </c>
    </row>
    <row r="26" spans="1:10" ht="14.25" x14ac:dyDescent="0.15">
      <c r="A26" s="17">
        <f t="shared" ca="1" si="0"/>
        <v>1385</v>
      </c>
      <c r="B26" s="17">
        <v>0</v>
      </c>
      <c r="C26" s="18">
        <v>25</v>
      </c>
      <c r="D26" s="18">
        <v>27</v>
      </c>
      <c r="E26" s="18" t="s">
        <v>170</v>
      </c>
      <c r="F26" s="18"/>
      <c r="G26" s="19" t="str">
        <f ca="1">IF($A26="","",IF($I26="X",A26,CONCATENATE(VLOOKUP(A26,Competitors!$A$2:$I$650,3, FALSE)," ",VLOOKUP(A26,Competitors!$A$2:$I$650,2,FALSE))))</f>
        <v>Miles Marr</v>
      </c>
      <c r="H26" s="20">
        <f t="shared" si="1"/>
        <v>1.7673611111111112E-2</v>
      </c>
      <c r="I26" t="str">
        <f t="shared" ca="1" si="2"/>
        <v/>
      </c>
      <c r="J26" s="40" t="s">
        <v>213</v>
      </c>
    </row>
    <row r="27" spans="1:10" ht="14.25" x14ac:dyDescent="0.15">
      <c r="A27" s="17">
        <f t="shared" ca="1" si="0"/>
        <v>715</v>
      </c>
      <c r="B27" s="17">
        <v>0</v>
      </c>
      <c r="C27" s="18">
        <v>25</v>
      </c>
      <c r="D27" s="18">
        <v>32</v>
      </c>
      <c r="E27" s="18"/>
      <c r="F27" s="18"/>
      <c r="G27" s="19" t="str">
        <f ca="1">IF($A27="","",IF($I27="X",A27,CONCATENATE(VLOOKUP(A27,Competitors!$A$2:$I$650,3, FALSE)," ",VLOOKUP(A27,Competitors!$A$2:$I$650,2,FALSE))))</f>
        <v>Steven Coulam</v>
      </c>
      <c r="H27" s="20">
        <f t="shared" si="1"/>
        <v>1.773148148148148E-2</v>
      </c>
      <c r="I27" t="str">
        <f t="shared" ca="1" si="2"/>
        <v/>
      </c>
      <c r="J27" s="40" t="s">
        <v>623</v>
      </c>
    </row>
    <row r="28" spans="1:10" ht="14.25" x14ac:dyDescent="0.15">
      <c r="A28" s="17" t="str">
        <f t="shared" ca="1" si="0"/>
        <v>Jeff Crowden</v>
      </c>
      <c r="B28" s="17">
        <v>0</v>
      </c>
      <c r="C28" s="18">
        <v>25</v>
      </c>
      <c r="D28" s="18">
        <v>37</v>
      </c>
      <c r="E28" s="18"/>
      <c r="F28" s="18"/>
      <c r="G28" s="19" t="str">
        <f ca="1">IF($A28="","",IF($I28="X",A28,CONCATENATE(VLOOKUP(A28,Competitors!$A$2:$I$650,3, FALSE)," ",VLOOKUP(A28,Competitors!$A$2:$I$650,2,FALSE))))</f>
        <v>Jeff Crowden</v>
      </c>
      <c r="H28" s="20">
        <f t="shared" si="1"/>
        <v>1.7789351851851851E-2</v>
      </c>
      <c r="I28" t="str">
        <f t="shared" ca="1" si="2"/>
        <v>X</v>
      </c>
      <c r="J28" s="40" t="s">
        <v>234</v>
      </c>
    </row>
    <row r="29" spans="1:10" ht="14.25" x14ac:dyDescent="0.15">
      <c r="A29" s="17" t="str">
        <f t="shared" ca="1" si="0"/>
        <v>Marshall Briggs (Ratae)</v>
      </c>
      <c r="B29" s="17">
        <v>0</v>
      </c>
      <c r="C29" s="18">
        <v>25</v>
      </c>
      <c r="D29" s="18">
        <v>52</v>
      </c>
      <c r="E29" s="18"/>
      <c r="F29" s="18"/>
      <c r="G29" s="19" t="str">
        <f ca="1">IF($A29="","",IF($I29="X",A29,CONCATENATE(VLOOKUP(A29,Competitors!$A$2:$I$650,3, FALSE)," ",VLOOKUP(A29,Competitors!$A$2:$I$650,2,FALSE))))</f>
        <v>Marshall Briggs (Ratae)</v>
      </c>
      <c r="H29" s="20">
        <f t="shared" si="1"/>
        <v>1.7962962962962962E-2</v>
      </c>
      <c r="I29" t="str">
        <f t="shared" ca="1" si="2"/>
        <v>X</v>
      </c>
      <c r="J29" s="40" t="s">
        <v>146</v>
      </c>
    </row>
    <row r="30" spans="1:10" ht="14.25" x14ac:dyDescent="0.15">
      <c r="A30" s="17">
        <f t="shared" ca="1" si="0"/>
        <v>1107</v>
      </c>
      <c r="B30" s="17">
        <v>0</v>
      </c>
      <c r="C30" s="18">
        <v>25</v>
      </c>
      <c r="D30" s="18">
        <v>57</v>
      </c>
      <c r="E30" s="18" t="s">
        <v>170</v>
      </c>
      <c r="F30" s="18"/>
      <c r="G30" s="19" t="str">
        <f ca="1">IF($A30="","",IF($I30="X",A30,CONCATENATE(VLOOKUP(A30,Competitors!$A$2:$I$650,3, FALSE)," ",VLOOKUP(A30,Competitors!$A$2:$I$650,2,FALSE))))</f>
        <v>Milly Pinnock</v>
      </c>
      <c r="H30" s="20">
        <f t="shared" si="1"/>
        <v>1.8020833333333333E-2</v>
      </c>
      <c r="I30" t="str">
        <f t="shared" ca="1" si="2"/>
        <v/>
      </c>
      <c r="J30" s="40" t="s">
        <v>600</v>
      </c>
    </row>
    <row r="31" spans="1:10" ht="14.25" x14ac:dyDescent="0.15">
      <c r="A31" s="17">
        <f t="shared" ca="1" si="0"/>
        <v>120</v>
      </c>
      <c r="B31" s="17">
        <v>0</v>
      </c>
      <c r="C31" s="18">
        <v>26</v>
      </c>
      <c r="D31" s="18">
        <v>7</v>
      </c>
      <c r="E31" s="18"/>
      <c r="F31" s="18"/>
      <c r="G31" s="19" t="str">
        <f ca="1">IF($A31="","",IF($I31="X",A31,CONCATENATE(VLOOKUP(A31,Competitors!$A$2:$I$650,3, FALSE)," ",VLOOKUP(A31,Competitors!$A$2:$I$650,2,FALSE))))</f>
        <v>Linda Hubbard</v>
      </c>
      <c r="H31" s="20">
        <f t="shared" si="1"/>
        <v>1.8136574074074076E-2</v>
      </c>
      <c r="I31" t="str">
        <f t="shared" ca="1" si="2"/>
        <v/>
      </c>
      <c r="J31" s="40" t="s">
        <v>649</v>
      </c>
    </row>
    <row r="32" spans="1:10" ht="14.25" x14ac:dyDescent="0.15">
      <c r="A32" s="17" t="str">
        <f t="shared" ca="1" si="0"/>
        <v>Lynne Scofield (RFW)</v>
      </c>
      <c r="B32" s="17">
        <v>0</v>
      </c>
      <c r="C32" s="18">
        <v>27</v>
      </c>
      <c r="D32" s="18">
        <v>30</v>
      </c>
      <c r="E32" s="18"/>
      <c r="F32" s="18"/>
      <c r="G32" s="19" t="str">
        <f ca="1">IF($A32="","",IF($I32="X",A32,CONCATENATE(VLOOKUP(A32,Competitors!$A$2:$I$650,3, FALSE)," ",VLOOKUP(A32,Competitors!$A$2:$I$650,2,FALSE))))</f>
        <v>Lynne Scofield (RFW)</v>
      </c>
      <c r="H32" s="20">
        <f t="shared" si="1"/>
        <v>1.9097222222222224E-2</v>
      </c>
      <c r="I32" t="str">
        <f t="shared" ca="1" si="2"/>
        <v>X</v>
      </c>
      <c r="J32" s="40" t="s">
        <v>155</v>
      </c>
    </row>
    <row r="33" spans="1:10" ht="14.25" x14ac:dyDescent="0.15">
      <c r="A33" s="17">
        <f t="shared" ca="1" si="0"/>
        <v>1194</v>
      </c>
      <c r="B33" s="17">
        <v>0</v>
      </c>
      <c r="C33" s="18">
        <v>28</v>
      </c>
      <c r="D33" s="18">
        <v>10</v>
      </c>
      <c r="E33" s="18" t="s">
        <v>170</v>
      </c>
      <c r="F33" s="18"/>
      <c r="G33" s="19" t="str">
        <f ca="1">IF($A33="","",IF($I33="X",A33,CONCATENATE(VLOOKUP(A33,Competitors!$A$2:$I$650,3, FALSE)," ",VLOOKUP(A33,Competitors!$A$2:$I$650,2,FALSE))))</f>
        <v>Alex Hardwicke</v>
      </c>
      <c r="H33" s="20">
        <f t="shared" si="1"/>
        <v>1.9560185185185184E-2</v>
      </c>
      <c r="I33" t="str">
        <f t="shared" ca="1" si="2"/>
        <v/>
      </c>
      <c r="J33" s="40" t="s">
        <v>611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>Brian Lincoln (Ratae)</v>
      </c>
      <c r="B34" s="17">
        <v>0</v>
      </c>
      <c r="C34" s="18">
        <v>28</v>
      </c>
      <c r="D34" s="18">
        <v>28</v>
      </c>
      <c r="E34" s="18" t="s">
        <v>170</v>
      </c>
      <c r="F34" s="18"/>
      <c r="G34" s="19" t="str">
        <f ca="1">IF($A34="","",IF($I34="X",A34,CONCATENATE(VLOOKUP(A34,Competitors!$A$2:$I$650,3, FALSE)," ",VLOOKUP(A34,Competitors!$A$2:$I$650,2,FALSE))))</f>
        <v>Brian Lincoln (Ratae)</v>
      </c>
      <c r="H34" s="20">
        <f t="shared" si="1"/>
        <v>1.9768518518518519E-2</v>
      </c>
      <c r="I34" t="str">
        <f t="shared" ca="1" si="2"/>
        <v>X</v>
      </c>
      <c r="J34" s="40" t="s">
        <v>140</v>
      </c>
    </row>
    <row r="35" spans="1:10" ht="14.25" x14ac:dyDescent="0.15">
      <c r="A35" s="17">
        <f t="shared" ca="1" si="3"/>
        <v>1244</v>
      </c>
      <c r="B35" s="17">
        <v>0</v>
      </c>
      <c r="C35" s="18">
        <v>28</v>
      </c>
      <c r="D35" s="18">
        <v>43</v>
      </c>
      <c r="E35" s="18" t="s">
        <v>170</v>
      </c>
      <c r="F35" s="18"/>
      <c r="G35" s="19" t="str">
        <f ca="1">IF($A35="","",IF($I35="X",A35,CONCATENATE(VLOOKUP(A35,Competitors!$A$2:$I$650,3, FALSE)," ",VLOOKUP(A35,Competitors!$A$2:$I$650,2,FALSE))))</f>
        <v>Steven Latham</v>
      </c>
      <c r="H35" s="20">
        <f t="shared" si="1"/>
        <v>1.9942129629629629E-2</v>
      </c>
      <c r="I35" t="str">
        <f t="shared" ca="1" si="2"/>
        <v/>
      </c>
      <c r="J35" s="40" t="s">
        <v>618</v>
      </c>
    </row>
    <row r="36" spans="1:10" ht="14.25" x14ac:dyDescent="0.15">
      <c r="A36" s="17">
        <f t="shared" ca="1" si="3"/>
        <v>1379</v>
      </c>
      <c r="B36" s="17">
        <v>0</v>
      </c>
      <c r="C36" s="18">
        <v>28</v>
      </c>
      <c r="D36" s="18">
        <v>52</v>
      </c>
      <c r="E36" s="18" t="s">
        <v>170</v>
      </c>
      <c r="F36" s="18"/>
      <c r="G36" s="19" t="str">
        <f ca="1">IF($A36="","",IF($I36="X",A36,CONCATENATE(VLOOKUP(A36,Competitors!$A$2:$I$650,3, FALSE)," ",VLOOKUP(A36,Competitors!$A$2:$I$650,2,FALSE))))</f>
        <v>Michaela Latham</v>
      </c>
      <c r="H36" s="20">
        <f t="shared" si="1"/>
        <v>2.0046296296296295E-2</v>
      </c>
      <c r="I36" t="str">
        <f t="shared" ca="1" si="2"/>
        <v/>
      </c>
      <c r="J36" s="40" t="s">
        <v>654</v>
      </c>
    </row>
    <row r="37" spans="1:10" ht="14.25" x14ac:dyDescent="0.15">
      <c r="A37" s="17" t="str">
        <f t="shared" ca="1" si="3"/>
        <v>Paul Eden (Ratae)</v>
      </c>
      <c r="B37" s="17">
        <v>0</v>
      </c>
      <c r="C37" s="18">
        <v>29</v>
      </c>
      <c r="D37" s="18">
        <v>11</v>
      </c>
      <c r="E37" s="18" t="s">
        <v>170</v>
      </c>
      <c r="F37" s="18"/>
      <c r="G37" s="19" t="str">
        <f ca="1">IF($A37="","",IF($I37="X",A37,CONCATENATE(VLOOKUP(A37,Competitors!$A$2:$I$650,3, FALSE)," ",VLOOKUP(A37,Competitors!$A$2:$I$650,2,FALSE))))</f>
        <v>Paul Eden (Ratae)</v>
      </c>
      <c r="H37" s="20">
        <f t="shared" si="1"/>
        <v>2.0266203703703703E-2</v>
      </c>
      <c r="I37" t="str">
        <f t="shared" ca="1" si="2"/>
        <v>X</v>
      </c>
      <c r="J37" s="40" t="s">
        <v>147</v>
      </c>
    </row>
    <row r="38" spans="1:10" ht="14.25" x14ac:dyDescent="0.15">
      <c r="A38" s="17">
        <f t="shared" ca="1" si="3"/>
        <v>1298</v>
      </c>
      <c r="B38" s="17">
        <v>0</v>
      </c>
      <c r="C38" s="18">
        <v>29</v>
      </c>
      <c r="D38" s="18">
        <v>41</v>
      </c>
      <c r="E38" s="18" t="s">
        <v>170</v>
      </c>
      <c r="F38" s="18"/>
      <c r="G38" s="19" t="str">
        <f ca="1">IF($A38="","",IF($I38="X",A38,CONCATENATE(VLOOKUP(A38,Competitors!$A$2:$I$650,3, FALSE)," ",VLOOKUP(A38,Competitors!$A$2:$I$650,2,FALSE))))</f>
        <v>Jane Moore</v>
      </c>
      <c r="H38" s="20">
        <f t="shared" si="1"/>
        <v>2.0613425925925927E-2</v>
      </c>
      <c r="I38" t="str">
        <f t="shared" ca="1" si="2"/>
        <v/>
      </c>
      <c r="J38" s="40" t="s">
        <v>614</v>
      </c>
    </row>
    <row r="39" spans="1:10" ht="14.25" x14ac:dyDescent="0.15">
      <c r="A39" s="17">
        <f t="shared" ca="1" si="3"/>
        <v>935</v>
      </c>
      <c r="B39" s="17">
        <v>0</v>
      </c>
      <c r="C39" s="18">
        <v>32</v>
      </c>
      <c r="D39" s="18">
        <v>24</v>
      </c>
      <c r="E39" s="18"/>
      <c r="F39" s="18"/>
      <c r="G39" s="19" t="str">
        <f ca="1">IF($A39="","",IF($I39="X",A39,CONCATENATE(VLOOKUP(A39,Competitors!$A$2:$I$650,3, FALSE)," ",VLOOKUP(A39,Competitors!$A$2:$I$650,2,FALSE))))</f>
        <v>Sophie Ward</v>
      </c>
      <c r="H39" s="20">
        <f t="shared" si="1"/>
        <v>2.2499999999999999E-2</v>
      </c>
      <c r="I39" t="str">
        <f t="shared" ca="1" si="2"/>
        <v/>
      </c>
      <c r="J39" s="40" t="s">
        <v>651</v>
      </c>
    </row>
    <row r="40" spans="1:10" ht="14.25" x14ac:dyDescent="0.15">
      <c r="A40" s="17">
        <f t="shared" ca="1" si="3"/>
        <v>1254</v>
      </c>
      <c r="B40" s="17"/>
      <c r="C40" s="18"/>
      <c r="D40" s="18"/>
      <c r="E40" s="18"/>
      <c r="F40" s="18" t="s">
        <v>214</v>
      </c>
      <c r="G40" s="19" t="str">
        <f ca="1">IF($A40="","",IF($I40="X",A40,CONCATENATE(VLOOKUP(A40,Competitors!$A$2:$I$650,3, FALSE)," ",VLOOKUP(A40,Competitors!$A$2:$I$650,2,FALSE))))</f>
        <v>Paul White</v>
      </c>
      <c r="H40" s="20">
        <f t="shared" si="1"/>
        <v>0</v>
      </c>
      <c r="I40" t="str">
        <f t="shared" ca="1" si="2"/>
        <v/>
      </c>
      <c r="J40" s="40" t="s">
        <v>624</v>
      </c>
    </row>
    <row r="41" spans="1:10" ht="14.25" x14ac:dyDescent="0.15">
      <c r="A41" s="17" t="str">
        <f t="shared" ca="1" si="3"/>
        <v/>
      </c>
      <c r="B41" s="17"/>
      <c r="C41" s="18"/>
      <c r="D41" s="18"/>
      <c r="E41" s="18"/>
      <c r="F41" s="18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8"/>
      <c r="D42" s="18"/>
      <c r="E42" s="18"/>
      <c r="F42" s="18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8"/>
      <c r="D43" s="18"/>
      <c r="E43" s="18"/>
      <c r="F43" s="18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8"/>
      <c r="D44" s="18"/>
      <c r="E44" s="18"/>
      <c r="F44" s="18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8"/>
      <c r="D45" s="18"/>
      <c r="E45" s="18"/>
      <c r="F45" s="18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8"/>
      <c r="D46" s="18"/>
      <c r="E46" s="18"/>
      <c r="F46" s="18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8"/>
      <c r="D47" s="18"/>
      <c r="E47" s="18"/>
      <c r="F47" s="18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8"/>
      <c r="D48" s="18"/>
      <c r="E48" s="18"/>
      <c r="F48" s="18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8"/>
      <c r="D49" s="18"/>
      <c r="E49" s="18"/>
      <c r="F49" s="18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8"/>
      <c r="D50" s="18"/>
      <c r="E50" s="18"/>
      <c r="F50" s="18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8"/>
      <c r="D51" s="18"/>
      <c r="E51" s="18"/>
      <c r="F51" s="18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8"/>
      <c r="D52" s="18"/>
      <c r="E52" s="18"/>
      <c r="F52" s="18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8"/>
      <c r="D53" s="18"/>
      <c r="E53" s="18"/>
      <c r="F53" s="18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8"/>
      <c r="D54" s="18"/>
      <c r="E54" s="18"/>
      <c r="F54" s="18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8"/>
      <c r="D55" s="18"/>
      <c r="E55" s="18"/>
      <c r="F55" s="18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8"/>
      <c r="D56" s="18"/>
      <c r="E56" s="18"/>
      <c r="F56" s="18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8"/>
      <c r="D57" s="18"/>
      <c r="E57" s="18"/>
      <c r="F57" s="18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8"/>
      <c r="D58" s="18"/>
      <c r="E58" s="18"/>
      <c r="F58" s="18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8"/>
      <c r="D59" s="18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8"/>
      <c r="D60" s="18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8"/>
      <c r="D61" s="18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8"/>
      <c r="D62" s="18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8"/>
      <c r="D63" s="18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8"/>
      <c r="D64" s="18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8"/>
      <c r="D65" s="18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18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8"/>
      <c r="D67" s="18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8"/>
      <c r="D68" s="18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8"/>
      <c r="D69" s="18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8"/>
      <c r="D70" s="18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8"/>
      <c r="D71" s="18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8"/>
      <c r="D72" s="18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8"/>
      <c r="D73" s="18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8"/>
      <c r="D74" s="18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8"/>
      <c r="D75" s="18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8"/>
      <c r="D76" s="18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8"/>
      <c r="D77" s="18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8"/>
      <c r="D78" s="18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8"/>
      <c r="D79" s="18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8"/>
      <c r="D80" s="18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8"/>
      <c r="D81" s="18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8"/>
      <c r="D82" s="18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8"/>
      <c r="D83" s="18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8"/>
      <c r="D84" s="18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8"/>
      <c r="D85" s="18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8"/>
      <c r="D86" s="18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8"/>
      <c r="D87" s="18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8"/>
      <c r="D88" s="18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8"/>
      <c r="D89" s="18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8"/>
      <c r="D90" s="18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8"/>
      <c r="D91" s="18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8"/>
      <c r="D92" s="18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8"/>
      <c r="D93" s="18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8"/>
      <c r="D94" s="18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8"/>
      <c r="D95" s="18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8"/>
      <c r="D96" s="18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8"/>
      <c r="D97" s="18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8"/>
      <c r="D98" s="18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8"/>
      <c r="D99" s="18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8"/>
      <c r="D100" s="18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8"/>
      <c r="D101" s="18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38" priority="1">
      <formula>TEXT($B$104,"@")="Y"</formula>
    </cfRule>
  </conditionalFormatting>
  <conditionalFormatting sqref="G2:H101">
    <cfRule type="expression" dxfId="37" priority="3">
      <formula>$I2="X"</formula>
    </cfRule>
  </conditionalFormatting>
  <conditionalFormatting sqref="H2:H101">
    <cfRule type="expression" dxfId="36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7399-DB60-4964-B3B9-8D68FBBD0176}">
  <sheetPr codeName="Sheet14"/>
  <dimension ref="A1:J104"/>
  <sheetViews>
    <sheetView zoomScaleNormal="100" workbookViewId="0">
      <selection activeCell="J31" sqref="J31"/>
    </sheetView>
  </sheetViews>
  <sheetFormatPr defaultColWidth="9.16796875" defaultRowHeight="12.75" x14ac:dyDescent="0.15"/>
  <cols>
    <col min="1" max="1" width="23.8671875" bestFit="1" customWidth="1"/>
    <col min="2" max="4" width="4.71875" customWidth="1"/>
    <col min="5" max="6" width="11.0546875" customWidth="1"/>
    <col min="7" max="7" width="28.18359375" bestFit="1" customWidth="1"/>
    <col min="8" max="8" width="14.6953125" style="23" bestFit="1" customWidth="1"/>
    <col min="9" max="9" width="19.28125" bestFit="1" customWidth="1"/>
    <col min="10" max="10" width="15.50781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>
        <f t="shared" ref="A2:A33" ca="1" si="0">IF(J2="","",_xlfn.XLOOKUP(J2,ClubNames,ClubNumbers,_xlfn.XLOOKUP(J2,RoundRobinRiderNames,RoundRobinRiderDecoratedNames,J2)))</f>
        <v>407</v>
      </c>
      <c r="B2" s="17">
        <v>0</v>
      </c>
      <c r="C2" s="18">
        <v>23</v>
      </c>
      <c r="D2" s="18">
        <v>39</v>
      </c>
      <c r="E2" s="18"/>
      <c r="F2" s="18"/>
      <c r="G2" s="19" t="str">
        <f ca="1">IF($A2="","",IF($I2="X",A2,CONCATENATE(VLOOKUP(A2,Competitors!$A$2:$I$650,3, FALSE)," ",VLOOKUP(A2,Competitors!$A$2:$I$650,2,FALSE))))</f>
        <v>Hans van Nierop</v>
      </c>
      <c r="H2" s="20">
        <f>IF(LEFT($E2,1)="D",UPPER($E2),(B2*3600+C2*60+D2)/86400)</f>
        <v>1.6423611111111111E-2</v>
      </c>
      <c r="I2" t="str">
        <f ca="1">IF(OR(A2="",ISNUMBER(A2)),"","X")</f>
        <v/>
      </c>
      <c r="J2" s="40" t="s">
        <v>583</v>
      </c>
    </row>
    <row r="3" spans="1:10" ht="14.25" x14ac:dyDescent="0.15">
      <c r="A3" s="17" t="str">
        <f t="shared" ca="1" si="0"/>
        <v>Josh Brown (KCC)</v>
      </c>
      <c r="B3" s="17">
        <v>0</v>
      </c>
      <c r="C3" s="18">
        <v>23</v>
      </c>
      <c r="D3" s="18">
        <v>47</v>
      </c>
      <c r="E3" s="18"/>
      <c r="F3" s="18"/>
      <c r="G3" s="19" t="str">
        <f ca="1">IF($A3="","",IF($I3="X",A3,CONCATENATE(VLOOKUP(A3,Competitors!$A$2:$I$650,3, FALSE)," ",VLOOKUP(A3,Competitors!$A$2:$I$650,2,FALSE))))</f>
        <v>Josh Brown (KCC)</v>
      </c>
      <c r="H3" s="20">
        <f t="shared" ref="H3:H66" si="1">IF(LEFT($E3,1)="D",UPPER($E3),(B3*3600+C3*60+D3)/86400)</f>
        <v>1.6516203703703703E-2</v>
      </c>
      <c r="I3" t="str">
        <f t="shared" ref="I3:I66" ca="1" si="2">IF(OR(A3="",ISNUMBER(A3)),"","X")</f>
        <v>X</v>
      </c>
      <c r="J3" s="40" t="s">
        <v>235</v>
      </c>
    </row>
    <row r="4" spans="1:10" ht="14.25" x14ac:dyDescent="0.15">
      <c r="A4" s="17" t="str">
        <f t="shared" ca="1" si="0"/>
        <v>Alex Whitmore (Ratae)</v>
      </c>
      <c r="B4" s="17">
        <v>0</v>
      </c>
      <c r="C4" s="18">
        <v>23</v>
      </c>
      <c r="D4" s="18">
        <v>51</v>
      </c>
      <c r="E4" s="18"/>
      <c r="F4" s="18"/>
      <c r="G4" s="19" t="str">
        <f ca="1">IF($A4="","",IF($I4="X",A4,CONCATENATE(VLOOKUP(A4,Competitors!$A$2:$I$650,3, FALSE)," ",VLOOKUP(A4,Competitors!$A$2:$I$650,2,FALSE))))</f>
        <v>Alex Whitmore (Ratae)</v>
      </c>
      <c r="H4" s="20">
        <f t="shared" si="1"/>
        <v>1.6562500000000001E-2</v>
      </c>
      <c r="I4" t="str">
        <f t="shared" ca="1" si="2"/>
        <v>X</v>
      </c>
      <c r="J4" s="40" t="s">
        <v>139</v>
      </c>
    </row>
    <row r="5" spans="1:10" ht="14.25" x14ac:dyDescent="0.15">
      <c r="A5" s="17">
        <f t="shared" ca="1" si="0"/>
        <v>747</v>
      </c>
      <c r="B5" s="17">
        <v>0</v>
      </c>
      <c r="C5" s="18">
        <v>24</v>
      </c>
      <c r="D5" s="18">
        <v>4</v>
      </c>
      <c r="E5" s="18"/>
      <c r="F5" s="18"/>
      <c r="G5" s="19" t="str">
        <f ca="1">IF($A5="","",IF($I5="X",A5,CONCATENATE(VLOOKUP(A5,Competitors!$A$2:$I$650,3, FALSE)," ",VLOOKUP(A5,Competitors!$A$2:$I$650,2,FALSE))))</f>
        <v>James Moore</v>
      </c>
      <c r="H5" s="20">
        <f t="shared" si="1"/>
        <v>1.6712962962962964E-2</v>
      </c>
      <c r="I5" t="str">
        <f t="shared" ca="1" si="2"/>
        <v/>
      </c>
      <c r="J5" s="40" t="s">
        <v>591</v>
      </c>
    </row>
    <row r="6" spans="1:10" ht="14.25" x14ac:dyDescent="0.15">
      <c r="A6" s="17" t="str">
        <f t="shared" ca="1" si="0"/>
        <v>Adam Wells (RFW)</v>
      </c>
      <c r="B6" s="17">
        <v>0</v>
      </c>
      <c r="C6" s="18">
        <v>24</v>
      </c>
      <c r="D6" s="18">
        <v>10</v>
      </c>
      <c r="E6" s="18"/>
      <c r="F6" s="18"/>
      <c r="G6" s="19" t="str">
        <f ca="1">IF($A6="","",IF($I6="X",A6,CONCATENATE(VLOOKUP(A6,Competitors!$A$2:$I$650,3, FALSE)," ",VLOOKUP(A6,Competitors!$A$2:$I$650,2,FALSE))))</f>
        <v>Adam Wells (RFW)</v>
      </c>
      <c r="H6" s="20">
        <f t="shared" si="1"/>
        <v>1.6782407407407409E-2</v>
      </c>
      <c r="I6" t="str">
        <f t="shared" ca="1" si="2"/>
        <v>X</v>
      </c>
      <c r="J6" s="40" t="s">
        <v>150</v>
      </c>
    </row>
    <row r="7" spans="1:10" ht="14.25" x14ac:dyDescent="0.15">
      <c r="A7" s="17" t="str">
        <f t="shared" ca="1" si="0"/>
        <v>Chris Fowler (RFW)</v>
      </c>
      <c r="B7" s="17">
        <v>0</v>
      </c>
      <c r="C7" s="18">
        <v>24</v>
      </c>
      <c r="D7" s="18">
        <v>19</v>
      </c>
      <c r="E7" s="18"/>
      <c r="F7" s="18"/>
      <c r="G7" s="19" t="str">
        <f ca="1">IF($A7="","",IF($I7="X",A7,CONCATENATE(VLOOKUP(A7,Competitors!$A$2:$I$650,3, FALSE)," ",VLOOKUP(A7,Competitors!$A$2:$I$650,2,FALSE))))</f>
        <v>Chris Fowler (RFW)</v>
      </c>
      <c r="H7" s="20">
        <f t="shared" si="1"/>
        <v>1.6886574074074075E-2</v>
      </c>
      <c r="I7" t="str">
        <f t="shared" ca="1" si="2"/>
        <v>X</v>
      </c>
      <c r="J7" s="40" t="s">
        <v>153</v>
      </c>
    </row>
    <row r="8" spans="1:10" ht="14.25" x14ac:dyDescent="0.15">
      <c r="A8" s="17">
        <f t="shared" ca="1" si="0"/>
        <v>1144</v>
      </c>
      <c r="B8" s="17">
        <v>0</v>
      </c>
      <c r="C8" s="18">
        <v>24</v>
      </c>
      <c r="D8" s="18">
        <v>22</v>
      </c>
      <c r="E8" s="18" t="s">
        <v>170</v>
      </c>
      <c r="F8" s="18"/>
      <c r="G8" s="19" t="str">
        <f ca="1">IF($A8="","",IF($I8="X",A8,CONCATENATE(VLOOKUP(A8,Competitors!$A$2:$I$650,3, FALSE)," ",VLOOKUP(A8,Competitors!$A$2:$I$650,2,FALSE))))</f>
        <v>Jamie Kershaw</v>
      </c>
      <c r="H8" s="20">
        <f t="shared" si="1"/>
        <v>1.6921296296296295E-2</v>
      </c>
      <c r="I8" t="str">
        <f t="shared" ca="1" si="2"/>
        <v/>
      </c>
      <c r="J8" s="40" t="s">
        <v>584</v>
      </c>
    </row>
    <row r="9" spans="1:10" ht="14.25" x14ac:dyDescent="0.15">
      <c r="A9" s="17" t="str">
        <f t="shared" ca="1" si="0"/>
        <v>Phil Wilkinson (RFW)</v>
      </c>
      <c r="B9" s="17">
        <v>0</v>
      </c>
      <c r="C9" s="18">
        <v>24</v>
      </c>
      <c r="D9" s="18">
        <v>45</v>
      </c>
      <c r="E9" s="18"/>
      <c r="F9" s="18"/>
      <c r="G9" s="19" t="str">
        <f ca="1">IF($A9="","",IF($I9="X",A9,CONCATENATE(VLOOKUP(A9,Competitors!$A$2:$I$650,3, FALSE)," ",VLOOKUP(A9,Competitors!$A$2:$I$650,2,FALSE))))</f>
        <v>Phil Wilkinson (RFW)</v>
      </c>
      <c r="H9" s="20">
        <f t="shared" si="1"/>
        <v>1.7187500000000001E-2</v>
      </c>
      <c r="I9" t="str">
        <f t="shared" ca="1" si="2"/>
        <v>X</v>
      </c>
      <c r="J9" s="40" t="s">
        <v>157</v>
      </c>
    </row>
    <row r="10" spans="1:10" ht="14.25" x14ac:dyDescent="0.15">
      <c r="A10" s="17" t="str">
        <f t="shared" ca="1" si="0"/>
        <v>Alex Borrowman (RFW)</v>
      </c>
      <c r="B10" s="17">
        <v>0</v>
      </c>
      <c r="C10" s="18">
        <v>25</v>
      </c>
      <c r="D10" s="18">
        <v>2</v>
      </c>
      <c r="E10" s="18"/>
      <c r="F10" s="18"/>
      <c r="G10" s="19" t="str">
        <f ca="1">IF($A10="","",IF($I10="X",A10,CONCATENATE(VLOOKUP(A10,Competitors!$A$2:$I$650,3, FALSE)," ",VLOOKUP(A10,Competitors!$A$2:$I$650,2,FALSE))))</f>
        <v>Alex Borrowman (RFW)</v>
      </c>
      <c r="H10" s="20">
        <f t="shared" si="1"/>
        <v>1.7384259259259259E-2</v>
      </c>
      <c r="I10" t="str">
        <f t="shared" ca="1" si="2"/>
        <v>X</v>
      </c>
      <c r="J10" s="40" t="s">
        <v>152</v>
      </c>
    </row>
    <row r="11" spans="1:10" ht="14.25" x14ac:dyDescent="0.15">
      <c r="A11" s="17">
        <f t="shared" ca="1" si="0"/>
        <v>1055</v>
      </c>
      <c r="B11" s="17">
        <v>0</v>
      </c>
      <c r="C11" s="18">
        <v>25</v>
      </c>
      <c r="D11" s="18">
        <v>25</v>
      </c>
      <c r="E11" s="18"/>
      <c r="F11" s="18"/>
      <c r="G11" s="19" t="str">
        <f ca="1">IF($A11="","",IF($I11="X",A11,CONCATENATE(VLOOKUP(A11,Competitors!$A$2:$I$650,3, FALSE)," ",VLOOKUP(A11,Competitors!$A$2:$I$650,2,FALSE))))</f>
        <v>Austin Smith</v>
      </c>
      <c r="H11" s="20">
        <f t="shared" si="1"/>
        <v>1.7650462962962962E-2</v>
      </c>
      <c r="I11" t="str">
        <f t="shared" ca="1" si="2"/>
        <v/>
      </c>
      <c r="J11" s="40" t="s">
        <v>589</v>
      </c>
    </row>
    <row r="12" spans="1:10" ht="14.25" x14ac:dyDescent="0.15">
      <c r="A12" s="17">
        <f t="shared" ca="1" si="0"/>
        <v>1192</v>
      </c>
      <c r="B12" s="17">
        <v>0</v>
      </c>
      <c r="C12" s="18">
        <v>25</v>
      </c>
      <c r="D12" s="18">
        <v>34</v>
      </c>
      <c r="E12" s="18"/>
      <c r="F12" s="18"/>
      <c r="G12" s="19" t="str">
        <f ca="1">IF($A12="","",IF($I12="X",A12,CONCATENATE(VLOOKUP(A12,Competitors!$A$2:$I$650,3, FALSE)," ",VLOOKUP(A12,Competitors!$A$2:$I$650,2,FALSE))))</f>
        <v>Dale Norris</v>
      </c>
      <c r="H12" s="20">
        <f t="shared" si="1"/>
        <v>1.7754629629629631E-2</v>
      </c>
      <c r="I12" t="str">
        <f t="shared" ca="1" si="2"/>
        <v/>
      </c>
      <c r="J12" s="40" t="s">
        <v>590</v>
      </c>
    </row>
    <row r="13" spans="1:10" ht="14.25" x14ac:dyDescent="0.15">
      <c r="A13" s="17" t="str">
        <f t="shared" ca="1" si="0"/>
        <v>Michael Carter (RFW)</v>
      </c>
      <c r="B13" s="17">
        <v>0</v>
      </c>
      <c r="C13" s="18">
        <v>25</v>
      </c>
      <c r="D13" s="18">
        <v>48</v>
      </c>
      <c r="E13" s="18"/>
      <c r="F13" s="18"/>
      <c r="G13" s="19" t="str">
        <f ca="1">IF($A13="","",IF($I13="X",A13,CONCATENATE(VLOOKUP(A13,Competitors!$A$2:$I$650,3, FALSE)," ",VLOOKUP(A13,Competitors!$A$2:$I$650,2,FALSE))))</f>
        <v>Michael Carter (RFW)</v>
      </c>
      <c r="H13" s="20">
        <f t="shared" si="1"/>
        <v>1.7916666666666668E-2</v>
      </c>
      <c r="I13" t="str">
        <f t="shared" ca="1" si="2"/>
        <v>X</v>
      </c>
      <c r="J13" s="40" t="s">
        <v>156</v>
      </c>
    </row>
    <row r="14" spans="1:10" ht="14.25" x14ac:dyDescent="0.15">
      <c r="A14" s="17" t="str">
        <f t="shared" ca="1" si="0"/>
        <v>Andy King (KCC)</v>
      </c>
      <c r="B14" s="17">
        <v>0</v>
      </c>
      <c r="C14" s="18">
        <v>25</v>
      </c>
      <c r="D14" s="18">
        <v>58</v>
      </c>
      <c r="E14" s="18"/>
      <c r="F14" s="18"/>
      <c r="G14" s="19" t="str">
        <f ca="1">IF($A14="","",IF($I14="X",A14,CONCATENATE(VLOOKUP(A14,Competitors!$A$2:$I$650,3, FALSE)," ",VLOOKUP(A14,Competitors!$A$2:$I$650,2,FALSE))))</f>
        <v>Andy King (KCC)</v>
      </c>
      <c r="H14" s="20">
        <f t="shared" si="1"/>
        <v>1.8032407407407407E-2</v>
      </c>
      <c r="I14" t="str">
        <f t="shared" ca="1" si="2"/>
        <v>X</v>
      </c>
      <c r="J14" s="40" t="s">
        <v>236</v>
      </c>
    </row>
    <row r="15" spans="1:10" ht="14.25" x14ac:dyDescent="0.15">
      <c r="A15" s="17" t="str">
        <f t="shared" ca="1" si="0"/>
        <v>Giles Cooper (RFW)</v>
      </c>
      <c r="B15" s="17">
        <v>0</v>
      </c>
      <c r="C15" s="18">
        <v>26</v>
      </c>
      <c r="D15" s="18">
        <v>6</v>
      </c>
      <c r="E15" s="18"/>
      <c r="F15" s="18"/>
      <c r="G15" s="19" t="str">
        <f ca="1">IF($A15="","",IF($I15="X",A15,CONCATENATE(VLOOKUP(A15,Competitors!$A$2:$I$650,3, FALSE)," ",VLOOKUP(A15,Competitors!$A$2:$I$650,2,FALSE))))</f>
        <v>Giles Cooper (RFW)</v>
      </c>
      <c r="H15" s="20">
        <f t="shared" si="1"/>
        <v>1.8124999999999999E-2</v>
      </c>
      <c r="I15" t="str">
        <f t="shared" ca="1" si="2"/>
        <v>X</v>
      </c>
      <c r="J15" s="40" t="s">
        <v>237</v>
      </c>
    </row>
    <row r="16" spans="1:10" ht="14.25" x14ac:dyDescent="0.15">
      <c r="A16" s="17" t="str">
        <f t="shared" ca="1" si="0"/>
        <v>Gregg Payne (RFW)</v>
      </c>
      <c r="B16" s="17">
        <v>0</v>
      </c>
      <c r="C16" s="18">
        <v>26</v>
      </c>
      <c r="D16" s="18">
        <v>10</v>
      </c>
      <c r="E16" s="18"/>
      <c r="F16" s="18"/>
      <c r="G16" s="19" t="str">
        <f ca="1">IF($A16="","",IF($I16="X",A16,CONCATENATE(VLOOKUP(A16,Competitors!$A$2:$I$650,3, FALSE)," ",VLOOKUP(A16,Competitors!$A$2:$I$650,2,FALSE))))</f>
        <v>Gregg Payne (RFW)</v>
      </c>
      <c r="H16" s="20">
        <f t="shared" si="1"/>
        <v>1.8171296296296297E-2</v>
      </c>
      <c r="I16" t="str">
        <f t="shared" ca="1" si="2"/>
        <v>X</v>
      </c>
      <c r="J16" s="40" t="s">
        <v>241</v>
      </c>
    </row>
    <row r="17" spans="1:10" ht="14.25" x14ac:dyDescent="0.15">
      <c r="A17" s="17">
        <f t="shared" ca="1" si="0"/>
        <v>415</v>
      </c>
      <c r="B17" s="17">
        <v>0</v>
      </c>
      <c r="C17" s="18">
        <v>26</v>
      </c>
      <c r="D17" s="18">
        <v>23</v>
      </c>
      <c r="E17" s="18" t="s">
        <v>170</v>
      </c>
      <c r="F17" s="18"/>
      <c r="G17" s="19" t="str">
        <f ca="1">IF($A17="","",IF($I17="X",A17,CONCATENATE(VLOOKUP(A17,Competitors!$A$2:$I$650,3, FALSE)," ",VLOOKUP(A17,Competitors!$A$2:$I$650,2,FALSE))))</f>
        <v>Nik Kershaw</v>
      </c>
      <c r="H17" s="20">
        <f t="shared" si="1"/>
        <v>1.832175925925926E-2</v>
      </c>
      <c r="I17" t="str">
        <f t="shared" ca="1" si="2"/>
        <v/>
      </c>
      <c r="J17" s="40" t="s">
        <v>594</v>
      </c>
    </row>
    <row r="18" spans="1:10" ht="14.25" x14ac:dyDescent="0.15">
      <c r="A18" s="17" t="str">
        <f t="shared" ca="1" si="0"/>
        <v>Sam Nettel (LFCC)</v>
      </c>
      <c r="B18" s="17">
        <v>0</v>
      </c>
      <c r="C18" s="18">
        <v>26</v>
      </c>
      <c r="D18" s="18">
        <v>39</v>
      </c>
      <c r="E18" s="18"/>
      <c r="F18" s="18"/>
      <c r="G18" s="19" t="str">
        <f ca="1">IF($A18="","",IF($I18="X",A18,CONCATENATE(VLOOKUP(A18,Competitors!$A$2:$I$650,3, FALSE)," ",VLOOKUP(A18,Competitors!$A$2:$I$650,2,FALSE))))</f>
        <v>Sam Nettel (LFCC)</v>
      </c>
      <c r="H18" s="20">
        <f t="shared" si="1"/>
        <v>1.8506944444444444E-2</v>
      </c>
      <c r="I18" t="str">
        <f t="shared" ca="1" si="2"/>
        <v>X</v>
      </c>
      <c r="J18" s="40" t="s">
        <v>129</v>
      </c>
    </row>
    <row r="19" spans="1:10" ht="14.25" x14ac:dyDescent="0.15">
      <c r="A19" s="17" t="str">
        <f t="shared" ca="1" si="0"/>
        <v>Evan Collett Jnr (KCC)</v>
      </c>
      <c r="B19" s="17">
        <v>0</v>
      </c>
      <c r="C19" s="18">
        <v>27</v>
      </c>
      <c r="D19" s="18">
        <v>13</v>
      </c>
      <c r="E19" s="18"/>
      <c r="F19" s="18"/>
      <c r="G19" s="19" t="str">
        <f ca="1">IF($A19="","",IF($I19="X",A19,CONCATENATE(VLOOKUP(A19,Competitors!$A$2:$I$650,3, FALSE)," ",VLOOKUP(A19,Competitors!$A$2:$I$650,2,FALSE))))</f>
        <v>Evan Collett Jnr (KCC)</v>
      </c>
      <c r="H19" s="20">
        <f t="shared" si="1"/>
        <v>1.8900462962962963E-2</v>
      </c>
      <c r="I19" t="str">
        <f t="shared" ca="1" si="2"/>
        <v>X</v>
      </c>
      <c r="J19" s="40" t="s">
        <v>122</v>
      </c>
    </row>
    <row r="20" spans="1:10" ht="14.25" x14ac:dyDescent="0.15">
      <c r="A20" s="17" t="str">
        <f t="shared" ca="1" si="0"/>
        <v>Jeff Crowden</v>
      </c>
      <c r="B20" s="17">
        <v>0</v>
      </c>
      <c r="C20" s="18">
        <v>27</v>
      </c>
      <c r="D20" s="18">
        <v>17</v>
      </c>
      <c r="E20" s="18"/>
      <c r="F20" s="18"/>
      <c r="G20" s="19" t="str">
        <f ca="1">IF($A20="","",IF($I20="X",A20,CONCATENATE(VLOOKUP(A20,Competitors!$A$2:$I$650,3, FALSE)," ",VLOOKUP(A20,Competitors!$A$2:$I$650,2,FALSE))))</f>
        <v>Jeff Crowden</v>
      </c>
      <c r="H20" s="20">
        <f t="shared" si="1"/>
        <v>1.894675925925926E-2</v>
      </c>
      <c r="I20" t="str">
        <f t="shared" ca="1" si="2"/>
        <v>X</v>
      </c>
      <c r="J20" s="40" t="s">
        <v>234</v>
      </c>
    </row>
    <row r="21" spans="1:10" ht="14.25" x14ac:dyDescent="0.15">
      <c r="A21" s="17" t="str">
        <f t="shared" ca="1" si="0"/>
        <v>Graham Pigott</v>
      </c>
      <c r="B21" s="17">
        <v>0</v>
      </c>
      <c r="C21" s="18">
        <v>27</v>
      </c>
      <c r="D21" s="18">
        <v>19</v>
      </c>
      <c r="E21" s="18"/>
      <c r="F21" s="18"/>
      <c r="G21" s="19" t="str">
        <f ca="1">IF($A21="","",IF($I21="X",A21,CONCATENATE(VLOOKUP(A21,Competitors!$A$2:$I$650,3, FALSE)," ",VLOOKUP(A21,Competitors!$A$2:$I$650,2,FALSE))))</f>
        <v>Graham Pigott</v>
      </c>
      <c r="H21" s="20">
        <f t="shared" si="1"/>
        <v>1.8969907407407408E-2</v>
      </c>
      <c r="I21" t="str">
        <f t="shared" ca="1" si="2"/>
        <v>X</v>
      </c>
      <c r="J21" s="40" t="s">
        <v>238</v>
      </c>
    </row>
    <row r="22" spans="1:10" ht="14.25" x14ac:dyDescent="0.15">
      <c r="A22" s="17" t="str">
        <f t="shared" ca="1" si="0"/>
        <v>Dan Hempkin (RFW)</v>
      </c>
      <c r="B22" s="17">
        <v>0</v>
      </c>
      <c r="C22" s="18">
        <v>27</v>
      </c>
      <c r="D22" s="18">
        <v>24</v>
      </c>
      <c r="E22" s="18"/>
      <c r="F22" s="18"/>
      <c r="G22" s="19" t="str">
        <f ca="1">IF($A22="","",IF($I22="X",A22,CONCATENATE(VLOOKUP(A22,Competitors!$A$2:$I$650,3, FALSE)," ",VLOOKUP(A22,Competitors!$A$2:$I$650,2,FALSE))))</f>
        <v>Dan Hempkin (RFW)</v>
      </c>
      <c r="H22" s="20">
        <f t="shared" si="1"/>
        <v>1.9027777777777779E-2</v>
      </c>
      <c r="I22" t="str">
        <f t="shared" ca="1" si="2"/>
        <v>X</v>
      </c>
      <c r="J22" s="40" t="s">
        <v>667</v>
      </c>
    </row>
    <row r="23" spans="1:10" ht="14.25" x14ac:dyDescent="0.15">
      <c r="A23" s="17" t="str">
        <f t="shared" ca="1" si="0"/>
        <v>Mike Higgins</v>
      </c>
      <c r="B23" s="17">
        <v>0</v>
      </c>
      <c r="C23" s="18">
        <v>27</v>
      </c>
      <c r="D23" s="18">
        <v>33</v>
      </c>
      <c r="E23" s="18"/>
      <c r="F23" s="18"/>
      <c r="G23" s="19" t="str">
        <f ca="1">IF($A23="","",IF($I23="X",A23,CONCATENATE(VLOOKUP(A23,Competitors!$A$2:$I$650,3, FALSE)," ",VLOOKUP(A23,Competitors!$A$2:$I$650,2,FALSE))))</f>
        <v>Mike Higgins</v>
      </c>
      <c r="H23" s="20">
        <f t="shared" si="1"/>
        <v>1.9131944444444444E-2</v>
      </c>
      <c r="I23" t="str">
        <f t="shared" ca="1" si="2"/>
        <v>X</v>
      </c>
      <c r="J23" s="40" t="s">
        <v>239</v>
      </c>
    </row>
    <row r="24" spans="1:10" ht="14.25" x14ac:dyDescent="0.15">
      <c r="A24" s="17">
        <f t="shared" ca="1" si="0"/>
        <v>567</v>
      </c>
      <c r="B24" s="17">
        <v>0</v>
      </c>
      <c r="C24" s="18">
        <v>27</v>
      </c>
      <c r="D24" s="18">
        <v>40</v>
      </c>
      <c r="E24" s="18" t="s">
        <v>170</v>
      </c>
      <c r="F24" s="18"/>
      <c r="G24" s="19" t="str">
        <f ca="1">IF($A24="","",IF($I24="X",A24,CONCATENATE(VLOOKUP(A24,Competitors!$A$2:$I$650,3, FALSE)," ",VLOOKUP(A24,Competitors!$A$2:$I$650,2,FALSE))))</f>
        <v>Lawrence Cox</v>
      </c>
      <c r="H24" s="20">
        <f t="shared" si="1"/>
        <v>1.9212962962962963E-2</v>
      </c>
      <c r="I24" t="str">
        <f t="shared" ca="1" si="2"/>
        <v/>
      </c>
      <c r="J24" s="40" t="s">
        <v>593</v>
      </c>
    </row>
    <row r="25" spans="1:10" ht="14.25" x14ac:dyDescent="0.15">
      <c r="A25" s="17">
        <f t="shared" ca="1" si="0"/>
        <v>1326</v>
      </c>
      <c r="B25" s="17">
        <v>0</v>
      </c>
      <c r="C25" s="18">
        <v>28</v>
      </c>
      <c r="D25" s="18">
        <v>4</v>
      </c>
      <c r="E25" s="18" t="s">
        <v>170</v>
      </c>
      <c r="F25" s="18"/>
      <c r="G25" s="19" t="str">
        <f ca="1">IF($A25="","",IF($I25="X",A25,CONCATENATE(VLOOKUP(A25,Competitors!$A$2:$I$650,3, FALSE)," ",VLOOKUP(A25,Competitors!$A$2:$I$650,2,FALSE))))</f>
        <v>Laoise Bennis</v>
      </c>
      <c r="H25" s="20">
        <f t="shared" si="1"/>
        <v>1.9490740740740739E-2</v>
      </c>
      <c r="I25" t="str">
        <f t="shared" ca="1" si="2"/>
        <v/>
      </c>
      <c r="J25" s="40" t="s">
        <v>652</v>
      </c>
    </row>
    <row r="26" spans="1:10" ht="14.25" x14ac:dyDescent="0.15">
      <c r="A26" s="17">
        <f t="shared" ca="1" si="0"/>
        <v>1107</v>
      </c>
      <c r="B26" s="17">
        <v>0</v>
      </c>
      <c r="C26" s="18">
        <v>28</v>
      </c>
      <c r="D26" s="18">
        <v>18</v>
      </c>
      <c r="E26" s="18" t="s">
        <v>170</v>
      </c>
      <c r="F26" s="18"/>
      <c r="G26" s="19" t="str">
        <f ca="1">IF($A26="","",IF($I26="X",A26,CONCATENATE(VLOOKUP(A26,Competitors!$A$2:$I$650,3, FALSE)," ",VLOOKUP(A26,Competitors!$A$2:$I$650,2,FALSE))))</f>
        <v>Milly Pinnock</v>
      </c>
      <c r="H26" s="20">
        <f t="shared" si="1"/>
        <v>1.9652777777777779E-2</v>
      </c>
      <c r="I26" t="str">
        <f t="shared" ca="1" si="2"/>
        <v/>
      </c>
      <c r="J26" s="40" t="s">
        <v>600</v>
      </c>
    </row>
    <row r="27" spans="1:10" ht="14.25" x14ac:dyDescent="0.15">
      <c r="A27" s="17">
        <f t="shared" ca="1" si="0"/>
        <v>1129</v>
      </c>
      <c r="B27" s="17">
        <v>0</v>
      </c>
      <c r="C27" s="18">
        <v>28</v>
      </c>
      <c r="D27" s="18">
        <v>21</v>
      </c>
      <c r="E27" s="18"/>
      <c r="F27" s="18"/>
      <c r="G27" s="19" t="str">
        <f ca="1">IF($A27="","",IF($I27="X",A27,CONCATENATE(VLOOKUP(A27,Competitors!$A$2:$I$650,3, FALSE)," ",VLOOKUP(A27,Competitors!$A$2:$I$650,2,FALSE))))</f>
        <v>Doug Tincello</v>
      </c>
      <c r="H27" s="20">
        <f t="shared" si="1"/>
        <v>1.96875E-2</v>
      </c>
      <c r="I27" t="str">
        <f t="shared" ca="1" si="2"/>
        <v/>
      </c>
      <c r="J27" s="40" t="s">
        <v>596</v>
      </c>
    </row>
    <row r="28" spans="1:10" ht="14.25" x14ac:dyDescent="0.15">
      <c r="A28" s="17" t="str">
        <f t="shared" ca="1" si="0"/>
        <v>Mark Newton (Ratae)</v>
      </c>
      <c r="B28" s="17">
        <v>0</v>
      </c>
      <c r="C28" s="18">
        <v>28</v>
      </c>
      <c r="D28" s="18">
        <v>44</v>
      </c>
      <c r="E28" s="18"/>
      <c r="F28" s="18"/>
      <c r="G28" s="19" t="str">
        <f ca="1">IF($A28="","",IF($I28="X",A28,CONCATENATE(VLOOKUP(A28,Competitors!$A$2:$I$650,3, FALSE)," ",VLOOKUP(A28,Competitors!$A$2:$I$650,2,FALSE))))</f>
        <v>Mark Newton (Ratae)</v>
      </c>
      <c r="H28" s="20">
        <f t="shared" si="1"/>
        <v>1.9953703703703703E-2</v>
      </c>
      <c r="I28" t="str">
        <f t="shared" ca="1" si="2"/>
        <v>X</v>
      </c>
      <c r="J28" s="40" t="s">
        <v>145</v>
      </c>
    </row>
    <row r="29" spans="1:10" ht="14.25" x14ac:dyDescent="0.15">
      <c r="A29" s="17">
        <f t="shared" ca="1" si="0"/>
        <v>704</v>
      </c>
      <c r="B29" s="17">
        <v>0</v>
      </c>
      <c r="C29" s="18">
        <v>28</v>
      </c>
      <c r="D29" s="18">
        <v>56</v>
      </c>
      <c r="E29" s="18" t="s">
        <v>170</v>
      </c>
      <c r="F29" s="18"/>
      <c r="G29" s="19" t="str">
        <f ca="1">IF($A29="","",IF($I29="X",A29,CONCATENATE(VLOOKUP(A29,Competitors!$A$2:$I$650,3, FALSE)," ",VLOOKUP(A29,Competitors!$A$2:$I$650,2,FALSE))))</f>
        <v>Chris Dainty</v>
      </c>
      <c r="H29" s="20">
        <f t="shared" si="1"/>
        <v>2.0092592592592592E-2</v>
      </c>
      <c r="I29" t="str">
        <f t="shared" ca="1" si="2"/>
        <v/>
      </c>
      <c r="J29" s="40" t="s">
        <v>605</v>
      </c>
    </row>
    <row r="30" spans="1:10" ht="14.25" x14ac:dyDescent="0.15">
      <c r="A30" s="17" t="str">
        <f t="shared" ca="1" si="0"/>
        <v>Sarah Ashcroft (W)</v>
      </c>
      <c r="B30" s="17">
        <v>0</v>
      </c>
      <c r="C30" s="18">
        <v>29</v>
      </c>
      <c r="D30" s="18">
        <v>15</v>
      </c>
      <c r="E30" s="18"/>
      <c r="F30" s="18"/>
      <c r="G30" s="19" t="str">
        <f ca="1">IF($A30="","",IF($I30="X",A30,CONCATENATE(VLOOKUP(A30,Competitors!$A$2:$I$650,3, FALSE)," ",VLOOKUP(A30,Competitors!$A$2:$I$650,2,FALSE))))</f>
        <v>Sarah Ashcroft (W)</v>
      </c>
      <c r="H30" s="20">
        <f t="shared" si="1"/>
        <v>2.0312500000000001E-2</v>
      </c>
      <c r="I30" t="str">
        <f t="shared" ca="1" si="2"/>
        <v>X</v>
      </c>
      <c r="J30" s="40" t="s">
        <v>672</v>
      </c>
    </row>
    <row r="31" spans="1:10" ht="14.25" x14ac:dyDescent="0.15">
      <c r="A31" s="17" t="str">
        <f t="shared" ca="1" si="0"/>
        <v>Stephen Comber</v>
      </c>
      <c r="B31" s="17">
        <v>0</v>
      </c>
      <c r="C31" s="18">
        <v>29</v>
      </c>
      <c r="D31" s="18">
        <v>46</v>
      </c>
      <c r="E31" s="18"/>
      <c r="F31" s="18"/>
      <c r="G31" s="19" t="str">
        <f ca="1">IF($A31="","",IF($I31="X",A31,CONCATENATE(VLOOKUP(A31,Competitors!$A$2:$I$650,3, FALSE)," ",VLOOKUP(A31,Competitors!$A$2:$I$650,2,FALSE))))</f>
        <v>Stephen Comber</v>
      </c>
      <c r="H31" s="20">
        <f t="shared" si="1"/>
        <v>2.0671296296296295E-2</v>
      </c>
      <c r="I31" t="str">
        <f t="shared" ca="1" si="2"/>
        <v>X</v>
      </c>
      <c r="J31" s="40" t="s">
        <v>240</v>
      </c>
    </row>
    <row r="32" spans="1:10" ht="14.25" x14ac:dyDescent="0.15">
      <c r="A32" s="17">
        <f t="shared" ca="1" si="0"/>
        <v>1195</v>
      </c>
      <c r="B32" s="17">
        <v>0</v>
      </c>
      <c r="C32" s="18">
        <v>29</v>
      </c>
      <c r="D32" s="18">
        <v>55</v>
      </c>
      <c r="E32" s="18" t="s">
        <v>170</v>
      </c>
      <c r="F32" s="18"/>
      <c r="G32" s="19" t="str">
        <f ca="1">IF($A32="","",IF($I32="X",A32,CONCATENATE(VLOOKUP(A32,Competitors!$A$2:$I$650,3, FALSE)," ",VLOOKUP(A32,Competitors!$A$2:$I$650,2,FALSE))))</f>
        <v>Charlie Hardwicke</v>
      </c>
      <c r="H32" s="20">
        <f t="shared" si="1"/>
        <v>2.0775462962962964E-2</v>
      </c>
      <c r="I32" t="str">
        <f t="shared" ca="1" si="2"/>
        <v/>
      </c>
      <c r="J32" s="40" t="s">
        <v>613</v>
      </c>
    </row>
    <row r="33" spans="1:10" ht="14.25" x14ac:dyDescent="0.15">
      <c r="A33" s="17" t="str">
        <f t="shared" ca="1" si="0"/>
        <v>David Hill (RFW)</v>
      </c>
      <c r="B33" s="17">
        <v>0</v>
      </c>
      <c r="C33" s="18">
        <v>30</v>
      </c>
      <c r="D33" s="18">
        <v>1</v>
      </c>
      <c r="E33" s="18"/>
      <c r="F33" s="18"/>
      <c r="G33" s="19" t="str">
        <f ca="1">IF($A33="","",IF($I33="X",A33,CONCATENATE(VLOOKUP(A33,Competitors!$A$2:$I$650,3, FALSE)," ",VLOOKUP(A33,Competitors!$A$2:$I$650,2,FALSE))))</f>
        <v>David Hill (RFW)</v>
      </c>
      <c r="H33" s="20">
        <f t="shared" si="1"/>
        <v>2.0844907407407406E-2</v>
      </c>
      <c r="I33" t="str">
        <f t="shared" ca="1" si="2"/>
        <v>X</v>
      </c>
      <c r="J33" s="40" t="s">
        <v>225</v>
      </c>
    </row>
    <row r="34" spans="1:10" ht="14.25" x14ac:dyDescent="0.15">
      <c r="A34" s="17">
        <f t="shared" ref="A34:A65" ca="1" si="3">IF(J34="","",_xlfn.XLOOKUP(J34,ClubNames,ClubNumbers,_xlfn.XLOOKUP(J34,RoundRobinRiderNames,RoundRobinRiderDecoratedNames,J34)))</f>
        <v>1386</v>
      </c>
      <c r="B34" s="17">
        <v>0</v>
      </c>
      <c r="C34" s="18">
        <v>30</v>
      </c>
      <c r="D34" s="18">
        <v>27</v>
      </c>
      <c r="E34" s="18" t="s">
        <v>170</v>
      </c>
      <c r="F34" s="18"/>
      <c r="G34" s="19" t="str">
        <f ca="1">IF($A34="","",IF($I34="X",A34,CONCATENATE(VLOOKUP(A34,Competitors!$A$2:$I$650,3, FALSE)," ",VLOOKUP(A34,Competitors!$A$2:$I$650,2,FALSE))))</f>
        <v>Mea Moore</v>
      </c>
      <c r="H34" s="20">
        <f t="shared" si="1"/>
        <v>2.1145833333333332E-2</v>
      </c>
      <c r="I34" t="str">
        <f t="shared" ca="1" si="2"/>
        <v/>
      </c>
      <c r="J34" s="40" t="s">
        <v>644</v>
      </c>
    </row>
    <row r="35" spans="1:10" ht="14.25" x14ac:dyDescent="0.15">
      <c r="A35" s="17" t="str">
        <f t="shared" ca="1" si="3"/>
        <v>Lynne Scofield (RFW)</v>
      </c>
      <c r="B35" s="17">
        <v>0</v>
      </c>
      <c r="C35" s="18">
        <v>30</v>
      </c>
      <c r="D35" s="18">
        <v>36</v>
      </c>
      <c r="E35" s="18"/>
      <c r="F35" s="18"/>
      <c r="G35" s="19" t="str">
        <f ca="1">IF($A35="","",IF($I35="X",A35,CONCATENATE(VLOOKUP(A35,Competitors!$A$2:$I$650,3, FALSE)," ",VLOOKUP(A35,Competitors!$A$2:$I$650,2,FALSE))))</f>
        <v>Lynne Scofield (RFW)</v>
      </c>
      <c r="H35" s="20">
        <f t="shared" si="1"/>
        <v>2.1250000000000002E-2</v>
      </c>
      <c r="I35" t="str">
        <f t="shared" ca="1" si="2"/>
        <v>X</v>
      </c>
      <c r="J35" s="40" t="s">
        <v>155</v>
      </c>
    </row>
    <row r="36" spans="1:10" ht="14.25" x14ac:dyDescent="0.15">
      <c r="A36" s="17" t="str">
        <f t="shared" ca="1" si="3"/>
        <v>Anne Gilhespy (RFW)</v>
      </c>
      <c r="B36" s="17"/>
      <c r="C36" s="18"/>
      <c r="D36" s="18"/>
      <c r="E36" s="18"/>
      <c r="F36" s="18" t="s">
        <v>214</v>
      </c>
      <c r="G36" s="19" t="str">
        <f ca="1">IF($A36="","",IF($I36="X",A36,CONCATENATE(VLOOKUP(A36,Competitors!$A$2:$I$650,3, FALSE)," ",VLOOKUP(A36,Competitors!$A$2:$I$650,2,FALSE))))</f>
        <v>Anne Gilhespy (RFW)</v>
      </c>
      <c r="H36" s="20">
        <f t="shared" si="1"/>
        <v>0</v>
      </c>
      <c r="I36" t="str">
        <f t="shared" ca="1" si="2"/>
        <v>X</v>
      </c>
      <c r="J36" s="40" t="s">
        <v>668</v>
      </c>
    </row>
    <row r="37" spans="1:10" ht="14.25" x14ac:dyDescent="0.15">
      <c r="A37" s="17" t="str">
        <f t="shared" ca="1" si="3"/>
        <v>Guy Bibby</v>
      </c>
      <c r="B37" s="17">
        <v>0</v>
      </c>
      <c r="C37" s="18">
        <v>32</v>
      </c>
      <c r="D37" s="18">
        <v>36</v>
      </c>
      <c r="E37" s="18"/>
      <c r="F37" s="18"/>
      <c r="G37" s="19" t="str">
        <f ca="1">IF($A37="","",IF($I37="X",A37,CONCATENATE(VLOOKUP(A37,Competitors!$A$2:$I$650,3, FALSE)," ",VLOOKUP(A37,Competitors!$A$2:$I$650,2,FALSE))))</f>
        <v>Guy Bibby</v>
      </c>
      <c r="H37" s="20">
        <f t="shared" si="1"/>
        <v>2.2638888888888889E-2</v>
      </c>
      <c r="I37" t="str">
        <f t="shared" ca="1" si="2"/>
        <v>X</v>
      </c>
      <c r="J37" s="40" t="s">
        <v>232</v>
      </c>
    </row>
    <row r="38" spans="1:10" ht="14.25" x14ac:dyDescent="0.15">
      <c r="A38" s="17" t="str">
        <f t="shared" ca="1" si="3"/>
        <v>Paul Eden (Ratae)</v>
      </c>
      <c r="B38" s="17">
        <v>0</v>
      </c>
      <c r="C38" s="18">
        <v>32</v>
      </c>
      <c r="D38" s="18">
        <v>43</v>
      </c>
      <c r="E38" s="18"/>
      <c r="F38" s="18"/>
      <c r="G38" s="19" t="str">
        <f ca="1">IF($A38="","",IF($I38="X",A38,CONCATENATE(VLOOKUP(A38,Competitors!$A$2:$I$650,3, FALSE)," ",VLOOKUP(A38,Competitors!$A$2:$I$650,2,FALSE))))</f>
        <v>Paul Eden (Ratae)</v>
      </c>
      <c r="H38" s="20">
        <f t="shared" si="1"/>
        <v>2.2719907407407407E-2</v>
      </c>
      <c r="I38" t="str">
        <f t="shared" ca="1" si="2"/>
        <v>X</v>
      </c>
      <c r="J38" s="40" t="s">
        <v>147</v>
      </c>
    </row>
    <row r="39" spans="1:10" ht="14.25" x14ac:dyDescent="0.15">
      <c r="A39" s="17" t="str">
        <f t="shared" ca="1" si="3"/>
        <v/>
      </c>
      <c r="B39" s="17"/>
      <c r="C39" s="18"/>
      <c r="D39" s="18"/>
      <c r="E39" s="18"/>
      <c r="F39" s="18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8"/>
      <c r="D40" s="18"/>
      <c r="E40" s="18"/>
      <c r="F40" s="18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8"/>
      <c r="D41" s="18"/>
      <c r="E41" s="18"/>
      <c r="F41" s="18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8"/>
      <c r="D42" s="18"/>
      <c r="E42" s="18"/>
      <c r="F42" s="18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8"/>
      <c r="D43" s="18"/>
      <c r="E43" s="18"/>
      <c r="F43" s="18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8"/>
      <c r="D44" s="18"/>
      <c r="E44" s="18"/>
      <c r="F44" s="18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8"/>
      <c r="D45" s="18"/>
      <c r="E45" s="18"/>
      <c r="F45" s="18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8"/>
      <c r="D46" s="18"/>
      <c r="E46" s="18"/>
      <c r="F46" s="18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8"/>
      <c r="D47" s="18"/>
      <c r="E47" s="18"/>
      <c r="F47" s="18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8"/>
      <c r="D48" s="18"/>
      <c r="E48" s="18"/>
      <c r="F48" s="18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8"/>
      <c r="D49" s="18"/>
      <c r="E49" s="18"/>
      <c r="F49" s="18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8"/>
      <c r="D50" s="18"/>
      <c r="E50" s="18"/>
      <c r="F50" s="18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8"/>
      <c r="D51" s="18"/>
      <c r="E51" s="18"/>
      <c r="F51" s="18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8"/>
      <c r="D52" s="18"/>
      <c r="E52" s="18"/>
      <c r="F52" s="18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8"/>
      <c r="D53" s="18"/>
      <c r="E53" s="18"/>
      <c r="F53" s="18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8"/>
      <c r="D54" s="18"/>
      <c r="E54" s="18"/>
      <c r="F54" s="18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8"/>
      <c r="D55" s="18"/>
      <c r="E55" s="18"/>
      <c r="F55" s="18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8"/>
      <c r="D56" s="18"/>
      <c r="E56" s="18"/>
      <c r="F56" s="18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8"/>
      <c r="D57" s="18"/>
      <c r="E57" s="18"/>
      <c r="F57" s="18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8"/>
      <c r="D58" s="18"/>
      <c r="E58" s="18"/>
      <c r="F58" s="18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8"/>
      <c r="D59" s="18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8"/>
      <c r="D60" s="18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8"/>
      <c r="D61" s="18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8"/>
      <c r="D62" s="18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8"/>
      <c r="D63" s="18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8"/>
      <c r="D64" s="18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8"/>
      <c r="D65" s="18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18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8"/>
      <c r="D67" s="18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8"/>
      <c r="D68" s="18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8"/>
      <c r="D69" s="18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8"/>
      <c r="D70" s="18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8"/>
      <c r="D71" s="18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8"/>
      <c r="D72" s="18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8"/>
      <c r="D73" s="18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8"/>
      <c r="D74" s="18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8"/>
      <c r="D75" s="18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8"/>
      <c r="D76" s="18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8"/>
      <c r="D77" s="18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8"/>
      <c r="D78" s="18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8"/>
      <c r="D79" s="18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8"/>
      <c r="D80" s="18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8"/>
      <c r="D81" s="18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8"/>
      <c r="D82" s="18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8"/>
      <c r="D83" s="18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8"/>
      <c r="D84" s="18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8"/>
      <c r="D85" s="18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8"/>
      <c r="D86" s="18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8"/>
      <c r="D87" s="18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8"/>
      <c r="D88" s="18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8"/>
      <c r="D89" s="18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8"/>
      <c r="D90" s="18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8"/>
      <c r="D91" s="18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8"/>
      <c r="D92" s="18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8"/>
      <c r="D93" s="18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8"/>
      <c r="D94" s="18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8"/>
      <c r="D95" s="18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8"/>
      <c r="D96" s="18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8"/>
      <c r="D97" s="18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8"/>
      <c r="D98" s="18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8"/>
      <c r="D99" s="18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8"/>
      <c r="D100" s="18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8"/>
      <c r="D101" s="18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35" priority="1">
      <formula>TEXT($B$104,"@")="Y"</formula>
    </cfRule>
  </conditionalFormatting>
  <conditionalFormatting sqref="G2:H101">
    <cfRule type="expression" dxfId="34" priority="3">
      <formula>$I2="X"</formula>
    </cfRule>
  </conditionalFormatting>
  <conditionalFormatting sqref="H2:H101">
    <cfRule type="expression" dxfId="33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2603-912E-4C34-ADBC-11D149C006F1}">
  <sheetPr codeName="Sheet15"/>
  <dimension ref="A1:K104"/>
  <sheetViews>
    <sheetView zoomScaleNormal="100" workbookViewId="0">
      <selection activeCell="K30" sqref="K30"/>
    </sheetView>
  </sheetViews>
  <sheetFormatPr defaultColWidth="9.16796875" defaultRowHeight="12.75" x14ac:dyDescent="0.15"/>
  <cols>
    <col min="1" max="1" width="24.67578125" bestFit="1" customWidth="1"/>
    <col min="2" max="4" width="4.71875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  <col min="10" max="10" width="16.31640625" bestFit="1" customWidth="1"/>
    <col min="11" max="11" width="21.171875" bestFit="1" customWidth="1"/>
  </cols>
  <sheetData>
    <row r="1" spans="1:11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1" ht="14.25" x14ac:dyDescent="0.15">
      <c r="A2" s="17" t="str">
        <f t="shared" ref="A2:A33" ca="1" si="0">IF(J2="","",_xlfn.XLOOKUP(J2,ClubNames,ClubNumbers,_xlfn.XLOOKUP(J2,RoundRobinRiderNames,RoundRobinRiderDecoratedNames,J2)))</f>
        <v>Alex Whitmore (Ratae)</v>
      </c>
      <c r="B2" s="17">
        <v>0</v>
      </c>
      <c r="C2" s="18">
        <v>22</v>
      </c>
      <c r="D2" s="18">
        <v>58</v>
      </c>
      <c r="E2" s="18" t="s">
        <v>170</v>
      </c>
      <c r="F2" s="18"/>
      <c r="G2" s="19" t="str">
        <f ca="1">IF($A2="","",IF($I2="X",A2,CONCATENATE(VLOOKUP(A2,Competitors!$A$2:$I$650,3, FALSE)," ",VLOOKUP(A2,Competitors!$A$2:$I$650,2,FALSE))))</f>
        <v>Alex Whitmore (Ratae)</v>
      </c>
      <c r="H2" s="26">
        <f>IF(LEFT($E2,1)="D",UPPER($E2),(B2*3600+C2*60+D2)/86400)</f>
        <v>1.5949074074074074E-2</v>
      </c>
      <c r="I2" t="str">
        <f ca="1">IF(OR(A2="",ISNUMBER(A2)),"","X")</f>
        <v>X</v>
      </c>
      <c r="J2" s="40" t="s">
        <v>139</v>
      </c>
      <c r="K2" s="23"/>
    </row>
    <row r="3" spans="1:11" ht="14.25" x14ac:dyDescent="0.15">
      <c r="A3" s="17" t="str">
        <f t="shared" ca="1" si="0"/>
        <v>Adam Wells (RFW)</v>
      </c>
      <c r="B3" s="17">
        <v>0</v>
      </c>
      <c r="C3" s="18">
        <v>23</v>
      </c>
      <c r="D3" s="18">
        <v>29</v>
      </c>
      <c r="E3" s="18"/>
      <c r="F3" s="18"/>
      <c r="G3" s="19" t="str">
        <f ca="1">IF($A3="","",IF($I3="X",A3,CONCATENATE(VLOOKUP(A3,Competitors!$A$2:$I$650,3, FALSE)," ",VLOOKUP(A3,Competitors!$A$2:$I$650,2,FALSE))))</f>
        <v>Adam Wells (RFW)</v>
      </c>
      <c r="H3" s="26">
        <f t="shared" ref="H3:H66" si="1">IF(LEFT($E3,1)="D",UPPER($E3),(B3*3600+C3*60+D3)/86400)</f>
        <v>1.6307870370370372E-2</v>
      </c>
      <c r="I3" t="str">
        <f t="shared" ref="I3:I66" ca="1" si="2">IF(OR(A3="",ISNUMBER(A3)),"","X")</f>
        <v>X</v>
      </c>
      <c r="J3" s="40" t="s">
        <v>150</v>
      </c>
      <c r="K3" s="23"/>
    </row>
    <row r="4" spans="1:11" ht="14.25" x14ac:dyDescent="0.15">
      <c r="A4" s="17">
        <f t="shared" ca="1" si="0"/>
        <v>747</v>
      </c>
      <c r="B4" s="17">
        <v>0</v>
      </c>
      <c r="C4" s="18">
        <v>23</v>
      </c>
      <c r="D4" s="18">
        <v>33</v>
      </c>
      <c r="E4" s="18"/>
      <c r="F4" s="18"/>
      <c r="G4" s="19" t="str">
        <f ca="1">IF($A4="","",IF($I4="X",A4,CONCATENATE(VLOOKUP(A4,Competitors!$A$2:$I$650,3, FALSE)," ",VLOOKUP(A4,Competitors!$A$2:$I$650,2,FALSE))))</f>
        <v>James Moore</v>
      </c>
      <c r="H4" s="26">
        <f t="shared" si="1"/>
        <v>1.6354166666666666E-2</v>
      </c>
      <c r="I4" t="str">
        <f t="shared" ca="1" si="2"/>
        <v/>
      </c>
      <c r="J4" s="40" t="s">
        <v>591</v>
      </c>
      <c r="K4" s="23"/>
    </row>
    <row r="5" spans="1:11" ht="14.25" x14ac:dyDescent="0.15">
      <c r="A5" s="17" t="str">
        <f t="shared" ca="1" si="0"/>
        <v>Phil Wilkinson (RFW)</v>
      </c>
      <c r="B5" s="17">
        <v>0</v>
      </c>
      <c r="C5" s="18">
        <v>23</v>
      </c>
      <c r="D5" s="18">
        <v>39</v>
      </c>
      <c r="E5" s="18"/>
      <c r="F5" s="18"/>
      <c r="G5" s="19" t="str">
        <f ca="1">IF($A5="","",IF($I5="X",A5,CONCATENATE(VLOOKUP(A5,Competitors!$A$2:$I$650,3, FALSE)," ",VLOOKUP(A5,Competitors!$A$2:$I$650,2,FALSE))))</f>
        <v>Phil Wilkinson (RFW)</v>
      </c>
      <c r="H5" s="26">
        <f t="shared" si="1"/>
        <v>1.6423611111111111E-2</v>
      </c>
      <c r="I5" t="str">
        <f t="shared" ca="1" si="2"/>
        <v>X</v>
      </c>
      <c r="J5" s="40" t="s">
        <v>157</v>
      </c>
      <c r="K5" s="23"/>
    </row>
    <row r="6" spans="1:11" ht="14.25" x14ac:dyDescent="0.15">
      <c r="A6" s="17">
        <f t="shared" ca="1" si="0"/>
        <v>1144</v>
      </c>
      <c r="B6" s="17">
        <v>0</v>
      </c>
      <c r="C6" s="18">
        <v>23</v>
      </c>
      <c r="D6" s="18">
        <v>56</v>
      </c>
      <c r="E6" s="18" t="s">
        <v>170</v>
      </c>
      <c r="F6" s="18"/>
      <c r="G6" s="19" t="str">
        <f ca="1">IF($A6="","",IF($I6="X",A6,CONCATENATE(VLOOKUP(A6,Competitors!$A$2:$I$650,3, FALSE)," ",VLOOKUP(A6,Competitors!$A$2:$I$650,2,FALSE))))</f>
        <v>Jamie Kershaw</v>
      </c>
      <c r="H6" s="26">
        <f t="shared" si="1"/>
        <v>1.6620370370370369E-2</v>
      </c>
      <c r="I6" t="str">
        <f t="shared" ca="1" si="2"/>
        <v/>
      </c>
      <c r="J6" s="40" t="s">
        <v>584</v>
      </c>
      <c r="K6" s="23"/>
    </row>
    <row r="7" spans="1:11" ht="14.25" x14ac:dyDescent="0.15">
      <c r="A7" s="17" t="str">
        <f t="shared" ca="1" si="0"/>
        <v>Chris Spray (Ratae)</v>
      </c>
      <c r="B7" s="17">
        <v>0</v>
      </c>
      <c r="C7" s="18">
        <v>25</v>
      </c>
      <c r="D7" s="18">
        <v>6</v>
      </c>
      <c r="E7" s="18"/>
      <c r="F7" s="18"/>
      <c r="G7" s="19" t="str">
        <f ca="1">IF($A7="","",IF($I7="X",A7,CONCATENATE(VLOOKUP(A7,Competitors!$A$2:$I$650,3, FALSE)," ",VLOOKUP(A7,Competitors!$A$2:$I$650,2,FALSE))))</f>
        <v>Chris Spray (Ratae)</v>
      </c>
      <c r="H7" s="26">
        <f t="shared" si="1"/>
        <v>1.7430555555555557E-2</v>
      </c>
      <c r="I7" t="str">
        <f t="shared" ca="1" si="2"/>
        <v>X</v>
      </c>
      <c r="J7" s="40" t="s">
        <v>142</v>
      </c>
      <c r="K7" s="23"/>
    </row>
    <row r="8" spans="1:11" ht="14.25" x14ac:dyDescent="0.15">
      <c r="A8" s="17">
        <f t="shared" ca="1" si="0"/>
        <v>1055</v>
      </c>
      <c r="B8" s="17">
        <v>0</v>
      </c>
      <c r="C8" s="18">
        <v>25</v>
      </c>
      <c r="D8" s="18">
        <v>19</v>
      </c>
      <c r="E8" s="18"/>
      <c r="F8" s="18"/>
      <c r="G8" s="19" t="str">
        <f ca="1">IF($A8="","",IF($I8="X",A8,CONCATENATE(VLOOKUP(A8,Competitors!$A$2:$I$650,3, FALSE)," ",VLOOKUP(A8,Competitors!$A$2:$I$650,2,FALSE))))</f>
        <v>Austin Smith</v>
      </c>
      <c r="H8" s="26">
        <f t="shared" si="1"/>
        <v>1.758101851851852E-2</v>
      </c>
      <c r="I8" t="str">
        <f t="shared" ca="1" si="2"/>
        <v/>
      </c>
      <c r="J8" s="40" t="s">
        <v>589</v>
      </c>
      <c r="K8" s="23"/>
    </row>
    <row r="9" spans="1:11" ht="14.25" x14ac:dyDescent="0.15">
      <c r="A9" s="17">
        <f t="shared" ca="1" si="0"/>
        <v>415</v>
      </c>
      <c r="B9" s="17">
        <v>0</v>
      </c>
      <c r="C9" s="18">
        <v>25</v>
      </c>
      <c r="D9" s="18">
        <v>21</v>
      </c>
      <c r="E9" s="18" t="s">
        <v>170</v>
      </c>
      <c r="F9" s="18"/>
      <c r="G9" s="19" t="str">
        <f ca="1">IF($A9="","",IF($I9="X",A9,CONCATENATE(VLOOKUP(A9,Competitors!$A$2:$I$650,3, FALSE)," ",VLOOKUP(A9,Competitors!$A$2:$I$650,2,FALSE))))</f>
        <v>Nik Kershaw</v>
      </c>
      <c r="H9" s="26">
        <f t="shared" si="1"/>
        <v>1.7604166666666667E-2</v>
      </c>
      <c r="I9" t="str">
        <f t="shared" ca="1" si="2"/>
        <v/>
      </c>
      <c r="J9" s="40" t="s">
        <v>594</v>
      </c>
      <c r="K9" s="23"/>
    </row>
    <row r="10" spans="1:11" ht="14.25" x14ac:dyDescent="0.15">
      <c r="A10" s="17" t="str">
        <f t="shared" ca="1" si="0"/>
        <v>Ed Watson (Ratae)</v>
      </c>
      <c r="B10" s="17">
        <v>0</v>
      </c>
      <c r="C10" s="18">
        <v>25</v>
      </c>
      <c r="D10" s="18">
        <v>30</v>
      </c>
      <c r="E10" s="18"/>
      <c r="F10" s="18"/>
      <c r="G10" s="19" t="str">
        <f ca="1">IF($A10="","",IF($I10="X",A10,CONCATENATE(VLOOKUP(A10,Competitors!$A$2:$I$650,3, FALSE)," ",VLOOKUP(A10,Competitors!$A$2:$I$650,2,FALSE))))</f>
        <v>Ed Watson (Ratae)</v>
      </c>
      <c r="H10" s="26">
        <f t="shared" si="1"/>
        <v>1.7708333333333333E-2</v>
      </c>
      <c r="I10" t="str">
        <f t="shared" ca="1" si="2"/>
        <v>X</v>
      </c>
      <c r="J10" s="40" t="s">
        <v>143</v>
      </c>
      <c r="K10" s="23"/>
    </row>
    <row r="11" spans="1:11" ht="14.25" x14ac:dyDescent="0.15">
      <c r="A11" s="17">
        <f t="shared" ca="1" si="0"/>
        <v>1192</v>
      </c>
      <c r="B11" s="17">
        <v>0</v>
      </c>
      <c r="C11" s="18">
        <v>25</v>
      </c>
      <c r="D11" s="18">
        <v>41</v>
      </c>
      <c r="E11" s="18"/>
      <c r="F11" s="18"/>
      <c r="G11" s="19" t="str">
        <f ca="1">IF($A11="","",IF($I11="X",A11,CONCATENATE(VLOOKUP(A11,Competitors!$A$2:$I$650,3, FALSE)," ",VLOOKUP(A11,Competitors!$A$2:$I$650,2,FALSE))))</f>
        <v>Dale Norris</v>
      </c>
      <c r="H11" s="26">
        <f t="shared" si="1"/>
        <v>1.7835648148148149E-2</v>
      </c>
      <c r="I11" t="str">
        <f t="shared" ca="1" si="2"/>
        <v/>
      </c>
      <c r="J11" s="40" t="s">
        <v>590</v>
      </c>
      <c r="K11" s="23"/>
    </row>
    <row r="12" spans="1:11" ht="14.25" x14ac:dyDescent="0.15">
      <c r="A12" s="17">
        <f t="shared" ca="1" si="0"/>
        <v>203</v>
      </c>
      <c r="B12" s="17">
        <v>0</v>
      </c>
      <c r="C12" s="18">
        <v>26</v>
      </c>
      <c r="D12" s="18">
        <v>0</v>
      </c>
      <c r="E12" s="18"/>
      <c r="F12" s="18"/>
      <c r="G12" s="19" t="str">
        <f ca="1">IF($A12="","",IF($I12="X",A12,CONCATENATE(VLOOKUP(A12,Competitors!$A$2:$I$650,3, FALSE)," ",VLOOKUP(A12,Competitors!$A$2:$I$650,2,FALSE))))</f>
        <v>Adrian Killworth</v>
      </c>
      <c r="H12" s="26">
        <f t="shared" si="1"/>
        <v>1.8055555555555554E-2</v>
      </c>
      <c r="I12" t="str">
        <f t="shared" ca="1" si="2"/>
        <v/>
      </c>
      <c r="J12" s="40" t="s">
        <v>603</v>
      </c>
      <c r="K12" s="23"/>
    </row>
    <row r="13" spans="1:11" ht="14.25" x14ac:dyDescent="0.15">
      <c r="A13" s="17">
        <f t="shared" ca="1" si="0"/>
        <v>1254</v>
      </c>
      <c r="B13" s="17">
        <v>0</v>
      </c>
      <c r="C13" s="18">
        <v>26</v>
      </c>
      <c r="D13" s="18">
        <v>4</v>
      </c>
      <c r="E13" s="18"/>
      <c r="F13" s="18"/>
      <c r="G13" s="19" t="str">
        <f ca="1">IF($A13="","",IF($I13="X",A13,CONCATENATE(VLOOKUP(A13,Competitors!$A$2:$I$650,3, FALSE)," ",VLOOKUP(A13,Competitors!$A$2:$I$650,2,FALSE))))</f>
        <v>Paul White</v>
      </c>
      <c r="H13" s="26">
        <f t="shared" si="1"/>
        <v>1.8101851851851852E-2</v>
      </c>
      <c r="I13" t="str">
        <f t="shared" ca="1" si="2"/>
        <v/>
      </c>
      <c r="J13" s="40" t="s">
        <v>624</v>
      </c>
      <c r="K13" s="23"/>
    </row>
    <row r="14" spans="1:11" ht="14.25" x14ac:dyDescent="0.15">
      <c r="A14" s="17">
        <f t="shared" ca="1" si="0"/>
        <v>1383</v>
      </c>
      <c r="B14" s="17">
        <v>0</v>
      </c>
      <c r="C14" s="18">
        <v>26</v>
      </c>
      <c r="D14" s="18">
        <v>9</v>
      </c>
      <c r="E14" s="18"/>
      <c r="F14" s="18"/>
      <c r="G14" s="19" t="str">
        <f ca="1">IF($A14="","",IF($I14="X",A14,CONCATENATE(VLOOKUP(A14,Competitors!$A$2:$I$650,3, FALSE)," ",VLOOKUP(A14,Competitors!$A$2:$I$650,2,FALSE))))</f>
        <v>Evan Collett</v>
      </c>
      <c r="H14" s="26">
        <f t="shared" si="1"/>
        <v>1.8159722222222223E-2</v>
      </c>
      <c r="I14" t="str">
        <f t="shared" ca="1" si="2"/>
        <v/>
      </c>
      <c r="J14" s="40" t="s">
        <v>645</v>
      </c>
      <c r="K14" s="23"/>
    </row>
    <row r="15" spans="1:11" ht="14.25" x14ac:dyDescent="0.15">
      <c r="A15" s="17" t="str">
        <f t="shared" ca="1" si="0"/>
        <v>Mark Newton (Ratae)</v>
      </c>
      <c r="B15" s="17">
        <v>0</v>
      </c>
      <c r="C15" s="18">
        <v>26</v>
      </c>
      <c r="D15" s="18">
        <v>11</v>
      </c>
      <c r="E15" s="18"/>
      <c r="F15" s="18"/>
      <c r="G15" s="19" t="str">
        <f ca="1">IF($A15="","",IF($I15="X",A15,CONCATENATE(VLOOKUP(A15,Competitors!$A$2:$I$650,3, FALSE)," ",VLOOKUP(A15,Competitors!$A$2:$I$650,2,FALSE))))</f>
        <v>Mark Newton (Ratae)</v>
      </c>
      <c r="H15" s="26">
        <f t="shared" si="1"/>
        <v>1.818287037037037E-2</v>
      </c>
      <c r="I15" t="str">
        <f t="shared" ca="1" si="2"/>
        <v>X</v>
      </c>
      <c r="J15" s="40" t="s">
        <v>145</v>
      </c>
      <c r="K15" s="23"/>
    </row>
    <row r="16" spans="1:11" ht="14.25" x14ac:dyDescent="0.15">
      <c r="A16" s="17" t="str">
        <f t="shared" ca="1" si="0"/>
        <v>Steve Pearce (Ratae)</v>
      </c>
      <c r="B16" s="17">
        <v>0</v>
      </c>
      <c r="C16" s="18">
        <v>26</v>
      </c>
      <c r="D16" s="18">
        <v>21</v>
      </c>
      <c r="E16" s="18" t="s">
        <v>170</v>
      </c>
      <c r="F16" s="18"/>
      <c r="G16" s="19" t="str">
        <f ca="1">IF($A16="","",IF($I16="X",A16,CONCATENATE(VLOOKUP(A16,Competitors!$A$2:$I$650,3, FALSE)," ",VLOOKUP(A16,Competitors!$A$2:$I$650,2,FALSE))))</f>
        <v>Steve Pearce (Ratae)</v>
      </c>
      <c r="H16" s="26">
        <f t="shared" si="1"/>
        <v>1.8298611111111113E-2</v>
      </c>
      <c r="I16" t="str">
        <f t="shared" ca="1" si="2"/>
        <v>X</v>
      </c>
      <c r="J16" s="40" t="s">
        <v>149</v>
      </c>
      <c r="K16" s="23"/>
    </row>
    <row r="17" spans="1:11" ht="14.25" x14ac:dyDescent="0.15">
      <c r="A17" s="17">
        <f t="shared" ca="1" si="0"/>
        <v>1112</v>
      </c>
      <c r="B17" s="17">
        <v>0</v>
      </c>
      <c r="C17" s="18">
        <v>26</v>
      </c>
      <c r="D17" s="18">
        <v>47</v>
      </c>
      <c r="E17" s="18"/>
      <c r="F17" s="18"/>
      <c r="G17" s="19" t="str">
        <f ca="1">IF($A17="","",IF($I17="X",A17,CONCATENATE(VLOOKUP(A17,Competitors!$A$2:$I$650,3, FALSE)," ",VLOOKUP(A17,Competitors!$A$2:$I$650,2,FALSE))))</f>
        <v>Gary Ashwell</v>
      </c>
      <c r="H17" s="26">
        <f t="shared" si="1"/>
        <v>1.8599537037037036E-2</v>
      </c>
      <c r="I17" t="str">
        <f t="shared" ca="1" si="2"/>
        <v/>
      </c>
      <c r="J17" s="40" t="s">
        <v>607</v>
      </c>
      <c r="K17" s="23"/>
    </row>
    <row r="18" spans="1:11" ht="14.25" x14ac:dyDescent="0.15">
      <c r="A18" s="17">
        <f t="shared" ca="1" si="0"/>
        <v>1109</v>
      </c>
      <c r="B18" s="17">
        <v>0</v>
      </c>
      <c r="C18" s="18">
        <v>26</v>
      </c>
      <c r="D18" s="18">
        <v>49</v>
      </c>
      <c r="E18" s="18"/>
      <c r="F18" s="18"/>
      <c r="G18" s="19" t="str">
        <f ca="1">IF($A18="","",IF($I18="X",A18,CONCATENATE(VLOOKUP(A18,Competitors!$A$2:$I$650,3, FALSE)," ",VLOOKUP(A18,Competitors!$A$2:$I$650,2,FALSE))))</f>
        <v>Stuart Haycox</v>
      </c>
      <c r="H18" s="26">
        <f t="shared" si="1"/>
        <v>1.8622685185185187E-2</v>
      </c>
      <c r="I18" t="str">
        <f t="shared" ca="1" si="2"/>
        <v/>
      </c>
      <c r="J18" s="40" t="s">
        <v>643</v>
      </c>
      <c r="K18" s="23"/>
    </row>
    <row r="19" spans="1:11" ht="14.25" x14ac:dyDescent="0.15">
      <c r="A19" s="17">
        <f t="shared" ca="1" si="0"/>
        <v>846</v>
      </c>
      <c r="B19" s="17">
        <v>0</v>
      </c>
      <c r="C19" s="18">
        <v>26</v>
      </c>
      <c r="D19" s="18">
        <v>53</v>
      </c>
      <c r="E19" s="18"/>
      <c r="F19" s="18"/>
      <c r="G19" s="19" t="str">
        <f ca="1">IF($A19="","",IF($I19="X",A19,CONCATENATE(VLOOKUP(A19,Competitors!$A$2:$I$650,3, FALSE)," ",VLOOKUP(A19,Competitors!$A$2:$I$650,2,FALSE))))</f>
        <v>Roger Kockelbergh</v>
      </c>
      <c r="H19" s="26">
        <f t="shared" si="1"/>
        <v>1.8668981481481481E-2</v>
      </c>
      <c r="I19" t="str">
        <f t="shared" ca="1" si="2"/>
        <v/>
      </c>
      <c r="J19" s="40" t="s">
        <v>601</v>
      </c>
      <c r="K19" s="23"/>
    </row>
    <row r="20" spans="1:11" ht="14.25" x14ac:dyDescent="0.15">
      <c r="A20" s="17">
        <f t="shared" ca="1" si="0"/>
        <v>1385</v>
      </c>
      <c r="B20" s="17">
        <v>0</v>
      </c>
      <c r="C20" s="18">
        <v>27</v>
      </c>
      <c r="D20" s="18">
        <v>5</v>
      </c>
      <c r="E20" s="18" t="s">
        <v>170</v>
      </c>
      <c r="F20" s="18"/>
      <c r="G20" s="19" t="str">
        <f ca="1">IF($A20="","",IF($I20="X",A20,CONCATENATE(VLOOKUP(A20,Competitors!$A$2:$I$650,3, FALSE)," ",VLOOKUP(A20,Competitors!$A$2:$I$650,2,FALSE))))</f>
        <v>Miles Marr</v>
      </c>
      <c r="H20" s="26">
        <f t="shared" si="1"/>
        <v>1.8807870370370371E-2</v>
      </c>
      <c r="I20" t="str">
        <f t="shared" ca="1" si="2"/>
        <v/>
      </c>
      <c r="J20" s="40" t="s">
        <v>213</v>
      </c>
      <c r="K20" s="23"/>
    </row>
    <row r="21" spans="1:11" ht="14.25" x14ac:dyDescent="0.15">
      <c r="A21" s="17">
        <f t="shared" ca="1" si="0"/>
        <v>1237</v>
      </c>
      <c r="B21" s="17">
        <v>0</v>
      </c>
      <c r="C21" s="18">
        <v>27</v>
      </c>
      <c r="D21" s="18">
        <v>6</v>
      </c>
      <c r="E21" s="18" t="s">
        <v>170</v>
      </c>
      <c r="F21" s="18"/>
      <c r="G21" s="19" t="str">
        <f ca="1">IF($A21="","",IF($I21="X",A21,CONCATENATE(VLOOKUP(A21,Competitors!$A$2:$I$650,3, FALSE)," ",VLOOKUP(A21,Competitors!$A$2:$I$650,2,FALSE))))</f>
        <v>John Abbott</v>
      </c>
      <c r="H21" s="26">
        <f t="shared" si="1"/>
        <v>1.8819444444444444E-2</v>
      </c>
      <c r="I21" t="str">
        <f t="shared" ca="1" si="2"/>
        <v/>
      </c>
      <c r="J21" s="40" t="s">
        <v>598</v>
      </c>
      <c r="K21" s="23"/>
    </row>
    <row r="22" spans="1:11" ht="14.25" x14ac:dyDescent="0.15">
      <c r="A22" s="17">
        <f t="shared" ca="1" si="0"/>
        <v>1107</v>
      </c>
      <c r="B22" s="17">
        <v>0</v>
      </c>
      <c r="C22" s="18">
        <v>27</v>
      </c>
      <c r="D22" s="18">
        <v>9</v>
      </c>
      <c r="E22" s="18" t="s">
        <v>170</v>
      </c>
      <c r="F22" s="18"/>
      <c r="G22" s="19" t="str">
        <f ca="1">IF($A22="","",IF($I22="X",A22,CONCATENATE(VLOOKUP(A22,Competitors!$A$2:$I$650,3, FALSE)," ",VLOOKUP(A22,Competitors!$A$2:$I$650,2,FALSE))))</f>
        <v>Milly Pinnock</v>
      </c>
      <c r="H22" s="26">
        <f t="shared" si="1"/>
        <v>1.8854166666666668E-2</v>
      </c>
      <c r="I22" t="str">
        <f t="shared" ca="1" si="2"/>
        <v/>
      </c>
      <c r="J22" s="40" t="s">
        <v>600</v>
      </c>
      <c r="K22" s="23"/>
    </row>
    <row r="23" spans="1:11" ht="14.25" x14ac:dyDescent="0.15">
      <c r="A23" s="17">
        <f t="shared" ca="1" si="0"/>
        <v>1326</v>
      </c>
      <c r="B23" s="17">
        <v>0</v>
      </c>
      <c r="C23" s="18">
        <v>27</v>
      </c>
      <c r="D23" s="18">
        <v>16</v>
      </c>
      <c r="E23" s="18" t="s">
        <v>170</v>
      </c>
      <c r="F23" s="18"/>
      <c r="G23" s="19" t="str">
        <f ca="1">IF($A23="","",IF($I23="X",A23,CONCATENATE(VLOOKUP(A23,Competitors!$A$2:$I$650,3, FALSE)," ",VLOOKUP(A23,Competitors!$A$2:$I$650,2,FALSE))))</f>
        <v>Laoise Bennis</v>
      </c>
      <c r="H23" s="26">
        <f t="shared" si="1"/>
        <v>1.8935185185185187E-2</v>
      </c>
      <c r="I23" t="str">
        <f t="shared" ca="1" si="2"/>
        <v/>
      </c>
      <c r="J23" s="40" t="s">
        <v>652</v>
      </c>
      <c r="K23" s="23"/>
    </row>
    <row r="24" spans="1:11" ht="14.25" x14ac:dyDescent="0.15">
      <c r="A24" s="17" t="str">
        <f t="shared" ca="1" si="0"/>
        <v>Marshall Briggs (Ratae)</v>
      </c>
      <c r="B24" s="17">
        <v>0</v>
      </c>
      <c r="C24" s="18">
        <v>27</v>
      </c>
      <c r="D24" s="18">
        <v>23</v>
      </c>
      <c r="E24" s="18"/>
      <c r="F24" s="18"/>
      <c r="G24" s="19" t="str">
        <f ca="1">IF($A24="","",IF($I24="X",A24,CONCATENATE(VLOOKUP(A24,Competitors!$A$2:$I$650,3, FALSE)," ",VLOOKUP(A24,Competitors!$A$2:$I$650,2,FALSE))))</f>
        <v>Marshall Briggs (Ratae)</v>
      </c>
      <c r="H24" s="26">
        <f t="shared" si="1"/>
        <v>1.9016203703703705E-2</v>
      </c>
      <c r="I24" t="str">
        <f t="shared" ca="1" si="2"/>
        <v>X</v>
      </c>
      <c r="J24" s="40" t="s">
        <v>146</v>
      </c>
      <c r="K24" s="23"/>
    </row>
    <row r="25" spans="1:11" ht="14.25" x14ac:dyDescent="0.15">
      <c r="A25" s="17">
        <f t="shared" ca="1" si="0"/>
        <v>1195</v>
      </c>
      <c r="B25" s="17">
        <v>0</v>
      </c>
      <c r="C25" s="18">
        <v>27</v>
      </c>
      <c r="D25" s="18">
        <v>51</v>
      </c>
      <c r="E25" s="18" t="s">
        <v>170</v>
      </c>
      <c r="F25" s="18"/>
      <c r="G25" s="19" t="str">
        <f ca="1">IF($A25="","",IF($I25="X",A25,CONCATENATE(VLOOKUP(A25,Competitors!$A$2:$I$650,3, FALSE)," ",VLOOKUP(A25,Competitors!$A$2:$I$650,2,FALSE))))</f>
        <v>Charlie Hardwicke</v>
      </c>
      <c r="H25" s="26">
        <f t="shared" si="1"/>
        <v>1.9340277777777779E-2</v>
      </c>
      <c r="I25" t="str">
        <f t="shared" ca="1" si="2"/>
        <v/>
      </c>
      <c r="J25" s="40" t="s">
        <v>613</v>
      </c>
      <c r="K25" s="23"/>
    </row>
    <row r="26" spans="1:11" ht="14.25" x14ac:dyDescent="0.15">
      <c r="A26" s="17">
        <f t="shared" ca="1" si="0"/>
        <v>616</v>
      </c>
      <c r="B26" s="17">
        <v>0</v>
      </c>
      <c r="C26" s="18">
        <v>28</v>
      </c>
      <c r="D26" s="18">
        <v>18</v>
      </c>
      <c r="E26" s="18"/>
      <c r="F26" s="18"/>
      <c r="G26" s="19" t="str">
        <f ca="1">IF($A26="","",IF($I26="X",A26,CONCATENATE(VLOOKUP(A26,Competitors!$A$2:$I$650,3, FALSE)," ",VLOOKUP(A26,Competitors!$A$2:$I$650,2,FALSE))))</f>
        <v>Simon Ward</v>
      </c>
      <c r="H26" s="26">
        <f t="shared" si="1"/>
        <v>1.9652777777777779E-2</v>
      </c>
      <c r="I26" t="str">
        <f t="shared" ca="1" si="2"/>
        <v/>
      </c>
      <c r="J26" s="40" t="s">
        <v>610</v>
      </c>
      <c r="K26" s="23"/>
    </row>
    <row r="27" spans="1:11" ht="14.25" x14ac:dyDescent="0.15">
      <c r="A27" s="17">
        <f t="shared" ca="1" si="0"/>
        <v>1386</v>
      </c>
      <c r="B27" s="17">
        <v>0</v>
      </c>
      <c r="C27" s="18">
        <v>28</v>
      </c>
      <c r="D27" s="18">
        <v>57</v>
      </c>
      <c r="E27" s="18" t="s">
        <v>170</v>
      </c>
      <c r="F27" s="18"/>
      <c r="G27" s="19" t="str">
        <f ca="1">IF($A27="","",IF($I27="X",A27,CONCATENATE(VLOOKUP(A27,Competitors!$A$2:$I$650,3, FALSE)," ",VLOOKUP(A27,Competitors!$A$2:$I$650,2,FALSE))))</f>
        <v>Mea Moore</v>
      </c>
      <c r="H27" s="26">
        <f t="shared" si="1"/>
        <v>2.0104166666666666E-2</v>
      </c>
      <c r="I27" t="str">
        <f t="shared" ca="1" si="2"/>
        <v/>
      </c>
      <c r="J27" s="40" t="s">
        <v>644</v>
      </c>
      <c r="K27" s="23"/>
    </row>
    <row r="28" spans="1:11" ht="14.25" x14ac:dyDescent="0.15">
      <c r="A28" s="17" t="str">
        <f t="shared" ca="1" si="0"/>
        <v>Lynne Scofield (RFW)</v>
      </c>
      <c r="B28" s="17">
        <v>0</v>
      </c>
      <c r="C28" s="18">
        <v>29</v>
      </c>
      <c r="D28" s="18">
        <v>25</v>
      </c>
      <c r="E28" s="18"/>
      <c r="F28" s="18"/>
      <c r="G28" s="19" t="str">
        <f ca="1">IF($A28="","",IF($I28="X",A28,CONCATENATE(VLOOKUP(A28,Competitors!$A$2:$I$650,3, FALSE)," ",VLOOKUP(A28,Competitors!$A$2:$I$650,2,FALSE))))</f>
        <v>Lynne Scofield (RFW)</v>
      </c>
      <c r="H28" s="26">
        <f t="shared" si="1"/>
        <v>2.042824074074074E-2</v>
      </c>
      <c r="I28" t="str">
        <f t="shared" ca="1" si="2"/>
        <v>X</v>
      </c>
      <c r="J28" s="40" t="s">
        <v>155</v>
      </c>
      <c r="K28" s="23"/>
    </row>
    <row r="29" spans="1:11" ht="14.25" x14ac:dyDescent="0.15">
      <c r="A29" s="17" t="str">
        <f t="shared" ca="1" si="0"/>
        <v>Brian Lincoln (Ratae)</v>
      </c>
      <c r="B29" s="17">
        <v>0</v>
      </c>
      <c r="C29" s="18">
        <v>30</v>
      </c>
      <c r="D29" s="18">
        <v>24</v>
      </c>
      <c r="E29" s="18" t="s">
        <v>170</v>
      </c>
      <c r="F29" s="18"/>
      <c r="G29" s="19" t="str">
        <f ca="1">IF($A29="","",IF($I29="X",A29,CONCATENATE(VLOOKUP(A29,Competitors!$A$2:$I$650,3, FALSE)," ",VLOOKUP(A29,Competitors!$A$2:$I$650,2,FALSE))))</f>
        <v>Brian Lincoln (Ratae)</v>
      </c>
      <c r="H29" s="26">
        <f t="shared" si="1"/>
        <v>2.1111111111111112E-2</v>
      </c>
      <c r="I29" t="str">
        <f t="shared" ca="1" si="2"/>
        <v>X</v>
      </c>
      <c r="J29" s="40" t="s">
        <v>140</v>
      </c>
      <c r="K29" s="23"/>
    </row>
    <row r="30" spans="1:11" ht="14.25" x14ac:dyDescent="0.15">
      <c r="A30" s="17" t="str">
        <f t="shared" ca="1" si="0"/>
        <v>Matt Finch (LFCC)</v>
      </c>
      <c r="B30" s="17">
        <v>0</v>
      </c>
      <c r="C30" s="18">
        <v>30</v>
      </c>
      <c r="D30" s="18">
        <v>33</v>
      </c>
      <c r="E30" s="18" t="s">
        <v>170</v>
      </c>
      <c r="F30" s="18"/>
      <c r="G30" s="19" t="str">
        <f ca="1">IF($A30="","",IF($I30="X",A30,CONCATENATE(VLOOKUP(A30,Competitors!$A$2:$I$650,3, FALSE)," ",VLOOKUP(A30,Competitors!$A$2:$I$650,2,FALSE))))</f>
        <v>Matt Finch (LFCC)</v>
      </c>
      <c r="H30" s="26">
        <f t="shared" si="1"/>
        <v>2.1215277777777777E-2</v>
      </c>
      <c r="I30" t="str">
        <f t="shared" ca="1" si="2"/>
        <v>X</v>
      </c>
      <c r="J30" s="40" t="s">
        <v>127</v>
      </c>
      <c r="K30" s="23"/>
    </row>
    <row r="31" spans="1:11" ht="14.25" x14ac:dyDescent="0.15">
      <c r="A31" s="17" t="str">
        <f t="shared" ca="1" si="0"/>
        <v>Paul Eden (Ratae)</v>
      </c>
      <c r="B31" s="17">
        <v>0</v>
      </c>
      <c r="C31" s="18">
        <v>30</v>
      </c>
      <c r="D31" s="18">
        <v>38</v>
      </c>
      <c r="E31" s="18"/>
      <c r="F31" s="18"/>
      <c r="G31" s="19" t="str">
        <f ca="1">IF($A31="","",IF($I31="X",A31,CONCATENATE(VLOOKUP(A31,Competitors!$A$2:$I$650,3, FALSE)," ",VLOOKUP(A31,Competitors!$A$2:$I$650,2,FALSE))))</f>
        <v>Paul Eden (Ratae)</v>
      </c>
      <c r="H31" s="26">
        <f t="shared" si="1"/>
        <v>2.1273148148148149E-2</v>
      </c>
      <c r="I31" t="str">
        <f t="shared" ca="1" si="2"/>
        <v>X</v>
      </c>
      <c r="J31" s="40" t="s">
        <v>147</v>
      </c>
      <c r="K31" s="23"/>
    </row>
    <row r="32" spans="1:11" ht="14.25" x14ac:dyDescent="0.15">
      <c r="A32" s="17">
        <f t="shared" ca="1" si="0"/>
        <v>7</v>
      </c>
      <c r="B32" s="17">
        <v>0</v>
      </c>
      <c r="C32" s="18">
        <v>32</v>
      </c>
      <c r="D32" s="18">
        <v>48</v>
      </c>
      <c r="E32" s="18" t="s">
        <v>170</v>
      </c>
      <c r="F32" s="18"/>
      <c r="G32" s="19" t="str">
        <f ca="1">IF($A32="","",IF($I32="X",A32,CONCATENATE(VLOOKUP(A32,Competitors!$A$2:$I$650,3, FALSE)," ",VLOOKUP(A32,Competitors!$A$2:$I$650,2,FALSE))))</f>
        <v>Vic Barnett</v>
      </c>
      <c r="H32" s="26">
        <f t="shared" si="1"/>
        <v>2.2777777777777779E-2</v>
      </c>
      <c r="I32" t="str">
        <f t="shared" ca="1" si="2"/>
        <v/>
      </c>
      <c r="J32" s="40" t="s">
        <v>625</v>
      </c>
      <c r="K32" s="23"/>
    </row>
    <row r="33" spans="1:11" ht="14.25" x14ac:dyDescent="0.15">
      <c r="A33" s="17">
        <f t="shared" ca="1" si="0"/>
        <v>935</v>
      </c>
      <c r="B33" s="17">
        <v>0</v>
      </c>
      <c r="C33" s="18">
        <v>32</v>
      </c>
      <c r="D33" s="18">
        <v>57</v>
      </c>
      <c r="E33" s="18"/>
      <c r="F33" s="18"/>
      <c r="G33" s="19" t="str">
        <f ca="1">IF($A33="","",IF($I33="X",A33,CONCATENATE(VLOOKUP(A33,Competitors!$A$2:$I$650,3, FALSE)," ",VLOOKUP(A33,Competitors!$A$2:$I$650,2,FALSE))))</f>
        <v>Sophie Ward</v>
      </c>
      <c r="H33" s="26">
        <f t="shared" si="1"/>
        <v>2.2881944444444444E-2</v>
      </c>
      <c r="I33" t="str">
        <f t="shared" ca="1" si="2"/>
        <v/>
      </c>
      <c r="J33" s="40" t="s">
        <v>651</v>
      </c>
      <c r="K33" s="23"/>
    </row>
    <row r="34" spans="1:11" ht="14.25" x14ac:dyDescent="0.15">
      <c r="A34" s="17"/>
      <c r="B34" s="17"/>
      <c r="C34" s="18"/>
      <c r="D34" s="18"/>
      <c r="E34" s="18"/>
      <c r="F34" s="18"/>
      <c r="G34" s="19" t="str">
        <f>IF($A34="","",IF($I34="X",A34,CONCATENATE(VLOOKUP(A34,Competitors!$A$2:$I$650,3, FALSE)," ",VLOOKUP(A34,Competitors!$A$2:$I$650,2,FALSE))))</f>
        <v/>
      </c>
      <c r="H34" s="26">
        <f t="shared" si="1"/>
        <v>0</v>
      </c>
      <c r="I34" t="str">
        <f t="shared" si="2"/>
        <v/>
      </c>
      <c r="J34" s="40" t="s">
        <v>139</v>
      </c>
      <c r="K34" s="23"/>
    </row>
    <row r="35" spans="1:11" ht="14.25" x14ac:dyDescent="0.15">
      <c r="A35" s="17"/>
      <c r="B35" s="17"/>
      <c r="C35" s="18"/>
      <c r="D35" s="18"/>
      <c r="E35" s="18"/>
      <c r="F35" s="18"/>
      <c r="G35" s="19" t="str">
        <f>IF($A35="","",IF($I35="X",A35,CONCATENATE(VLOOKUP(A35,Competitors!$A$2:$I$650,3, FALSE)," ",VLOOKUP(A35,Competitors!$A$2:$I$650,2,FALSE))))</f>
        <v/>
      </c>
      <c r="H35" s="26">
        <f t="shared" si="1"/>
        <v>0</v>
      </c>
      <c r="I35" t="str">
        <f t="shared" si="2"/>
        <v/>
      </c>
      <c r="J35" s="40" t="s">
        <v>0</v>
      </c>
      <c r="K35" s="23"/>
    </row>
    <row r="36" spans="1:11" ht="14.25" x14ac:dyDescent="0.15">
      <c r="A36" s="17" t="str">
        <f t="shared" ref="A36:A65" ca="1" si="3">IF(J36="","",_xlfn.XLOOKUP(J36,ClubNames,ClubNumbers,_xlfn.XLOOKUP(J36,RoundRobinRiderNames,RoundRobinRiderDecoratedNames,J36)))</f>
        <v/>
      </c>
      <c r="B36" s="17"/>
      <c r="C36" s="18"/>
      <c r="D36" s="18"/>
      <c r="E36" s="18"/>
      <c r="F36" s="18"/>
      <c r="G36" s="19" t="str">
        <f ca="1">IF($A36="","",IF($I36="X",A36,CONCATENATE(VLOOKUP(A36,Competitors!$A$2:$I$650,3, FALSE)," ",VLOOKUP(A36,Competitors!$A$2:$I$650,2,FALSE))))</f>
        <v/>
      </c>
      <c r="H36" s="26">
        <f t="shared" si="1"/>
        <v>0</v>
      </c>
      <c r="I36" t="str">
        <f t="shared" ca="1" si="2"/>
        <v/>
      </c>
      <c r="J36" s="40" t="s">
        <v>173</v>
      </c>
      <c r="K36" s="23"/>
    </row>
    <row r="37" spans="1:11" ht="14.25" x14ac:dyDescent="0.15">
      <c r="A37" s="17" t="str">
        <f t="shared" ca="1" si="3"/>
        <v/>
      </c>
      <c r="B37" s="17"/>
      <c r="C37" s="18"/>
      <c r="D37" s="18"/>
      <c r="E37" s="18"/>
      <c r="F37" s="18"/>
      <c r="G37" s="19" t="str">
        <f ca="1">IF($A37="","",IF($I37="X",A37,CONCATENATE(VLOOKUP(A37,Competitors!$A$2:$I$650,3, FALSE)," ",VLOOKUP(A37,Competitors!$A$2:$I$650,2,FALSE))))</f>
        <v/>
      </c>
      <c r="H37" s="26">
        <f t="shared" si="1"/>
        <v>0</v>
      </c>
      <c r="I37" t="str">
        <f t="shared" ca="1" si="2"/>
        <v/>
      </c>
      <c r="J37" s="40" t="s">
        <v>173</v>
      </c>
      <c r="K37" s="23"/>
    </row>
    <row r="38" spans="1:11" ht="14.25" x14ac:dyDescent="0.15">
      <c r="A38" s="17" t="str">
        <f t="shared" ca="1" si="3"/>
        <v/>
      </c>
      <c r="B38" s="17"/>
      <c r="C38" s="18"/>
      <c r="D38" s="18"/>
      <c r="E38" s="18"/>
      <c r="F38" s="18"/>
      <c r="G38" s="19" t="str">
        <f ca="1">IF($A38="","",IF($I38="X",A38,CONCATENATE(VLOOKUP(A38,Competitors!$A$2:$I$650,3, FALSE)," ",VLOOKUP(A38,Competitors!$A$2:$I$650,2,FALSE))))</f>
        <v/>
      </c>
      <c r="H38" s="26">
        <f t="shared" si="1"/>
        <v>0</v>
      </c>
      <c r="I38" t="str">
        <f t="shared" ca="1" si="2"/>
        <v/>
      </c>
      <c r="J38" s="40" t="s">
        <v>173</v>
      </c>
      <c r="K38" s="23"/>
    </row>
    <row r="39" spans="1:11" ht="14.25" x14ac:dyDescent="0.15">
      <c r="A39" s="17" t="str">
        <f t="shared" ca="1" si="3"/>
        <v/>
      </c>
      <c r="B39" s="17"/>
      <c r="C39" s="18"/>
      <c r="D39" s="18"/>
      <c r="E39" s="18"/>
      <c r="F39" s="18"/>
      <c r="G39" s="19" t="str">
        <f ca="1">IF($A39="","",IF($I39="X",A39,CONCATENATE(VLOOKUP(A39,Competitors!$A$2:$I$650,3, FALSE)," ",VLOOKUP(A39,Competitors!$A$2:$I$650,2,FALSE))))</f>
        <v/>
      </c>
      <c r="H39" s="26">
        <f t="shared" si="1"/>
        <v>0</v>
      </c>
      <c r="I39" t="str">
        <f t="shared" ca="1" si="2"/>
        <v/>
      </c>
      <c r="J39" s="40" t="s">
        <v>173</v>
      </c>
      <c r="K39" s="23"/>
    </row>
    <row r="40" spans="1:11" ht="14.25" x14ac:dyDescent="0.15">
      <c r="A40" s="17" t="str">
        <f t="shared" ca="1" si="3"/>
        <v/>
      </c>
      <c r="B40" s="17"/>
      <c r="C40" s="18"/>
      <c r="D40" s="18"/>
      <c r="E40" s="18"/>
      <c r="F40" s="18"/>
      <c r="G40" s="19" t="str">
        <f ca="1">IF($A40="","",IF($I40="X",A40,CONCATENATE(VLOOKUP(A40,Competitors!$A$2:$I$650,3, FALSE)," ",VLOOKUP(A40,Competitors!$A$2:$I$650,2,FALSE))))</f>
        <v/>
      </c>
      <c r="H40" s="26">
        <f t="shared" si="1"/>
        <v>0</v>
      </c>
      <c r="I40" t="str">
        <f t="shared" ca="1" si="2"/>
        <v/>
      </c>
      <c r="J40" s="40" t="s">
        <v>173</v>
      </c>
      <c r="K40" s="23"/>
    </row>
    <row r="41" spans="1:11" ht="14.25" x14ac:dyDescent="0.15">
      <c r="A41" s="17" t="str">
        <f t="shared" ca="1" si="3"/>
        <v/>
      </c>
      <c r="B41" s="17"/>
      <c r="C41" s="18"/>
      <c r="D41" s="18"/>
      <c r="E41" s="18"/>
      <c r="F41" s="18"/>
      <c r="G41" s="19" t="str">
        <f ca="1">IF($A41="","",IF($I41="X",A41,CONCATENATE(VLOOKUP(A41,Competitors!$A$2:$I$650,3, FALSE)," ",VLOOKUP(A41,Competitors!$A$2:$I$650,2,FALSE))))</f>
        <v/>
      </c>
      <c r="H41" s="26">
        <f t="shared" si="1"/>
        <v>0</v>
      </c>
      <c r="I41" t="str">
        <f t="shared" ca="1" si="2"/>
        <v/>
      </c>
      <c r="J41" s="40" t="s">
        <v>173</v>
      </c>
      <c r="K41" s="23"/>
    </row>
    <row r="42" spans="1:11" ht="14.25" x14ac:dyDescent="0.15">
      <c r="A42" s="17" t="str">
        <f t="shared" ca="1" si="3"/>
        <v/>
      </c>
      <c r="B42" s="17"/>
      <c r="C42" s="18"/>
      <c r="D42" s="18"/>
      <c r="E42" s="18"/>
      <c r="F42" s="18"/>
      <c r="G42" s="19" t="str">
        <f ca="1">IF($A42="","",IF($I42="X",A42,CONCATENATE(VLOOKUP(A42,Competitors!$A$2:$I$650,3, FALSE)," ",VLOOKUP(A42,Competitors!$A$2:$I$650,2,FALSE))))</f>
        <v/>
      </c>
      <c r="H42" s="26">
        <f t="shared" si="1"/>
        <v>0</v>
      </c>
      <c r="I42" t="str">
        <f t="shared" ca="1" si="2"/>
        <v/>
      </c>
      <c r="J42" s="40" t="s">
        <v>173</v>
      </c>
      <c r="K42" s="23"/>
    </row>
    <row r="43" spans="1:11" ht="14.25" x14ac:dyDescent="0.15">
      <c r="A43" s="17" t="str">
        <f t="shared" ca="1" si="3"/>
        <v/>
      </c>
      <c r="B43" s="17"/>
      <c r="C43" s="18"/>
      <c r="D43" s="18"/>
      <c r="E43" s="18"/>
      <c r="F43" s="18"/>
      <c r="G43" s="19" t="str">
        <f ca="1">IF($A43="","",IF($I43="X",A43,CONCATENATE(VLOOKUP(A43,Competitors!$A$2:$I$650,3, FALSE)," ",VLOOKUP(A43,Competitors!$A$2:$I$650,2,FALSE))))</f>
        <v/>
      </c>
      <c r="H43" s="26">
        <f t="shared" si="1"/>
        <v>0</v>
      </c>
      <c r="I43" t="str">
        <f t="shared" ca="1" si="2"/>
        <v/>
      </c>
      <c r="J43" s="40" t="s">
        <v>173</v>
      </c>
      <c r="K43" s="23"/>
    </row>
    <row r="44" spans="1:11" ht="14.25" x14ac:dyDescent="0.15">
      <c r="A44" s="17" t="str">
        <f t="shared" ca="1" si="3"/>
        <v/>
      </c>
      <c r="B44" s="17"/>
      <c r="C44" s="18"/>
      <c r="D44" s="18"/>
      <c r="E44" s="18"/>
      <c r="F44" s="18"/>
      <c r="G44" s="19" t="str">
        <f ca="1">IF($A44="","",IF($I44="X",A44,CONCATENATE(VLOOKUP(A44,Competitors!$A$2:$I$650,3, FALSE)," ",VLOOKUP(A44,Competitors!$A$2:$I$650,2,FALSE))))</f>
        <v/>
      </c>
      <c r="H44" s="26">
        <f t="shared" si="1"/>
        <v>0</v>
      </c>
      <c r="I44" t="str">
        <f t="shared" ca="1" si="2"/>
        <v/>
      </c>
      <c r="J44" s="40" t="s">
        <v>173</v>
      </c>
      <c r="K44" s="23"/>
    </row>
    <row r="45" spans="1:11" ht="14.25" x14ac:dyDescent="0.15">
      <c r="A45" s="17" t="str">
        <f t="shared" ca="1" si="3"/>
        <v/>
      </c>
      <c r="B45" s="17"/>
      <c r="C45" s="18"/>
      <c r="D45" s="18"/>
      <c r="E45" s="18"/>
      <c r="F45" s="18"/>
      <c r="G45" s="19" t="str">
        <f ca="1">IF($A45="","",IF($I45="X",A45,CONCATENATE(VLOOKUP(A45,Competitors!$A$2:$I$650,3, FALSE)," ",VLOOKUP(A45,Competitors!$A$2:$I$650,2,FALSE))))</f>
        <v/>
      </c>
      <c r="H45" s="26">
        <f t="shared" si="1"/>
        <v>0</v>
      </c>
      <c r="I45" t="str">
        <f t="shared" ca="1" si="2"/>
        <v/>
      </c>
      <c r="J45" s="40" t="s">
        <v>173</v>
      </c>
      <c r="K45" s="23"/>
    </row>
    <row r="46" spans="1:11" ht="14.25" x14ac:dyDescent="0.15">
      <c r="A46" s="17" t="str">
        <f t="shared" ca="1" si="3"/>
        <v/>
      </c>
      <c r="B46" s="17"/>
      <c r="C46" s="18"/>
      <c r="D46" s="18"/>
      <c r="E46" s="18"/>
      <c r="F46" s="18"/>
      <c r="G46" s="19" t="str">
        <f ca="1">IF($A46="","",IF($I46="X",A46,CONCATENATE(VLOOKUP(A46,Competitors!$A$2:$I$650,3, FALSE)," ",VLOOKUP(A46,Competitors!$A$2:$I$650,2,FALSE))))</f>
        <v/>
      </c>
      <c r="H46" s="26">
        <f t="shared" si="1"/>
        <v>0</v>
      </c>
      <c r="I46" t="str">
        <f t="shared" ca="1" si="2"/>
        <v/>
      </c>
      <c r="J46" s="40" t="s">
        <v>173</v>
      </c>
      <c r="K46" s="23"/>
    </row>
    <row r="47" spans="1:11" ht="14.25" x14ac:dyDescent="0.15">
      <c r="A47" s="17" t="str">
        <f t="shared" ca="1" si="3"/>
        <v/>
      </c>
      <c r="B47" s="17"/>
      <c r="C47" s="18"/>
      <c r="D47" s="18"/>
      <c r="E47" s="18"/>
      <c r="F47" s="18"/>
      <c r="G47" s="19" t="str">
        <f ca="1">IF($A47="","",IF($I47="X",A47,CONCATENATE(VLOOKUP(A47,Competitors!$A$2:$I$650,3, FALSE)," ",VLOOKUP(A47,Competitors!$A$2:$I$650,2,FALSE))))</f>
        <v/>
      </c>
      <c r="H47" s="26">
        <f t="shared" si="1"/>
        <v>0</v>
      </c>
      <c r="I47" t="str">
        <f t="shared" ca="1" si="2"/>
        <v/>
      </c>
      <c r="J47" s="40" t="s">
        <v>173</v>
      </c>
      <c r="K47" s="23"/>
    </row>
    <row r="48" spans="1:11" ht="14.25" x14ac:dyDescent="0.15">
      <c r="A48" s="17" t="str">
        <f t="shared" ca="1" si="3"/>
        <v/>
      </c>
      <c r="B48" s="17"/>
      <c r="C48" s="18"/>
      <c r="D48" s="18"/>
      <c r="E48" s="18"/>
      <c r="F48" s="18"/>
      <c r="G48" s="19" t="str">
        <f ca="1">IF($A48="","",IF($I48="X",A48,CONCATENATE(VLOOKUP(A48,Competitors!$A$2:$I$650,3, FALSE)," ",VLOOKUP(A48,Competitors!$A$2:$I$650,2,FALSE))))</f>
        <v/>
      </c>
      <c r="H48" s="26">
        <f t="shared" si="1"/>
        <v>0</v>
      </c>
      <c r="I48" t="str">
        <f t="shared" ca="1" si="2"/>
        <v/>
      </c>
      <c r="J48" s="40" t="s">
        <v>173</v>
      </c>
      <c r="K48" s="23"/>
    </row>
    <row r="49" spans="1:11" ht="14.25" x14ac:dyDescent="0.15">
      <c r="A49" s="17" t="str">
        <f t="shared" ca="1" si="3"/>
        <v/>
      </c>
      <c r="B49" s="17"/>
      <c r="C49" s="18"/>
      <c r="D49" s="18"/>
      <c r="E49" s="18"/>
      <c r="F49" s="18"/>
      <c r="G49" s="19" t="str">
        <f ca="1">IF($A49="","",IF($I49="X",A49,CONCATENATE(VLOOKUP(A49,Competitors!$A$2:$I$650,3, FALSE)," ",VLOOKUP(A49,Competitors!$A$2:$I$650,2,FALSE))))</f>
        <v/>
      </c>
      <c r="H49" s="26">
        <f t="shared" si="1"/>
        <v>0</v>
      </c>
      <c r="I49" t="str">
        <f t="shared" ca="1" si="2"/>
        <v/>
      </c>
      <c r="J49" s="40" t="s">
        <v>173</v>
      </c>
      <c r="K49" s="23"/>
    </row>
    <row r="50" spans="1:11" ht="14.25" x14ac:dyDescent="0.15">
      <c r="A50" s="17" t="str">
        <f t="shared" ca="1" si="3"/>
        <v/>
      </c>
      <c r="B50" s="17"/>
      <c r="C50" s="18"/>
      <c r="D50" s="18"/>
      <c r="E50" s="18"/>
      <c r="F50" s="18"/>
      <c r="G50" s="19" t="str">
        <f ca="1">IF($A50="","",IF($I50="X",A50,CONCATENATE(VLOOKUP(A50,Competitors!$A$2:$I$650,3, FALSE)," ",VLOOKUP(A50,Competitors!$A$2:$I$650,2,FALSE))))</f>
        <v/>
      </c>
      <c r="H50" s="26">
        <f t="shared" si="1"/>
        <v>0</v>
      </c>
      <c r="I50" t="str">
        <f t="shared" ca="1" si="2"/>
        <v/>
      </c>
      <c r="J50" s="40" t="s">
        <v>173</v>
      </c>
      <c r="K50" s="23"/>
    </row>
    <row r="51" spans="1:11" ht="14.25" x14ac:dyDescent="0.15">
      <c r="A51" s="17" t="str">
        <f t="shared" ca="1" si="3"/>
        <v/>
      </c>
      <c r="B51" s="17"/>
      <c r="C51" s="18"/>
      <c r="D51" s="18"/>
      <c r="E51" s="18"/>
      <c r="F51" s="18"/>
      <c r="G51" s="19" t="str">
        <f ca="1">IF($A51="","",IF($I51="X",A51,CONCATENATE(VLOOKUP(A51,Competitors!$A$2:$I$650,3, FALSE)," ",VLOOKUP(A51,Competitors!$A$2:$I$650,2,FALSE))))</f>
        <v/>
      </c>
      <c r="H51" s="26">
        <f t="shared" si="1"/>
        <v>0</v>
      </c>
      <c r="I51" t="str">
        <f t="shared" ca="1" si="2"/>
        <v/>
      </c>
      <c r="J51" s="40" t="s">
        <v>173</v>
      </c>
      <c r="K51" s="23"/>
    </row>
    <row r="52" spans="1:11" ht="14.25" x14ac:dyDescent="0.15">
      <c r="A52" s="17" t="str">
        <f t="shared" ca="1" si="3"/>
        <v/>
      </c>
      <c r="B52" s="17"/>
      <c r="C52" s="18"/>
      <c r="D52" s="18"/>
      <c r="E52" s="18"/>
      <c r="F52" s="18"/>
      <c r="G52" s="19" t="str">
        <f ca="1">IF($A52="","",IF($I52="X",A52,CONCATENATE(VLOOKUP(A52,Competitors!$A$2:$I$650,3, FALSE)," ",VLOOKUP(A52,Competitors!$A$2:$I$650,2,FALSE))))</f>
        <v/>
      </c>
      <c r="H52" s="26">
        <f t="shared" si="1"/>
        <v>0</v>
      </c>
      <c r="I52" t="str">
        <f t="shared" ca="1" si="2"/>
        <v/>
      </c>
      <c r="J52" s="40" t="s">
        <v>173</v>
      </c>
      <c r="K52" s="23"/>
    </row>
    <row r="53" spans="1:11" ht="14.25" x14ac:dyDescent="0.15">
      <c r="A53" s="17" t="str">
        <f t="shared" ca="1" si="3"/>
        <v/>
      </c>
      <c r="B53" s="17"/>
      <c r="C53" s="18"/>
      <c r="D53" s="18"/>
      <c r="E53" s="18"/>
      <c r="F53" s="18"/>
      <c r="G53" s="19" t="str">
        <f ca="1">IF($A53="","",IF($I53="X",A53,CONCATENATE(VLOOKUP(A53,Competitors!$A$2:$I$650,3, FALSE)," ",VLOOKUP(A53,Competitors!$A$2:$I$650,2,FALSE))))</f>
        <v/>
      </c>
      <c r="H53" s="26">
        <f t="shared" si="1"/>
        <v>0</v>
      </c>
      <c r="I53" t="str">
        <f t="shared" ca="1" si="2"/>
        <v/>
      </c>
      <c r="J53" s="40" t="s">
        <v>173</v>
      </c>
      <c r="K53" s="23"/>
    </row>
    <row r="54" spans="1:11" ht="14.25" x14ac:dyDescent="0.15">
      <c r="A54" s="17" t="str">
        <f t="shared" ca="1" si="3"/>
        <v/>
      </c>
      <c r="B54" s="17"/>
      <c r="C54" s="18"/>
      <c r="D54" s="18"/>
      <c r="E54" s="18"/>
      <c r="F54" s="18"/>
      <c r="G54" s="19" t="str">
        <f ca="1">IF($A54="","",IF($I54="X",A54,CONCATENATE(VLOOKUP(A54,Competitors!$A$2:$I$650,3, FALSE)," ",VLOOKUP(A54,Competitors!$A$2:$I$650,2,FALSE))))</f>
        <v/>
      </c>
      <c r="H54" s="26">
        <f t="shared" si="1"/>
        <v>0</v>
      </c>
      <c r="I54" t="str">
        <f t="shared" ca="1" si="2"/>
        <v/>
      </c>
      <c r="J54" s="40" t="s">
        <v>173</v>
      </c>
      <c r="K54" s="23"/>
    </row>
    <row r="55" spans="1:11" ht="14.25" x14ac:dyDescent="0.15">
      <c r="A55" s="17" t="str">
        <f t="shared" ca="1" si="3"/>
        <v/>
      </c>
      <c r="B55" s="17"/>
      <c r="C55" s="18"/>
      <c r="D55" s="18"/>
      <c r="E55" s="18"/>
      <c r="F55" s="18"/>
      <c r="G55" s="19" t="str">
        <f ca="1">IF($A55="","",IF($I55="X",A55,CONCATENATE(VLOOKUP(A55,Competitors!$A$2:$I$650,3, FALSE)," ",VLOOKUP(A55,Competitors!$A$2:$I$650,2,FALSE))))</f>
        <v/>
      </c>
      <c r="H55" s="26">
        <f t="shared" si="1"/>
        <v>0</v>
      </c>
      <c r="I55" t="str">
        <f t="shared" ca="1" si="2"/>
        <v/>
      </c>
      <c r="J55" s="40" t="s">
        <v>173</v>
      </c>
      <c r="K55" s="23"/>
    </row>
    <row r="56" spans="1:11" ht="14.25" x14ac:dyDescent="0.15">
      <c r="A56" s="17" t="str">
        <f t="shared" ca="1" si="3"/>
        <v/>
      </c>
      <c r="B56" s="17"/>
      <c r="C56" s="18"/>
      <c r="D56" s="18"/>
      <c r="E56" s="18"/>
      <c r="F56" s="18"/>
      <c r="G56" s="19" t="str">
        <f ca="1">IF($A56="","",IF($I56="X",A56,CONCATENATE(VLOOKUP(A56,Competitors!$A$2:$I$650,3, FALSE)," ",VLOOKUP(A56,Competitors!$A$2:$I$650,2,FALSE))))</f>
        <v/>
      </c>
      <c r="H56" s="26">
        <f t="shared" si="1"/>
        <v>0</v>
      </c>
      <c r="I56" t="str">
        <f t="shared" ca="1" si="2"/>
        <v/>
      </c>
      <c r="J56" s="40" t="s">
        <v>173</v>
      </c>
      <c r="K56" s="23"/>
    </row>
    <row r="57" spans="1:11" ht="14.25" x14ac:dyDescent="0.15">
      <c r="A57" s="17" t="str">
        <f t="shared" ca="1" si="3"/>
        <v/>
      </c>
      <c r="B57" s="17"/>
      <c r="C57" s="18"/>
      <c r="D57" s="18"/>
      <c r="E57" s="18"/>
      <c r="F57" s="18"/>
      <c r="G57" s="19" t="str">
        <f ca="1">IF($A57="","",IF($I57="X",A57,CONCATENATE(VLOOKUP(A57,Competitors!$A$2:$I$650,3, FALSE)," ",VLOOKUP(A57,Competitors!$A$2:$I$650,2,FALSE))))</f>
        <v/>
      </c>
      <c r="H57" s="26">
        <f t="shared" si="1"/>
        <v>0</v>
      </c>
      <c r="I57" t="str">
        <f t="shared" ca="1" si="2"/>
        <v/>
      </c>
      <c r="J57" s="40" t="s">
        <v>173</v>
      </c>
      <c r="K57" s="23"/>
    </row>
    <row r="58" spans="1:11" ht="14.25" x14ac:dyDescent="0.15">
      <c r="A58" s="17" t="str">
        <f t="shared" ca="1" si="3"/>
        <v/>
      </c>
      <c r="B58" s="17"/>
      <c r="C58" s="18"/>
      <c r="D58" s="18"/>
      <c r="E58" s="18"/>
      <c r="F58" s="18"/>
      <c r="G58" s="19" t="str">
        <f ca="1">IF($A58="","",IF($I58="X",A58,CONCATENATE(VLOOKUP(A58,Competitors!$A$2:$I$650,3, FALSE)," ",VLOOKUP(A58,Competitors!$A$2:$I$650,2,FALSE))))</f>
        <v/>
      </c>
      <c r="H58" s="26">
        <f t="shared" si="1"/>
        <v>0</v>
      </c>
      <c r="I58" t="str">
        <f t="shared" ca="1" si="2"/>
        <v/>
      </c>
      <c r="J58" s="40" t="s">
        <v>173</v>
      </c>
      <c r="K58" s="23"/>
    </row>
    <row r="59" spans="1:11" ht="14.25" x14ac:dyDescent="0.15">
      <c r="A59" s="17" t="str">
        <f t="shared" ca="1" si="3"/>
        <v/>
      </c>
      <c r="B59" s="17"/>
      <c r="C59" s="18"/>
      <c r="D59" s="18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6">
        <f t="shared" si="1"/>
        <v>0</v>
      </c>
      <c r="I59" t="str">
        <f t="shared" ca="1" si="2"/>
        <v/>
      </c>
      <c r="J59" s="40" t="s">
        <v>173</v>
      </c>
      <c r="K59" s="23"/>
    </row>
    <row r="60" spans="1:11" ht="14.25" x14ac:dyDescent="0.15">
      <c r="A60" s="17" t="str">
        <f t="shared" ca="1" si="3"/>
        <v/>
      </c>
      <c r="B60" s="17"/>
      <c r="C60" s="18"/>
      <c r="D60" s="18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6">
        <f t="shared" si="1"/>
        <v>0</v>
      </c>
      <c r="I60" t="str">
        <f t="shared" ca="1" si="2"/>
        <v/>
      </c>
      <c r="J60" s="40" t="s">
        <v>173</v>
      </c>
      <c r="K60" s="23"/>
    </row>
    <row r="61" spans="1:11" ht="14.25" x14ac:dyDescent="0.15">
      <c r="A61" s="17" t="str">
        <f t="shared" ca="1" si="3"/>
        <v/>
      </c>
      <c r="B61" s="17"/>
      <c r="C61" s="18"/>
      <c r="D61" s="18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6">
        <f t="shared" si="1"/>
        <v>0</v>
      </c>
      <c r="I61" t="str">
        <f t="shared" ca="1" si="2"/>
        <v/>
      </c>
      <c r="J61" s="40" t="s">
        <v>173</v>
      </c>
      <c r="K61" s="23"/>
    </row>
    <row r="62" spans="1:11" ht="14.25" x14ac:dyDescent="0.15">
      <c r="A62" s="17" t="str">
        <f t="shared" ca="1" si="3"/>
        <v/>
      </c>
      <c r="B62" s="17"/>
      <c r="C62" s="18"/>
      <c r="D62" s="18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6">
        <f t="shared" si="1"/>
        <v>0</v>
      </c>
      <c r="I62" t="str">
        <f t="shared" ca="1" si="2"/>
        <v/>
      </c>
      <c r="J62" s="40" t="s">
        <v>173</v>
      </c>
      <c r="K62" s="23"/>
    </row>
    <row r="63" spans="1:11" ht="14.25" x14ac:dyDescent="0.15">
      <c r="A63" s="17" t="str">
        <f t="shared" ca="1" si="3"/>
        <v/>
      </c>
      <c r="B63" s="17"/>
      <c r="C63" s="18"/>
      <c r="D63" s="18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6">
        <f t="shared" si="1"/>
        <v>0</v>
      </c>
      <c r="I63" t="str">
        <f t="shared" ca="1" si="2"/>
        <v/>
      </c>
      <c r="J63" s="40" t="s">
        <v>173</v>
      </c>
      <c r="K63" s="23"/>
    </row>
    <row r="64" spans="1:11" ht="14.25" x14ac:dyDescent="0.15">
      <c r="A64" s="17" t="str">
        <f t="shared" ca="1" si="3"/>
        <v/>
      </c>
      <c r="B64" s="17"/>
      <c r="C64" s="18"/>
      <c r="D64" s="18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6">
        <f t="shared" si="1"/>
        <v>0</v>
      </c>
      <c r="I64" t="str">
        <f t="shared" ca="1" si="2"/>
        <v/>
      </c>
      <c r="J64" s="40" t="s">
        <v>173</v>
      </c>
      <c r="K64" s="23"/>
    </row>
    <row r="65" spans="1:11" ht="14.25" x14ac:dyDescent="0.15">
      <c r="A65" s="17" t="str">
        <f t="shared" ca="1" si="3"/>
        <v/>
      </c>
      <c r="B65" s="17"/>
      <c r="C65" s="18"/>
      <c r="D65" s="18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6">
        <f t="shared" si="1"/>
        <v>0</v>
      </c>
      <c r="I65" t="str">
        <f t="shared" ca="1" si="2"/>
        <v/>
      </c>
      <c r="J65" s="40" t="s">
        <v>173</v>
      </c>
      <c r="K65" s="23"/>
    </row>
    <row r="66" spans="1:11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18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6">
        <f t="shared" si="1"/>
        <v>0</v>
      </c>
      <c r="I66" t="str">
        <f t="shared" ca="1" si="2"/>
        <v/>
      </c>
      <c r="J66" s="40" t="s">
        <v>173</v>
      </c>
      <c r="K66" s="23"/>
    </row>
    <row r="67" spans="1:11" ht="14.25" x14ac:dyDescent="0.15">
      <c r="A67" s="17" t="str">
        <f t="shared" ca="1" si="4"/>
        <v/>
      </c>
      <c r="B67" s="17"/>
      <c r="C67" s="18"/>
      <c r="D67" s="18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6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  <c r="K67" s="23"/>
    </row>
    <row r="68" spans="1:11" ht="14.25" x14ac:dyDescent="0.15">
      <c r="A68" s="17" t="str">
        <f t="shared" ca="1" si="4"/>
        <v/>
      </c>
      <c r="B68" s="17"/>
      <c r="C68" s="18"/>
      <c r="D68" s="18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6">
        <f t="shared" si="5"/>
        <v>0</v>
      </c>
      <c r="I68" t="str">
        <f t="shared" ca="1" si="6"/>
        <v/>
      </c>
      <c r="J68" s="40" t="s">
        <v>173</v>
      </c>
      <c r="K68" s="23"/>
    </row>
    <row r="69" spans="1:11" ht="14.25" x14ac:dyDescent="0.15">
      <c r="A69" s="17" t="str">
        <f t="shared" ca="1" si="4"/>
        <v/>
      </c>
      <c r="B69" s="17"/>
      <c r="C69" s="18"/>
      <c r="D69" s="18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6">
        <f t="shared" si="5"/>
        <v>0</v>
      </c>
      <c r="I69" t="str">
        <f t="shared" ca="1" si="6"/>
        <v/>
      </c>
      <c r="J69" s="40" t="s">
        <v>173</v>
      </c>
      <c r="K69" s="23"/>
    </row>
    <row r="70" spans="1:11" ht="14.25" x14ac:dyDescent="0.15">
      <c r="A70" s="17" t="str">
        <f t="shared" ca="1" si="4"/>
        <v/>
      </c>
      <c r="B70" s="17"/>
      <c r="C70" s="18"/>
      <c r="D70" s="18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6">
        <f t="shared" si="5"/>
        <v>0</v>
      </c>
      <c r="I70" t="str">
        <f t="shared" ca="1" si="6"/>
        <v/>
      </c>
      <c r="J70" s="40" t="s">
        <v>173</v>
      </c>
      <c r="K70" s="23"/>
    </row>
    <row r="71" spans="1:11" ht="14.25" x14ac:dyDescent="0.15">
      <c r="A71" s="17" t="str">
        <f t="shared" ca="1" si="4"/>
        <v/>
      </c>
      <c r="B71" s="17"/>
      <c r="C71" s="18"/>
      <c r="D71" s="18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6">
        <f t="shared" si="5"/>
        <v>0</v>
      </c>
      <c r="I71" t="str">
        <f t="shared" ca="1" si="6"/>
        <v/>
      </c>
      <c r="J71" s="40" t="s">
        <v>173</v>
      </c>
      <c r="K71" s="23"/>
    </row>
    <row r="72" spans="1:11" ht="14.25" x14ac:dyDescent="0.15">
      <c r="A72" s="17" t="str">
        <f t="shared" ca="1" si="4"/>
        <v/>
      </c>
      <c r="B72" s="17"/>
      <c r="C72" s="18"/>
      <c r="D72" s="18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6">
        <f t="shared" si="5"/>
        <v>0</v>
      </c>
      <c r="I72" t="str">
        <f t="shared" ca="1" si="6"/>
        <v/>
      </c>
      <c r="J72" s="40" t="s">
        <v>173</v>
      </c>
      <c r="K72" s="23"/>
    </row>
    <row r="73" spans="1:11" ht="14.25" x14ac:dyDescent="0.15">
      <c r="A73" s="17" t="str">
        <f t="shared" ca="1" si="4"/>
        <v/>
      </c>
      <c r="B73" s="17"/>
      <c r="C73" s="18"/>
      <c r="D73" s="18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6">
        <f t="shared" si="5"/>
        <v>0</v>
      </c>
      <c r="I73" t="str">
        <f t="shared" ca="1" si="6"/>
        <v/>
      </c>
      <c r="J73" s="40" t="s">
        <v>173</v>
      </c>
      <c r="K73" s="23"/>
    </row>
    <row r="74" spans="1:11" ht="14.25" x14ac:dyDescent="0.15">
      <c r="A74" s="17" t="str">
        <f t="shared" ca="1" si="4"/>
        <v/>
      </c>
      <c r="B74" s="17"/>
      <c r="C74" s="18"/>
      <c r="D74" s="18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6">
        <f t="shared" si="5"/>
        <v>0</v>
      </c>
      <c r="I74" t="str">
        <f t="shared" ca="1" si="6"/>
        <v/>
      </c>
      <c r="J74" s="40" t="s">
        <v>173</v>
      </c>
      <c r="K74" s="23"/>
    </row>
    <row r="75" spans="1:11" ht="14.25" x14ac:dyDescent="0.15">
      <c r="A75" s="17" t="str">
        <f t="shared" ca="1" si="4"/>
        <v/>
      </c>
      <c r="B75" s="17"/>
      <c r="C75" s="18"/>
      <c r="D75" s="18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6">
        <f t="shared" si="5"/>
        <v>0</v>
      </c>
      <c r="I75" t="str">
        <f t="shared" ca="1" si="6"/>
        <v/>
      </c>
      <c r="J75" s="40" t="s">
        <v>173</v>
      </c>
      <c r="K75" s="23"/>
    </row>
    <row r="76" spans="1:11" ht="14.25" x14ac:dyDescent="0.15">
      <c r="A76" s="17" t="str">
        <f t="shared" ca="1" si="4"/>
        <v/>
      </c>
      <c r="B76" s="17"/>
      <c r="C76" s="18"/>
      <c r="D76" s="18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6">
        <f t="shared" si="5"/>
        <v>0</v>
      </c>
      <c r="I76" t="str">
        <f t="shared" ca="1" si="6"/>
        <v/>
      </c>
      <c r="J76" s="40" t="s">
        <v>173</v>
      </c>
      <c r="K76" s="23"/>
    </row>
    <row r="77" spans="1:11" ht="14.25" x14ac:dyDescent="0.15">
      <c r="A77" s="17" t="str">
        <f t="shared" ca="1" si="4"/>
        <v/>
      </c>
      <c r="B77" s="17"/>
      <c r="C77" s="18"/>
      <c r="D77" s="18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6">
        <f t="shared" si="5"/>
        <v>0</v>
      </c>
      <c r="I77" t="str">
        <f t="shared" ca="1" si="6"/>
        <v/>
      </c>
      <c r="J77" s="40" t="s">
        <v>173</v>
      </c>
      <c r="K77" s="23"/>
    </row>
    <row r="78" spans="1:11" ht="14.25" x14ac:dyDescent="0.15">
      <c r="A78" s="17" t="str">
        <f t="shared" ca="1" si="4"/>
        <v/>
      </c>
      <c r="B78" s="17"/>
      <c r="C78" s="18"/>
      <c r="D78" s="18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6">
        <f t="shared" si="5"/>
        <v>0</v>
      </c>
      <c r="I78" t="str">
        <f t="shared" ca="1" si="6"/>
        <v/>
      </c>
      <c r="J78" s="40" t="s">
        <v>173</v>
      </c>
      <c r="K78" s="23"/>
    </row>
    <row r="79" spans="1:11" ht="14.25" x14ac:dyDescent="0.15">
      <c r="A79" s="17" t="str">
        <f t="shared" ca="1" si="4"/>
        <v/>
      </c>
      <c r="B79" s="17"/>
      <c r="C79" s="18"/>
      <c r="D79" s="18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6">
        <f t="shared" si="5"/>
        <v>0</v>
      </c>
      <c r="I79" t="str">
        <f t="shared" ca="1" si="6"/>
        <v/>
      </c>
      <c r="J79" s="40" t="s">
        <v>173</v>
      </c>
      <c r="K79" s="23"/>
    </row>
    <row r="80" spans="1:11" ht="14.25" x14ac:dyDescent="0.15">
      <c r="A80" s="17" t="str">
        <f t="shared" ca="1" si="4"/>
        <v/>
      </c>
      <c r="B80" s="17"/>
      <c r="C80" s="18"/>
      <c r="D80" s="18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6">
        <f t="shared" si="5"/>
        <v>0</v>
      </c>
      <c r="I80" t="str">
        <f t="shared" ca="1" si="6"/>
        <v/>
      </c>
      <c r="J80" s="40" t="s">
        <v>173</v>
      </c>
      <c r="K80" s="23"/>
    </row>
    <row r="81" spans="1:11" ht="14.25" x14ac:dyDescent="0.15">
      <c r="A81" s="17" t="str">
        <f t="shared" ca="1" si="4"/>
        <v/>
      </c>
      <c r="B81" s="17"/>
      <c r="C81" s="18"/>
      <c r="D81" s="18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6">
        <f t="shared" si="5"/>
        <v>0</v>
      </c>
      <c r="I81" t="str">
        <f t="shared" ca="1" si="6"/>
        <v/>
      </c>
      <c r="J81" s="40" t="s">
        <v>173</v>
      </c>
      <c r="K81" s="23"/>
    </row>
    <row r="82" spans="1:11" ht="14.25" x14ac:dyDescent="0.15">
      <c r="A82" s="17" t="str">
        <f t="shared" ca="1" si="4"/>
        <v/>
      </c>
      <c r="B82" s="17"/>
      <c r="C82" s="18"/>
      <c r="D82" s="18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6">
        <f t="shared" si="5"/>
        <v>0</v>
      </c>
      <c r="I82" t="str">
        <f t="shared" ca="1" si="6"/>
        <v/>
      </c>
      <c r="J82" s="40" t="s">
        <v>173</v>
      </c>
      <c r="K82" s="23"/>
    </row>
    <row r="83" spans="1:11" ht="14.25" x14ac:dyDescent="0.15">
      <c r="A83" s="17" t="str">
        <f t="shared" ca="1" si="4"/>
        <v/>
      </c>
      <c r="B83" s="17"/>
      <c r="C83" s="18"/>
      <c r="D83" s="18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6">
        <f t="shared" si="5"/>
        <v>0</v>
      </c>
      <c r="I83" t="str">
        <f t="shared" ca="1" si="6"/>
        <v/>
      </c>
      <c r="J83" s="40" t="s">
        <v>173</v>
      </c>
      <c r="K83" s="23"/>
    </row>
    <row r="84" spans="1:11" ht="14.25" x14ac:dyDescent="0.15">
      <c r="A84" s="17" t="str">
        <f t="shared" ca="1" si="4"/>
        <v/>
      </c>
      <c r="B84" s="17"/>
      <c r="C84" s="18"/>
      <c r="D84" s="18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6">
        <f t="shared" si="5"/>
        <v>0</v>
      </c>
      <c r="I84" t="str">
        <f t="shared" ca="1" si="6"/>
        <v/>
      </c>
      <c r="J84" s="40" t="s">
        <v>173</v>
      </c>
      <c r="K84" s="23"/>
    </row>
    <row r="85" spans="1:11" ht="14.25" x14ac:dyDescent="0.15">
      <c r="A85" s="17" t="str">
        <f t="shared" ca="1" si="4"/>
        <v/>
      </c>
      <c r="B85" s="17"/>
      <c r="C85" s="18"/>
      <c r="D85" s="18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6">
        <f t="shared" si="5"/>
        <v>0</v>
      </c>
      <c r="I85" t="str">
        <f t="shared" ca="1" si="6"/>
        <v/>
      </c>
      <c r="J85" s="40" t="s">
        <v>173</v>
      </c>
      <c r="K85" s="23"/>
    </row>
    <row r="86" spans="1:11" ht="14.25" x14ac:dyDescent="0.15">
      <c r="A86" s="17" t="str">
        <f t="shared" ca="1" si="4"/>
        <v/>
      </c>
      <c r="B86" s="17"/>
      <c r="C86" s="18"/>
      <c r="D86" s="18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6">
        <f t="shared" si="5"/>
        <v>0</v>
      </c>
      <c r="I86" t="str">
        <f t="shared" ca="1" si="6"/>
        <v/>
      </c>
      <c r="J86" s="40" t="s">
        <v>173</v>
      </c>
      <c r="K86" s="23"/>
    </row>
    <row r="87" spans="1:11" ht="14.25" x14ac:dyDescent="0.15">
      <c r="A87" s="17" t="str">
        <f t="shared" ca="1" si="4"/>
        <v/>
      </c>
      <c r="B87" s="17"/>
      <c r="C87" s="18"/>
      <c r="D87" s="18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6">
        <f t="shared" si="5"/>
        <v>0</v>
      </c>
      <c r="I87" t="str">
        <f t="shared" ca="1" si="6"/>
        <v/>
      </c>
      <c r="J87" s="40" t="s">
        <v>173</v>
      </c>
      <c r="K87" s="23"/>
    </row>
    <row r="88" spans="1:11" ht="14.25" x14ac:dyDescent="0.15">
      <c r="A88" s="17" t="str">
        <f t="shared" ca="1" si="4"/>
        <v/>
      </c>
      <c r="B88" s="17"/>
      <c r="C88" s="18"/>
      <c r="D88" s="18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6">
        <f t="shared" si="5"/>
        <v>0</v>
      </c>
      <c r="I88" t="str">
        <f t="shared" ca="1" si="6"/>
        <v/>
      </c>
      <c r="J88" s="40" t="s">
        <v>173</v>
      </c>
      <c r="K88" s="23"/>
    </row>
    <row r="89" spans="1:11" ht="14.25" x14ac:dyDescent="0.15">
      <c r="A89" s="17" t="str">
        <f t="shared" ca="1" si="4"/>
        <v/>
      </c>
      <c r="B89" s="17"/>
      <c r="C89" s="18"/>
      <c r="D89" s="18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6">
        <f t="shared" si="5"/>
        <v>0</v>
      </c>
      <c r="I89" t="str">
        <f t="shared" ca="1" si="6"/>
        <v/>
      </c>
      <c r="J89" s="40" t="s">
        <v>173</v>
      </c>
      <c r="K89" s="23"/>
    </row>
    <row r="90" spans="1:11" ht="14.25" x14ac:dyDescent="0.15">
      <c r="A90" s="17" t="str">
        <f t="shared" ca="1" si="4"/>
        <v/>
      </c>
      <c r="B90" s="17"/>
      <c r="C90" s="18"/>
      <c r="D90" s="18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6">
        <f t="shared" si="5"/>
        <v>0</v>
      </c>
      <c r="I90" t="str">
        <f t="shared" ca="1" si="6"/>
        <v/>
      </c>
      <c r="J90" s="40" t="s">
        <v>173</v>
      </c>
      <c r="K90" s="23"/>
    </row>
    <row r="91" spans="1:11" ht="14.25" x14ac:dyDescent="0.15">
      <c r="A91" s="17" t="str">
        <f t="shared" ca="1" si="4"/>
        <v/>
      </c>
      <c r="B91" s="17"/>
      <c r="C91" s="18"/>
      <c r="D91" s="18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6">
        <f t="shared" si="5"/>
        <v>0</v>
      </c>
      <c r="I91" t="str">
        <f t="shared" ca="1" si="6"/>
        <v/>
      </c>
      <c r="J91" s="40" t="s">
        <v>173</v>
      </c>
      <c r="K91" s="23"/>
    </row>
    <row r="92" spans="1:11" ht="14.25" x14ac:dyDescent="0.15">
      <c r="A92" s="17" t="str">
        <f t="shared" ca="1" si="4"/>
        <v/>
      </c>
      <c r="B92" s="17"/>
      <c r="C92" s="18"/>
      <c r="D92" s="18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6">
        <f t="shared" si="5"/>
        <v>0</v>
      </c>
      <c r="I92" t="str">
        <f t="shared" ca="1" si="6"/>
        <v/>
      </c>
      <c r="J92" s="40" t="s">
        <v>173</v>
      </c>
      <c r="K92" s="23"/>
    </row>
    <row r="93" spans="1:11" ht="14.25" x14ac:dyDescent="0.15">
      <c r="A93" s="17" t="str">
        <f t="shared" ca="1" si="4"/>
        <v/>
      </c>
      <c r="B93" s="17"/>
      <c r="C93" s="18"/>
      <c r="D93" s="18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6">
        <f t="shared" si="5"/>
        <v>0</v>
      </c>
      <c r="I93" t="str">
        <f t="shared" ca="1" si="6"/>
        <v/>
      </c>
      <c r="J93" s="40" t="s">
        <v>173</v>
      </c>
      <c r="K93" s="23"/>
    </row>
    <row r="94" spans="1:11" ht="14.25" x14ac:dyDescent="0.15">
      <c r="A94" s="17" t="str">
        <f t="shared" ca="1" si="4"/>
        <v/>
      </c>
      <c r="B94" s="17"/>
      <c r="C94" s="18"/>
      <c r="D94" s="18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6">
        <f t="shared" si="5"/>
        <v>0</v>
      </c>
      <c r="I94" t="str">
        <f t="shared" ca="1" si="6"/>
        <v/>
      </c>
      <c r="J94" s="40" t="s">
        <v>173</v>
      </c>
      <c r="K94" s="23"/>
    </row>
    <row r="95" spans="1:11" ht="14.25" x14ac:dyDescent="0.15">
      <c r="A95" s="17" t="str">
        <f t="shared" ca="1" si="4"/>
        <v/>
      </c>
      <c r="B95" s="17"/>
      <c r="C95" s="18"/>
      <c r="D95" s="18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6">
        <f t="shared" si="5"/>
        <v>0</v>
      </c>
      <c r="I95" t="str">
        <f t="shared" ca="1" si="6"/>
        <v/>
      </c>
      <c r="J95" s="40" t="s">
        <v>173</v>
      </c>
      <c r="K95" s="23"/>
    </row>
    <row r="96" spans="1:11" ht="14.25" x14ac:dyDescent="0.15">
      <c r="A96" s="17" t="str">
        <f t="shared" ca="1" si="4"/>
        <v/>
      </c>
      <c r="B96" s="17"/>
      <c r="C96" s="18"/>
      <c r="D96" s="18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6">
        <f t="shared" si="5"/>
        <v>0</v>
      </c>
      <c r="I96" t="str">
        <f t="shared" ca="1" si="6"/>
        <v/>
      </c>
      <c r="J96" s="40" t="s">
        <v>173</v>
      </c>
      <c r="K96" s="23"/>
    </row>
    <row r="97" spans="1:11" ht="14.25" x14ac:dyDescent="0.15">
      <c r="A97" s="17" t="str">
        <f t="shared" ca="1" si="4"/>
        <v/>
      </c>
      <c r="B97" s="17"/>
      <c r="C97" s="18"/>
      <c r="D97" s="18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6">
        <f t="shared" si="5"/>
        <v>0</v>
      </c>
      <c r="I97" t="str">
        <f t="shared" ca="1" si="6"/>
        <v/>
      </c>
      <c r="J97" s="40" t="s">
        <v>173</v>
      </c>
      <c r="K97" s="23"/>
    </row>
    <row r="98" spans="1:11" ht="14.25" x14ac:dyDescent="0.15">
      <c r="A98" s="17" t="str">
        <f t="shared" ca="1" si="4"/>
        <v/>
      </c>
      <c r="B98" s="17"/>
      <c r="C98" s="18"/>
      <c r="D98" s="18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6">
        <f t="shared" si="5"/>
        <v>0</v>
      </c>
      <c r="I98" t="str">
        <f t="shared" ca="1" si="6"/>
        <v/>
      </c>
      <c r="J98" s="40" t="s">
        <v>173</v>
      </c>
      <c r="K98" s="23"/>
    </row>
    <row r="99" spans="1:11" ht="14.25" x14ac:dyDescent="0.15">
      <c r="A99" s="17" t="str">
        <f t="shared" ca="1" si="4"/>
        <v/>
      </c>
      <c r="B99" s="17"/>
      <c r="C99" s="18"/>
      <c r="D99" s="18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6">
        <f t="shared" si="5"/>
        <v>0</v>
      </c>
      <c r="I99" t="str">
        <f t="shared" ca="1" si="6"/>
        <v/>
      </c>
      <c r="J99" s="40" t="s">
        <v>173</v>
      </c>
      <c r="K99" s="23"/>
    </row>
    <row r="100" spans="1:11" ht="14.25" x14ac:dyDescent="0.15">
      <c r="A100" s="17" t="str">
        <f t="shared" ca="1" si="4"/>
        <v/>
      </c>
      <c r="B100" s="17"/>
      <c r="C100" s="18"/>
      <c r="D100" s="18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6">
        <f t="shared" si="5"/>
        <v>0</v>
      </c>
      <c r="I100" t="str">
        <f t="shared" ca="1" si="6"/>
        <v/>
      </c>
      <c r="J100" s="40" t="s">
        <v>173</v>
      </c>
      <c r="K100" s="23"/>
    </row>
    <row r="101" spans="1:11" ht="14.25" x14ac:dyDescent="0.15">
      <c r="A101" s="17" t="str">
        <f t="shared" ca="1" si="4"/>
        <v/>
      </c>
      <c r="B101" s="17"/>
      <c r="C101" s="18"/>
      <c r="D101" s="18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6">
        <f t="shared" si="5"/>
        <v>0</v>
      </c>
      <c r="I101" t="str">
        <f t="shared" ca="1" si="6"/>
        <v/>
      </c>
      <c r="J101" s="40" t="s">
        <v>173</v>
      </c>
      <c r="K101" s="23"/>
    </row>
    <row r="102" spans="1:11" s="21" customFormat="1" x14ac:dyDescent="0.15">
      <c r="H102" s="22"/>
      <c r="J102"/>
    </row>
    <row r="103" spans="1:11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1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32" priority="1">
      <formula>TEXT($B$104,"@")="Y"</formula>
    </cfRule>
  </conditionalFormatting>
  <conditionalFormatting sqref="G2:H101">
    <cfRule type="expression" dxfId="31" priority="3">
      <formula>$I2="X"</formula>
    </cfRule>
  </conditionalFormatting>
  <conditionalFormatting sqref="H2:H101">
    <cfRule type="expression" dxfId="30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D76E-800F-4161-BE50-2E49D585E110}">
  <sheetPr codeName="Sheet16"/>
  <dimension ref="A1:J104"/>
  <sheetViews>
    <sheetView zoomScaleNormal="100" workbookViewId="0">
      <selection activeCell="A2" sqref="A2"/>
    </sheetView>
  </sheetViews>
  <sheetFormatPr defaultColWidth="9.16796875" defaultRowHeight="12.75" x14ac:dyDescent="0.15"/>
  <cols>
    <col min="1" max="1" width="28.31640625" bestFit="1" customWidth="1"/>
    <col min="2" max="4" width="4.71875" customWidth="1"/>
    <col min="5" max="6" width="11.0546875" customWidth="1"/>
    <col min="7" max="7" width="29.39453125" bestFit="1" customWidth="1"/>
    <col min="8" max="8" width="14.6953125" style="23" bestFit="1" customWidth="1"/>
    <col min="9" max="9" width="19.28125" bestFit="1" customWidth="1"/>
    <col min="10" max="10" width="18.2031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 t="str">
        <f t="shared" ref="A2:A33" ca="1" si="0">IF(J2="","",_xlfn.XLOOKUP(J2,ClubNames,ClubNumbers,_xlfn.XLOOKUP(J2,RoundRobinRiderNames,RoundRobinRiderDecoratedNames,J2)))</f>
        <v>Alex Whitmore (Ratae)</v>
      </c>
      <c r="B2" s="17">
        <v>0</v>
      </c>
      <c r="C2" s="18">
        <v>23</v>
      </c>
      <c r="D2" s="18">
        <v>29</v>
      </c>
      <c r="E2" s="18" t="s">
        <v>170</v>
      </c>
      <c r="F2" s="18"/>
      <c r="G2" s="19" t="str">
        <f ca="1">IF($A2="","",IF($I2="X",A2,CONCATENATE(VLOOKUP(A2,Competitors!$A$2:$I$650,3, FALSE)," ",VLOOKUP(A2,Competitors!$A$2:$I$650,2,FALSE))))</f>
        <v>Alex Whitmore (Ratae)</v>
      </c>
      <c r="H2" s="20">
        <f>IF(LEFT($E2,1)="D",UPPER($E2),(B2*3600+C2*60+D2)/86400)</f>
        <v>1.6307870370370372E-2</v>
      </c>
      <c r="I2" t="str">
        <f ca="1">IF(OR(A2="",ISNUMBER(A2)),"","X")</f>
        <v>X</v>
      </c>
      <c r="J2" s="40" t="s">
        <v>139</v>
      </c>
    </row>
    <row r="3" spans="1:10" ht="14.25" x14ac:dyDescent="0.15">
      <c r="A3" s="17" t="str">
        <f t="shared" ca="1" si="0"/>
        <v>Chris Fowler (RFW)</v>
      </c>
      <c r="B3" s="17">
        <v>0</v>
      </c>
      <c r="C3" s="18">
        <v>23</v>
      </c>
      <c r="D3" s="18">
        <v>54</v>
      </c>
      <c r="E3" s="18" t="s">
        <v>170</v>
      </c>
      <c r="F3" s="18"/>
      <c r="G3" s="19" t="str">
        <f ca="1">IF($A3="","",IF($I3="X",A3,CONCATENATE(VLOOKUP(A3,Competitors!$A$2:$I$650,3, FALSE)," ",VLOOKUP(A3,Competitors!$A$2:$I$650,2,FALSE))))</f>
        <v>Chris Fowler (RFW)</v>
      </c>
      <c r="H3" s="20">
        <f t="shared" ref="H3:H66" si="1">IF(LEFT($E3,1)="D",UPPER($E3),(B3*3600+C3*60+D3)/86400)</f>
        <v>1.6597222222222222E-2</v>
      </c>
      <c r="I3" t="str">
        <f t="shared" ref="I3:I66" ca="1" si="2">IF(OR(A3="",ISNUMBER(A3)),"","X")</f>
        <v>X</v>
      </c>
      <c r="J3" s="40" t="s">
        <v>153</v>
      </c>
    </row>
    <row r="4" spans="1:10" ht="14.25" x14ac:dyDescent="0.15">
      <c r="A4" s="17">
        <f t="shared" ca="1" si="0"/>
        <v>747</v>
      </c>
      <c r="B4" s="17">
        <v>0</v>
      </c>
      <c r="C4" s="18">
        <v>24</v>
      </c>
      <c r="D4" s="18">
        <v>5</v>
      </c>
      <c r="E4" s="18"/>
      <c r="F4" s="18"/>
      <c r="G4" s="19" t="str">
        <f ca="1">IF($A4="","",IF($I4="X",A4,CONCATENATE(VLOOKUP(A4,Competitors!$A$2:$I$650,3, FALSE)," ",VLOOKUP(A4,Competitors!$A$2:$I$650,2,FALSE))))</f>
        <v>James Moore</v>
      </c>
      <c r="H4" s="20">
        <f t="shared" si="1"/>
        <v>1.6724537037037038E-2</v>
      </c>
      <c r="I4" t="str">
        <f t="shared" ca="1" si="2"/>
        <v/>
      </c>
      <c r="J4" s="40" t="s">
        <v>591</v>
      </c>
    </row>
    <row r="5" spans="1:10" ht="14.25" x14ac:dyDescent="0.15">
      <c r="A5" s="17">
        <f t="shared" ca="1" si="0"/>
        <v>989</v>
      </c>
      <c r="B5" s="17">
        <v>0</v>
      </c>
      <c r="C5" s="18">
        <v>24</v>
      </c>
      <c r="D5" s="18">
        <v>31</v>
      </c>
      <c r="E5" s="18" t="s">
        <v>170</v>
      </c>
      <c r="F5" s="18"/>
      <c r="G5" s="19" t="str">
        <f ca="1">IF($A5="","",IF($I5="X",A5,CONCATENATE(VLOOKUP(A5,Competitors!$A$2:$I$650,3, FALSE)," ",VLOOKUP(A5,Competitors!$A$2:$I$650,2,FALSE))))</f>
        <v>Jason Williams</v>
      </c>
      <c r="H5" s="20">
        <f t="shared" si="1"/>
        <v>1.7025462962962964E-2</v>
      </c>
      <c r="I5" t="str">
        <f t="shared" ca="1" si="2"/>
        <v/>
      </c>
      <c r="J5" s="40" t="s">
        <v>585</v>
      </c>
    </row>
    <row r="6" spans="1:10" ht="14.25" x14ac:dyDescent="0.15">
      <c r="A6" s="17" t="str">
        <f t="shared" ca="1" si="0"/>
        <v>Adam Wells (RFW)</v>
      </c>
      <c r="B6" s="17">
        <v>0</v>
      </c>
      <c r="C6" s="18">
        <v>24</v>
      </c>
      <c r="D6" s="18">
        <v>35</v>
      </c>
      <c r="E6" s="18"/>
      <c r="F6" s="18"/>
      <c r="G6" s="19" t="str">
        <f ca="1">IF($A6="","",IF($I6="X",A6,CONCATENATE(VLOOKUP(A6,Competitors!$A$2:$I$650,3, FALSE)," ",VLOOKUP(A6,Competitors!$A$2:$I$650,2,FALSE))))</f>
        <v>Adam Wells (RFW)</v>
      </c>
      <c r="H6" s="20">
        <f t="shared" si="1"/>
        <v>1.7071759259259259E-2</v>
      </c>
      <c r="I6" t="str">
        <f t="shared" ca="1" si="2"/>
        <v>X</v>
      </c>
      <c r="J6" s="40" t="s">
        <v>150</v>
      </c>
    </row>
    <row r="7" spans="1:10" ht="14.25" x14ac:dyDescent="0.15">
      <c r="A7" s="17" t="str">
        <f t="shared" ca="1" si="0"/>
        <v>Phil Wilkinson (RFW)</v>
      </c>
      <c r="B7" s="17">
        <v>0</v>
      </c>
      <c r="C7" s="18">
        <v>24</v>
      </c>
      <c r="D7" s="18">
        <v>57</v>
      </c>
      <c r="E7" s="18"/>
      <c r="F7" s="18"/>
      <c r="G7" s="19" t="str">
        <f ca="1">IF($A7="","",IF($I7="X",A7,CONCATENATE(VLOOKUP(A7,Competitors!$A$2:$I$650,3, FALSE)," ",VLOOKUP(A7,Competitors!$A$2:$I$650,2,FALSE))))</f>
        <v>Phil Wilkinson (RFW)</v>
      </c>
      <c r="H7" s="20">
        <f t="shared" si="1"/>
        <v>1.7326388888888888E-2</v>
      </c>
      <c r="I7" t="str">
        <f t="shared" ca="1" si="2"/>
        <v>X</v>
      </c>
      <c r="J7" s="40" t="s">
        <v>157</v>
      </c>
    </row>
    <row r="8" spans="1:10" ht="14.25" x14ac:dyDescent="0.15">
      <c r="A8" s="17" t="str">
        <f t="shared" ca="1" si="0"/>
        <v>Andy King (KCC)</v>
      </c>
      <c r="B8" s="17">
        <v>0</v>
      </c>
      <c r="C8" s="18">
        <v>25</v>
      </c>
      <c r="D8" s="18">
        <v>7</v>
      </c>
      <c r="E8" s="18"/>
      <c r="F8" s="18"/>
      <c r="G8" s="19" t="str">
        <f ca="1">IF($A8="","",IF($I8="X",A8,CONCATENATE(VLOOKUP(A8,Competitors!$A$2:$I$650,3, FALSE)," ",VLOOKUP(A8,Competitors!$A$2:$I$650,2,FALSE))))</f>
        <v>Andy King (KCC)</v>
      </c>
      <c r="H8" s="20">
        <f t="shared" si="1"/>
        <v>1.744212962962963E-2</v>
      </c>
      <c r="I8" t="str">
        <f t="shared" ca="1" si="2"/>
        <v>X</v>
      </c>
      <c r="J8" s="40" t="s">
        <v>236</v>
      </c>
    </row>
    <row r="9" spans="1:10" ht="14.25" x14ac:dyDescent="0.15">
      <c r="A9" s="17">
        <f t="shared" ca="1" si="0"/>
        <v>1055</v>
      </c>
      <c r="B9" s="17">
        <v>0</v>
      </c>
      <c r="C9" s="18">
        <v>25</v>
      </c>
      <c r="D9" s="18">
        <v>17</v>
      </c>
      <c r="E9" s="18"/>
      <c r="F9" s="18"/>
      <c r="G9" s="19" t="str">
        <f ca="1">IF($A9="","",IF($I9="X",A9,CONCATENATE(VLOOKUP(A9,Competitors!$A$2:$I$650,3, FALSE)," ",VLOOKUP(A9,Competitors!$A$2:$I$650,2,FALSE))))</f>
        <v>Austin Smith</v>
      </c>
      <c r="H9" s="20">
        <f t="shared" si="1"/>
        <v>1.755787037037037E-2</v>
      </c>
      <c r="I9" t="str">
        <f t="shared" ca="1" si="2"/>
        <v/>
      </c>
      <c r="J9" s="40" t="s">
        <v>589</v>
      </c>
    </row>
    <row r="10" spans="1:10" ht="14.25" x14ac:dyDescent="0.15">
      <c r="A10" s="17" t="str">
        <f t="shared" ca="1" si="0"/>
        <v>Ethan Mitchell-Clarke (RFW)</v>
      </c>
      <c r="B10" s="17">
        <v>0</v>
      </c>
      <c r="C10" s="18">
        <v>25</v>
      </c>
      <c r="D10" s="18">
        <v>24</v>
      </c>
      <c r="E10" s="18"/>
      <c r="F10" s="18"/>
      <c r="G10" s="19" t="str">
        <f ca="1">IF($A10="","",IF($I10="X",A10,CONCATENATE(VLOOKUP(A10,Competitors!$A$2:$I$650,3, FALSE)," ",VLOOKUP(A10,Competitors!$A$2:$I$650,2,FALSE))))</f>
        <v>Ethan Mitchell-Clarke (RFW)</v>
      </c>
      <c r="H10" s="20">
        <f t="shared" si="1"/>
        <v>1.7638888888888888E-2</v>
      </c>
      <c r="I10" t="str">
        <f t="shared" ca="1" si="2"/>
        <v>X</v>
      </c>
      <c r="J10" s="40" t="s">
        <v>154</v>
      </c>
    </row>
    <row r="11" spans="1:10" ht="14.25" x14ac:dyDescent="0.15">
      <c r="A11" s="17">
        <f t="shared" ca="1" si="0"/>
        <v>1192</v>
      </c>
      <c r="B11" s="17">
        <v>0</v>
      </c>
      <c r="C11" s="18">
        <v>25</v>
      </c>
      <c r="D11" s="18">
        <v>39</v>
      </c>
      <c r="E11" s="18"/>
      <c r="F11" s="18"/>
      <c r="G11" s="19" t="str">
        <f ca="1">IF($A11="","",IF($I11="X",A11,CONCATENATE(VLOOKUP(A11,Competitors!$A$2:$I$650,3, FALSE)," ",VLOOKUP(A11,Competitors!$A$2:$I$650,2,FALSE))))</f>
        <v>Dale Norris</v>
      </c>
      <c r="H11" s="20">
        <f t="shared" si="1"/>
        <v>1.7812499999999998E-2</v>
      </c>
      <c r="I11" t="str">
        <f t="shared" ca="1" si="2"/>
        <v/>
      </c>
      <c r="J11" s="40" t="s">
        <v>590</v>
      </c>
    </row>
    <row r="12" spans="1:10" ht="14.25" x14ac:dyDescent="0.15">
      <c r="A12" s="17" t="str">
        <f t="shared" ca="1" si="0"/>
        <v>Michael Carter (RFW)</v>
      </c>
      <c r="B12" s="17">
        <v>0</v>
      </c>
      <c r="C12" s="18">
        <v>25</v>
      </c>
      <c r="D12" s="18">
        <v>44</v>
      </c>
      <c r="E12" s="18" t="s">
        <v>170</v>
      </c>
      <c r="F12" s="18"/>
      <c r="G12" s="19" t="str">
        <f ca="1">IF($A12="","",IF($I12="X",A12,CONCATENATE(VLOOKUP(A12,Competitors!$A$2:$I$650,3, FALSE)," ",VLOOKUP(A12,Competitors!$A$2:$I$650,2,FALSE))))</f>
        <v>Michael Carter (RFW)</v>
      </c>
      <c r="H12" s="20">
        <f t="shared" si="1"/>
        <v>1.787037037037037E-2</v>
      </c>
      <c r="I12" t="str">
        <f t="shared" ca="1" si="2"/>
        <v>X</v>
      </c>
      <c r="J12" s="40" t="s">
        <v>156</v>
      </c>
    </row>
    <row r="13" spans="1:10" ht="14.25" x14ac:dyDescent="0.15">
      <c r="A13" s="17">
        <f t="shared" ca="1" si="0"/>
        <v>38</v>
      </c>
      <c r="B13" s="17">
        <v>0</v>
      </c>
      <c r="C13" s="18">
        <v>25</v>
      </c>
      <c r="D13" s="18">
        <v>52</v>
      </c>
      <c r="E13" s="18"/>
      <c r="F13" s="18"/>
      <c r="G13" s="19" t="str">
        <f ca="1">IF($A13="","",IF($I13="X",A13,CONCATENATE(VLOOKUP(A13,Competitors!$A$2:$I$650,3, FALSE)," ",VLOOKUP(A13,Competitors!$A$2:$I$650,2,FALSE))))</f>
        <v>Phil Rayner</v>
      </c>
      <c r="H13" s="20">
        <f t="shared" si="1"/>
        <v>1.7962962962962962E-2</v>
      </c>
      <c r="I13" t="str">
        <f t="shared" ca="1" si="2"/>
        <v/>
      </c>
      <c r="J13" s="40" t="s">
        <v>619</v>
      </c>
    </row>
    <row r="14" spans="1:10" ht="14.25" x14ac:dyDescent="0.15">
      <c r="A14" s="17" t="str">
        <f t="shared" ca="1" si="0"/>
        <v>Gregg Payne (RFW)</v>
      </c>
      <c r="B14" s="17">
        <v>0</v>
      </c>
      <c r="C14" s="18">
        <v>26</v>
      </c>
      <c r="D14" s="18">
        <v>23</v>
      </c>
      <c r="E14" s="18" t="s">
        <v>170</v>
      </c>
      <c r="F14" s="18"/>
      <c r="G14" s="19" t="str">
        <f ca="1">IF($A14="","",IF($I14="X",A14,CONCATENATE(VLOOKUP(A14,Competitors!$A$2:$I$650,3, FALSE)," ",VLOOKUP(A14,Competitors!$A$2:$I$650,2,FALSE))))</f>
        <v>Gregg Payne (RFW)</v>
      </c>
      <c r="H14" s="20">
        <f t="shared" si="1"/>
        <v>1.832175925925926E-2</v>
      </c>
      <c r="I14" t="str">
        <f t="shared" ca="1" si="2"/>
        <v>X</v>
      </c>
      <c r="J14" s="40" t="s">
        <v>241</v>
      </c>
    </row>
    <row r="15" spans="1:10" ht="14.25" x14ac:dyDescent="0.15">
      <c r="A15" s="17">
        <f t="shared" ca="1" si="0"/>
        <v>699</v>
      </c>
      <c r="B15" s="17">
        <v>0</v>
      </c>
      <c r="C15" s="18">
        <v>26</v>
      </c>
      <c r="D15" s="18">
        <v>24</v>
      </c>
      <c r="E15" s="18"/>
      <c r="F15" s="18"/>
      <c r="G15" s="19" t="str">
        <f ca="1">IF($A15="","",IF($I15="X",A15,CONCATENATE(VLOOKUP(A15,Competitors!$A$2:$I$650,3, FALSE)," ",VLOOKUP(A15,Competitors!$A$2:$I$650,2,FALSE))))</f>
        <v>Jonathan Durnin</v>
      </c>
      <c r="H15" s="20">
        <f t="shared" si="1"/>
        <v>1.8333333333333333E-2</v>
      </c>
      <c r="I15" t="str">
        <f t="shared" ca="1" si="2"/>
        <v/>
      </c>
      <c r="J15" s="40" t="s">
        <v>586</v>
      </c>
    </row>
    <row r="16" spans="1:10" ht="14.25" x14ac:dyDescent="0.15">
      <c r="A16" s="17" t="str">
        <f t="shared" ca="1" si="0"/>
        <v>Chris Spray (Ratae)</v>
      </c>
      <c r="B16" s="17">
        <v>0</v>
      </c>
      <c r="C16" s="18">
        <v>26</v>
      </c>
      <c r="D16" s="18">
        <v>59</v>
      </c>
      <c r="E16" s="18"/>
      <c r="F16" s="18"/>
      <c r="G16" s="19" t="str">
        <f ca="1">IF($A16="","",IF($I16="X",A16,CONCATENATE(VLOOKUP(A16,Competitors!$A$2:$I$650,3, FALSE)," ",VLOOKUP(A16,Competitors!$A$2:$I$650,2,FALSE))))</f>
        <v>Chris Spray (Ratae)</v>
      </c>
      <c r="H16" s="20">
        <f t="shared" si="1"/>
        <v>1.8738425925925926E-2</v>
      </c>
      <c r="I16" t="str">
        <f t="shared" ca="1" si="2"/>
        <v>X</v>
      </c>
      <c r="J16" s="40" t="s">
        <v>142</v>
      </c>
    </row>
    <row r="17" spans="1:10" ht="14.25" x14ac:dyDescent="0.15">
      <c r="A17" s="17" t="str">
        <f t="shared" ca="1" si="0"/>
        <v>Chris Bonsor (Ratae)</v>
      </c>
      <c r="B17" s="17">
        <v>0</v>
      </c>
      <c r="C17" s="18">
        <v>27</v>
      </c>
      <c r="D17" s="18">
        <v>11</v>
      </c>
      <c r="E17" s="18"/>
      <c r="F17" s="18"/>
      <c r="G17" s="19" t="str">
        <f ca="1">IF($A17="","",IF($I17="X",A17,CONCATENATE(VLOOKUP(A17,Competitors!$A$2:$I$650,3, FALSE)," ",VLOOKUP(A17,Competitors!$A$2:$I$650,2,FALSE))))</f>
        <v>Chris Bonsor (Ratae)</v>
      </c>
      <c r="H17" s="20">
        <f t="shared" si="1"/>
        <v>1.8877314814814816E-2</v>
      </c>
      <c r="I17" t="str">
        <f t="shared" ca="1" si="2"/>
        <v>X</v>
      </c>
      <c r="J17" s="40" t="s">
        <v>141</v>
      </c>
    </row>
    <row r="18" spans="1:10" ht="14.25" x14ac:dyDescent="0.15">
      <c r="A18" s="17" t="str">
        <f t="shared" ca="1" si="0"/>
        <v>Ed Watson (Ratae)</v>
      </c>
      <c r="B18" s="17">
        <v>0</v>
      </c>
      <c r="C18" s="18">
        <v>27</v>
      </c>
      <c r="D18" s="18">
        <v>17</v>
      </c>
      <c r="E18" s="18"/>
      <c r="F18" s="18"/>
      <c r="G18" s="19" t="str">
        <f ca="1">IF($A18="","",IF($I18="X",A18,CONCATENATE(VLOOKUP(A18,Competitors!$A$2:$I$650,3, FALSE)," ",VLOOKUP(A18,Competitors!$A$2:$I$650,2,FALSE))))</f>
        <v>Ed Watson (Ratae)</v>
      </c>
      <c r="H18" s="20">
        <f t="shared" si="1"/>
        <v>1.894675925925926E-2</v>
      </c>
      <c r="I18" t="str">
        <f t="shared" ca="1" si="2"/>
        <v>X</v>
      </c>
      <c r="J18" s="40" t="s">
        <v>143</v>
      </c>
    </row>
    <row r="19" spans="1:10" ht="14.25" x14ac:dyDescent="0.15">
      <c r="A19" s="17">
        <f t="shared" ca="1" si="0"/>
        <v>1237</v>
      </c>
      <c r="B19" s="17">
        <v>0</v>
      </c>
      <c r="C19" s="18">
        <v>27</v>
      </c>
      <c r="D19" s="18">
        <v>32</v>
      </c>
      <c r="E19" s="18" t="s">
        <v>170</v>
      </c>
      <c r="F19" s="18"/>
      <c r="G19" s="19" t="str">
        <f ca="1">IF($A19="","",IF($I19="X",A19,CONCATENATE(VLOOKUP(A19,Competitors!$A$2:$I$650,3, FALSE)," ",VLOOKUP(A19,Competitors!$A$2:$I$650,2,FALSE))))</f>
        <v>John Abbott</v>
      </c>
      <c r="H19" s="20">
        <f t="shared" si="1"/>
        <v>1.9120370370370371E-2</v>
      </c>
      <c r="I19" t="str">
        <f t="shared" ca="1" si="2"/>
        <v/>
      </c>
      <c r="J19" s="40" t="s">
        <v>598</v>
      </c>
    </row>
    <row r="20" spans="1:10" ht="14.25" x14ac:dyDescent="0.15">
      <c r="A20" s="17" t="str">
        <f t="shared" ca="1" si="0"/>
        <v>Jeff Crowden</v>
      </c>
      <c r="B20" s="17">
        <v>0</v>
      </c>
      <c r="C20" s="18">
        <v>28</v>
      </c>
      <c r="D20" s="18">
        <v>5</v>
      </c>
      <c r="E20" s="18"/>
      <c r="F20" s="18"/>
      <c r="G20" s="19" t="str">
        <f ca="1">IF($A20="","",IF($I20="X",A20,CONCATENATE(VLOOKUP(A20,Competitors!$A$2:$I$650,3, FALSE)," ",VLOOKUP(A20,Competitors!$A$2:$I$650,2,FALSE))))</f>
        <v>Jeff Crowden</v>
      </c>
      <c r="H20" s="20">
        <f t="shared" si="1"/>
        <v>1.9502314814814816E-2</v>
      </c>
      <c r="I20" t="str">
        <f t="shared" ca="1" si="2"/>
        <v>X</v>
      </c>
      <c r="J20" s="40" t="s">
        <v>234</v>
      </c>
    </row>
    <row r="21" spans="1:10" ht="14.25" x14ac:dyDescent="0.15">
      <c r="A21" s="17">
        <f t="shared" ca="1" si="0"/>
        <v>1385</v>
      </c>
      <c r="B21" s="17">
        <v>0</v>
      </c>
      <c r="C21" s="18">
        <v>28</v>
      </c>
      <c r="D21" s="18">
        <v>6</v>
      </c>
      <c r="E21" s="18" t="s">
        <v>170</v>
      </c>
      <c r="F21" s="18"/>
      <c r="G21" s="19" t="str">
        <f ca="1">IF($A21="","",IF($I21="X",A21,CONCATENATE(VLOOKUP(A21,Competitors!$A$2:$I$650,3, FALSE)," ",VLOOKUP(A21,Competitors!$A$2:$I$650,2,FALSE))))</f>
        <v>Miles Marr</v>
      </c>
      <c r="H21" s="20">
        <f t="shared" si="1"/>
        <v>1.951388888888889E-2</v>
      </c>
      <c r="I21" t="str">
        <f t="shared" ca="1" si="2"/>
        <v/>
      </c>
      <c r="J21" s="40" t="s">
        <v>213</v>
      </c>
    </row>
    <row r="22" spans="1:10" ht="14.25" x14ac:dyDescent="0.15">
      <c r="A22" s="17" t="str">
        <f t="shared" ca="1" si="0"/>
        <v>Steve Pearce (Ratae)</v>
      </c>
      <c r="B22" s="17">
        <v>0</v>
      </c>
      <c r="C22" s="18">
        <v>28</v>
      </c>
      <c r="D22" s="18">
        <v>10</v>
      </c>
      <c r="E22" s="18" t="s">
        <v>170</v>
      </c>
      <c r="F22" s="18"/>
      <c r="G22" s="19" t="str">
        <f ca="1">IF($A22="","",IF($I22="X",A22,CONCATENATE(VLOOKUP(A22,Competitors!$A$2:$I$650,3, FALSE)," ",VLOOKUP(A22,Competitors!$A$2:$I$650,2,FALSE))))</f>
        <v>Steve Pearce (Ratae)</v>
      </c>
      <c r="H22" s="20">
        <f t="shared" si="1"/>
        <v>1.9560185185185184E-2</v>
      </c>
      <c r="I22" t="str">
        <f t="shared" ca="1" si="2"/>
        <v>X</v>
      </c>
      <c r="J22" s="40" t="s">
        <v>149</v>
      </c>
    </row>
    <row r="23" spans="1:10" ht="14.25" x14ac:dyDescent="0.15">
      <c r="A23" s="17">
        <f t="shared" ca="1" si="0"/>
        <v>1386</v>
      </c>
      <c r="B23" s="17">
        <v>0</v>
      </c>
      <c r="C23" s="18">
        <v>28</v>
      </c>
      <c r="D23" s="18">
        <v>11</v>
      </c>
      <c r="E23" s="18" t="s">
        <v>170</v>
      </c>
      <c r="F23" s="18"/>
      <c r="G23" s="19" t="str">
        <f ca="1">IF($A23="","",IF($I23="X",A23,CONCATENATE(VLOOKUP(A23,Competitors!$A$2:$I$650,3, FALSE)," ",VLOOKUP(A23,Competitors!$A$2:$I$650,2,FALSE))))</f>
        <v>Mea Moore</v>
      </c>
      <c r="H23" s="20">
        <f t="shared" si="1"/>
        <v>1.9571759259259261E-2</v>
      </c>
      <c r="I23" t="str">
        <f t="shared" ca="1" si="2"/>
        <v/>
      </c>
      <c r="J23" s="40" t="s">
        <v>644</v>
      </c>
    </row>
    <row r="24" spans="1:10" ht="14.25" x14ac:dyDescent="0.15">
      <c r="A24" s="17">
        <f t="shared" ca="1" si="0"/>
        <v>846</v>
      </c>
      <c r="B24" s="17">
        <v>0</v>
      </c>
      <c r="C24" s="18">
        <v>28</v>
      </c>
      <c r="D24" s="18">
        <v>11</v>
      </c>
      <c r="E24" s="18"/>
      <c r="F24" s="18"/>
      <c r="G24" s="19" t="str">
        <f ca="1">IF($A24="","",IF($I24="X",A24,CONCATENATE(VLOOKUP(A24,Competitors!$A$2:$I$650,3, FALSE)," ",VLOOKUP(A24,Competitors!$A$2:$I$650,2,FALSE))))</f>
        <v>Roger Kockelbergh</v>
      </c>
      <c r="H24" s="20">
        <f t="shared" si="1"/>
        <v>1.9571759259259261E-2</v>
      </c>
      <c r="I24" t="str">
        <f t="shared" ca="1" si="2"/>
        <v/>
      </c>
      <c r="J24" s="40" t="s">
        <v>601</v>
      </c>
    </row>
    <row r="25" spans="1:10" ht="14.25" x14ac:dyDescent="0.15">
      <c r="A25" s="17">
        <f t="shared" ca="1" si="0"/>
        <v>1107</v>
      </c>
      <c r="B25" s="17">
        <v>0</v>
      </c>
      <c r="C25" s="18">
        <v>28</v>
      </c>
      <c r="D25" s="18">
        <v>23</v>
      </c>
      <c r="E25" s="18" t="s">
        <v>170</v>
      </c>
      <c r="F25" s="18"/>
      <c r="G25" s="19" t="str">
        <f ca="1">IF($A25="","",IF($I25="X",A25,CONCATENATE(VLOOKUP(A25,Competitors!$A$2:$I$650,3, FALSE)," ",VLOOKUP(A25,Competitors!$A$2:$I$650,2,FALSE))))</f>
        <v>Milly Pinnock</v>
      </c>
      <c r="H25" s="20">
        <f t="shared" si="1"/>
        <v>1.9710648148148147E-2</v>
      </c>
      <c r="I25" t="str">
        <f t="shared" ca="1" si="2"/>
        <v/>
      </c>
      <c r="J25" s="40" t="s">
        <v>600</v>
      </c>
    </row>
    <row r="26" spans="1:10" ht="14.25" x14ac:dyDescent="0.15">
      <c r="A26" s="17">
        <f t="shared" ca="1" si="0"/>
        <v>120</v>
      </c>
      <c r="B26" s="17">
        <v>0</v>
      </c>
      <c r="C26" s="18">
        <v>28</v>
      </c>
      <c r="D26" s="18">
        <v>32</v>
      </c>
      <c r="E26" s="18"/>
      <c r="F26" s="18"/>
      <c r="G26" s="19" t="str">
        <f ca="1">IF($A26="","",IF($I26="X",A26,CONCATENATE(VLOOKUP(A26,Competitors!$A$2:$I$650,3, FALSE)," ",VLOOKUP(A26,Competitors!$A$2:$I$650,2,FALSE))))</f>
        <v>Linda Hubbard</v>
      </c>
      <c r="H26" s="20">
        <f t="shared" si="1"/>
        <v>1.9814814814814816E-2</v>
      </c>
      <c r="I26" t="str">
        <f t="shared" ca="1" si="2"/>
        <v/>
      </c>
      <c r="J26" s="40" t="s">
        <v>649</v>
      </c>
    </row>
    <row r="27" spans="1:10" ht="14.25" x14ac:dyDescent="0.15">
      <c r="A27" s="17">
        <f t="shared" ca="1" si="0"/>
        <v>1326</v>
      </c>
      <c r="B27" s="17">
        <v>0</v>
      </c>
      <c r="C27" s="18">
        <v>28</v>
      </c>
      <c r="D27" s="18">
        <v>36</v>
      </c>
      <c r="E27" s="18" t="s">
        <v>170</v>
      </c>
      <c r="F27" s="18"/>
      <c r="G27" s="19" t="str">
        <f ca="1">IF($A27="","",IF($I27="X",A27,CONCATENATE(VLOOKUP(A27,Competitors!$A$2:$I$650,3, FALSE)," ",VLOOKUP(A27,Competitors!$A$2:$I$650,2,FALSE))))</f>
        <v>Laoise Bennis</v>
      </c>
      <c r="H27" s="20">
        <f t="shared" si="1"/>
        <v>1.9861111111111111E-2</v>
      </c>
      <c r="I27" t="str">
        <f t="shared" ca="1" si="2"/>
        <v/>
      </c>
      <c r="J27" s="40" t="s">
        <v>652</v>
      </c>
    </row>
    <row r="28" spans="1:10" ht="14.25" x14ac:dyDescent="0.15">
      <c r="A28" s="17" t="str">
        <f t="shared" ca="1" si="0"/>
        <v>Paul Ryan (RFW)</v>
      </c>
      <c r="B28" s="17">
        <v>0</v>
      </c>
      <c r="C28" s="18">
        <v>28</v>
      </c>
      <c r="D28" s="18">
        <v>42</v>
      </c>
      <c r="E28" s="18" t="s">
        <v>170</v>
      </c>
      <c r="F28" s="18"/>
      <c r="G28" s="19" t="str">
        <f ca="1">IF($A28="","",IF($I28="X",A28,CONCATENATE(VLOOKUP(A28,Competitors!$A$2:$I$650,3, FALSE)," ",VLOOKUP(A28,Competitors!$A$2:$I$650,2,FALSE))))</f>
        <v>Paul Ryan (RFW)</v>
      </c>
      <c r="H28" s="20">
        <f t="shared" si="1"/>
        <v>1.9930555555555556E-2</v>
      </c>
      <c r="I28" t="str">
        <f t="shared" ca="1" si="2"/>
        <v>X</v>
      </c>
      <c r="J28" s="40" t="s">
        <v>242</v>
      </c>
    </row>
    <row r="29" spans="1:10" ht="14.25" x14ac:dyDescent="0.15">
      <c r="A29" s="17" t="str">
        <f t="shared" ca="1" si="0"/>
        <v>Mark Newton (Ratae)</v>
      </c>
      <c r="B29" s="17">
        <v>0</v>
      </c>
      <c r="C29" s="18">
        <v>29</v>
      </c>
      <c r="D29" s="18">
        <v>12</v>
      </c>
      <c r="E29" s="18" t="s">
        <v>170</v>
      </c>
      <c r="F29" s="18"/>
      <c r="G29" s="19" t="str">
        <f ca="1">IF($A29="","",IF($I29="X",A29,CONCATENATE(VLOOKUP(A29,Competitors!$A$2:$I$650,3, FALSE)," ",VLOOKUP(A29,Competitors!$A$2:$I$650,2,FALSE))))</f>
        <v>Mark Newton (Ratae)</v>
      </c>
      <c r="H29" s="20">
        <f t="shared" si="1"/>
        <v>2.0277777777777777E-2</v>
      </c>
      <c r="I29" t="str">
        <f t="shared" ca="1" si="2"/>
        <v>X</v>
      </c>
      <c r="J29" s="40" t="s">
        <v>145</v>
      </c>
    </row>
    <row r="30" spans="1:10" ht="14.25" x14ac:dyDescent="0.15">
      <c r="A30" s="17">
        <f t="shared" ca="1" si="0"/>
        <v>616</v>
      </c>
      <c r="B30" s="17">
        <v>0</v>
      </c>
      <c r="C30" s="18">
        <v>29</v>
      </c>
      <c r="D30" s="18">
        <v>22</v>
      </c>
      <c r="E30" s="18"/>
      <c r="F30" s="18"/>
      <c r="G30" s="19" t="str">
        <f ca="1">IF($A30="","",IF($I30="X",A30,CONCATENATE(VLOOKUP(A30,Competitors!$A$2:$I$650,3, FALSE)," ",VLOOKUP(A30,Competitors!$A$2:$I$650,2,FALSE))))</f>
        <v>Simon Ward</v>
      </c>
      <c r="H30" s="20">
        <f t="shared" si="1"/>
        <v>2.0393518518518519E-2</v>
      </c>
      <c r="I30" t="str">
        <f t="shared" ca="1" si="2"/>
        <v/>
      </c>
      <c r="J30" s="40" t="s">
        <v>610</v>
      </c>
    </row>
    <row r="31" spans="1:10" ht="14.25" x14ac:dyDescent="0.15">
      <c r="A31" s="17">
        <f t="shared" ca="1" si="0"/>
        <v>704</v>
      </c>
      <c r="B31" s="17">
        <v>0</v>
      </c>
      <c r="C31" s="18">
        <v>29</v>
      </c>
      <c r="D31" s="18">
        <v>50</v>
      </c>
      <c r="E31" s="18" t="s">
        <v>170</v>
      </c>
      <c r="F31" s="18"/>
      <c r="G31" s="19" t="str">
        <f ca="1">IF($A31="","",IF($I31="X",A31,CONCATENATE(VLOOKUP(A31,Competitors!$A$2:$I$650,3, FALSE)," ",VLOOKUP(A31,Competitors!$A$2:$I$650,2,FALSE))))</f>
        <v>Chris Dainty</v>
      </c>
      <c r="H31" s="20">
        <f t="shared" si="1"/>
        <v>2.0717592592592593E-2</v>
      </c>
      <c r="I31" t="str">
        <f t="shared" ca="1" si="2"/>
        <v/>
      </c>
      <c r="J31" s="40" t="s">
        <v>605</v>
      </c>
    </row>
    <row r="32" spans="1:10" ht="14.25" x14ac:dyDescent="0.15">
      <c r="A32" s="17" t="str">
        <f t="shared" ca="1" si="0"/>
        <v>Lynne Scofield (RFW)</v>
      </c>
      <c r="B32" s="17">
        <v>0</v>
      </c>
      <c r="C32" s="18">
        <v>30</v>
      </c>
      <c r="D32" s="18">
        <v>2</v>
      </c>
      <c r="E32" s="18"/>
      <c r="F32" s="18"/>
      <c r="G32" s="19" t="str">
        <f ca="1">IF($A32="","",IF($I32="X",A32,CONCATENATE(VLOOKUP(A32,Competitors!$A$2:$I$650,3, FALSE)," ",VLOOKUP(A32,Competitors!$A$2:$I$650,2,FALSE))))</f>
        <v>Lynne Scofield (RFW)</v>
      </c>
      <c r="H32" s="20">
        <f t="shared" si="1"/>
        <v>2.0856481481481483E-2</v>
      </c>
      <c r="I32" t="str">
        <f t="shared" ca="1" si="2"/>
        <v>X</v>
      </c>
      <c r="J32" s="40" t="s">
        <v>155</v>
      </c>
    </row>
    <row r="33" spans="1:10" ht="14.25" x14ac:dyDescent="0.15">
      <c r="A33" s="17">
        <f t="shared" ca="1" si="0"/>
        <v>1194</v>
      </c>
      <c r="B33" s="17">
        <v>0</v>
      </c>
      <c r="C33" s="18">
        <v>30</v>
      </c>
      <c r="D33" s="18">
        <v>39</v>
      </c>
      <c r="E33" s="18" t="s">
        <v>170</v>
      </c>
      <c r="F33" s="18"/>
      <c r="G33" s="19" t="str">
        <f ca="1">IF($A33="","",IF($I33="X",A33,CONCATENATE(VLOOKUP(A33,Competitors!$A$2:$I$650,3, FALSE)," ",VLOOKUP(A33,Competitors!$A$2:$I$650,2,FALSE))))</f>
        <v>Alex Hardwicke</v>
      </c>
      <c r="H33" s="20">
        <f t="shared" si="1"/>
        <v>2.1284722222222222E-2</v>
      </c>
      <c r="I33" t="str">
        <f t="shared" ca="1" si="2"/>
        <v/>
      </c>
      <c r="J33" s="40" t="s">
        <v>611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>Robert Mitchell</v>
      </c>
      <c r="B34" s="17">
        <v>0</v>
      </c>
      <c r="C34" s="18">
        <v>30</v>
      </c>
      <c r="D34" s="18">
        <v>48</v>
      </c>
      <c r="E34" s="18" t="s">
        <v>170</v>
      </c>
      <c r="F34" s="18"/>
      <c r="G34" s="19" t="str">
        <f ca="1">IF($A34="","",IF($I34="X",A34,CONCATENATE(VLOOKUP(A34,Competitors!$A$2:$I$650,3, FALSE)," ",VLOOKUP(A34,Competitors!$A$2:$I$650,2,FALSE))))</f>
        <v>Robert Mitchell</v>
      </c>
      <c r="H34" s="20">
        <f t="shared" si="1"/>
        <v>2.1388888888888888E-2</v>
      </c>
      <c r="I34" t="str">
        <f t="shared" ca="1" si="2"/>
        <v>X</v>
      </c>
      <c r="J34" s="40" t="s">
        <v>243</v>
      </c>
    </row>
    <row r="35" spans="1:10" ht="14.25" x14ac:dyDescent="0.15">
      <c r="A35" s="17" t="str">
        <f t="shared" ca="1" si="3"/>
        <v>Paul Eden (Ratae)</v>
      </c>
      <c r="B35" s="17">
        <v>0</v>
      </c>
      <c r="C35" s="18">
        <v>31</v>
      </c>
      <c r="D35" s="18">
        <v>50</v>
      </c>
      <c r="E35" s="18" t="s">
        <v>170</v>
      </c>
      <c r="F35" s="18"/>
      <c r="G35" s="19" t="str">
        <f ca="1">IF($A35="","",IF($I35="X",A35,CONCATENATE(VLOOKUP(A35,Competitors!$A$2:$I$650,3, FALSE)," ",VLOOKUP(A35,Competitors!$A$2:$I$650,2,FALSE))))</f>
        <v>Paul Eden (Ratae)</v>
      </c>
      <c r="H35" s="20">
        <f t="shared" si="1"/>
        <v>2.210648148148148E-2</v>
      </c>
      <c r="I35" t="str">
        <f t="shared" ca="1" si="2"/>
        <v>X</v>
      </c>
      <c r="J35" s="40" t="s">
        <v>147</v>
      </c>
    </row>
    <row r="36" spans="1:10" ht="14.25" x14ac:dyDescent="0.15">
      <c r="A36" s="17">
        <f t="shared" ca="1" si="3"/>
        <v>7</v>
      </c>
      <c r="B36" s="17">
        <v>0</v>
      </c>
      <c r="C36" s="18">
        <v>32</v>
      </c>
      <c r="D36" s="18">
        <v>53</v>
      </c>
      <c r="E36" s="18" t="s">
        <v>170</v>
      </c>
      <c r="F36" s="18"/>
      <c r="G36" s="19" t="str">
        <f ca="1">IF($A36="","",IF($I36="X",A36,CONCATENATE(VLOOKUP(A36,Competitors!$A$2:$I$650,3, FALSE)," ",VLOOKUP(A36,Competitors!$A$2:$I$650,2,FALSE))))</f>
        <v>Vic Barnett</v>
      </c>
      <c r="H36" s="20">
        <f t="shared" si="1"/>
        <v>2.2835648148148147E-2</v>
      </c>
      <c r="I36" t="str">
        <f t="shared" ca="1" si="2"/>
        <v/>
      </c>
      <c r="J36" s="40" t="s">
        <v>625</v>
      </c>
    </row>
    <row r="37" spans="1:10" ht="14.25" x14ac:dyDescent="0.15">
      <c r="A37" s="17">
        <f t="shared" ca="1" si="3"/>
        <v>935</v>
      </c>
      <c r="B37" s="17">
        <v>0</v>
      </c>
      <c r="C37" s="18">
        <v>34</v>
      </c>
      <c r="D37" s="18">
        <v>3</v>
      </c>
      <c r="E37" s="18"/>
      <c r="F37" s="18"/>
      <c r="G37" s="19" t="str">
        <f ca="1">IF($A37="","",IF($I37="X",A37,CONCATENATE(VLOOKUP(A37,Competitors!$A$2:$I$650,3, FALSE)," ",VLOOKUP(A37,Competitors!$A$2:$I$650,2,FALSE))))</f>
        <v>Sophie Ward</v>
      </c>
      <c r="H37" s="20">
        <f t="shared" si="1"/>
        <v>2.3645833333333335E-2</v>
      </c>
      <c r="I37" t="str">
        <f t="shared" ca="1" si="2"/>
        <v/>
      </c>
      <c r="J37" s="40" t="s">
        <v>651</v>
      </c>
    </row>
    <row r="38" spans="1:10" ht="14.25" x14ac:dyDescent="0.15">
      <c r="A38" s="17">
        <f t="shared" ca="1" si="3"/>
        <v>23</v>
      </c>
      <c r="B38" s="17"/>
      <c r="C38" s="18"/>
      <c r="D38" s="18"/>
      <c r="E38" s="18"/>
      <c r="F38" s="18" t="s">
        <v>205</v>
      </c>
      <c r="G38" s="19" t="str">
        <f ca="1">IF($A38="","",IF($I38="X",A38,CONCATENATE(VLOOKUP(A38,Competitors!$A$2:$I$650,3, FALSE)," ",VLOOKUP(A38,Competitors!$A$2:$I$650,2,FALSE))))</f>
        <v>Chris Hyde</v>
      </c>
      <c r="H38" s="20">
        <f t="shared" si="1"/>
        <v>0</v>
      </c>
      <c r="I38" t="str">
        <f t="shared" ca="1" si="2"/>
        <v/>
      </c>
      <c r="J38" s="40" t="s">
        <v>606</v>
      </c>
    </row>
    <row r="39" spans="1:10" ht="14.25" x14ac:dyDescent="0.15">
      <c r="A39" s="17" t="str">
        <f t="shared" ca="1" si="3"/>
        <v>Guy Bibby</v>
      </c>
      <c r="B39" s="17"/>
      <c r="C39" s="18"/>
      <c r="D39" s="18"/>
      <c r="E39" s="18"/>
      <c r="F39" s="18" t="s">
        <v>205</v>
      </c>
      <c r="G39" s="19" t="str">
        <f ca="1">IF($A39="","",IF($I39="X",A39,CONCATENATE(VLOOKUP(A39,Competitors!$A$2:$I$650,3, FALSE)," ",VLOOKUP(A39,Competitors!$A$2:$I$650,2,FALSE))))</f>
        <v>Guy Bibby</v>
      </c>
      <c r="H39" s="20">
        <f t="shared" si="1"/>
        <v>0</v>
      </c>
      <c r="I39" t="str">
        <f t="shared" ca="1" si="2"/>
        <v>X</v>
      </c>
      <c r="J39" s="40" t="s">
        <v>232</v>
      </c>
    </row>
    <row r="40" spans="1:10" ht="14.25" x14ac:dyDescent="0.15">
      <c r="A40" s="17" t="str">
        <f t="shared" ca="1" si="3"/>
        <v/>
      </c>
      <c r="B40" s="17"/>
      <c r="C40" s="18"/>
      <c r="D40" s="18"/>
      <c r="E40" s="18"/>
      <c r="F40" s="18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8"/>
      <c r="D41" s="18"/>
      <c r="E41" s="18"/>
      <c r="F41" s="18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8"/>
      <c r="D42" s="18"/>
      <c r="E42" s="18"/>
      <c r="F42" s="18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8"/>
      <c r="D43" s="18"/>
      <c r="E43" s="18"/>
      <c r="F43" s="18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8"/>
      <c r="D44" s="18"/>
      <c r="E44" s="18"/>
      <c r="F44" s="18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8"/>
      <c r="D45" s="18"/>
      <c r="E45" s="18"/>
      <c r="F45" s="18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8"/>
      <c r="D46" s="18"/>
      <c r="E46" s="18"/>
      <c r="F46" s="18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8"/>
      <c r="D47" s="18"/>
      <c r="E47" s="18"/>
      <c r="F47" s="18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8"/>
      <c r="D48" s="18"/>
      <c r="E48" s="18"/>
      <c r="F48" s="18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8"/>
      <c r="D49" s="18"/>
      <c r="E49" s="18"/>
      <c r="F49" s="18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8"/>
      <c r="D50" s="18"/>
      <c r="E50" s="18"/>
      <c r="F50" s="18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8"/>
      <c r="D51" s="18"/>
      <c r="E51" s="18"/>
      <c r="F51" s="18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8"/>
      <c r="D52" s="18"/>
      <c r="E52" s="18"/>
      <c r="F52" s="18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8"/>
      <c r="D53" s="18"/>
      <c r="E53" s="18"/>
      <c r="F53" s="18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8"/>
      <c r="D54" s="18"/>
      <c r="E54" s="18"/>
      <c r="F54" s="18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8"/>
      <c r="D55" s="18"/>
      <c r="E55" s="18"/>
      <c r="F55" s="18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8"/>
      <c r="D56" s="18"/>
      <c r="E56" s="18"/>
      <c r="F56" s="18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8"/>
      <c r="D57" s="18"/>
      <c r="E57" s="18"/>
      <c r="F57" s="18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8"/>
      <c r="D58" s="18"/>
      <c r="E58" s="18"/>
      <c r="F58" s="18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8"/>
      <c r="D59" s="18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8"/>
      <c r="D60" s="18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8"/>
      <c r="D61" s="18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8"/>
      <c r="D62" s="18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8"/>
      <c r="D63" s="18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8"/>
      <c r="D64" s="18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8"/>
      <c r="D65" s="18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18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8"/>
      <c r="D67" s="18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8"/>
      <c r="D68" s="18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8"/>
      <c r="D69" s="18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8"/>
      <c r="D70" s="18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8"/>
      <c r="D71" s="18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8"/>
      <c r="D72" s="18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8"/>
      <c r="D73" s="18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8"/>
      <c r="D74" s="18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8"/>
      <c r="D75" s="18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8"/>
      <c r="D76" s="18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8"/>
      <c r="D77" s="18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8"/>
      <c r="D78" s="18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8"/>
      <c r="D79" s="18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8"/>
      <c r="D80" s="18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8"/>
      <c r="D81" s="18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8"/>
      <c r="D82" s="18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8"/>
      <c r="D83" s="18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8"/>
      <c r="D84" s="18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8"/>
      <c r="D85" s="18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8"/>
      <c r="D86" s="18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8"/>
      <c r="D87" s="18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8"/>
      <c r="D88" s="18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8"/>
      <c r="D89" s="18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8"/>
      <c r="D90" s="18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8"/>
      <c r="D91" s="18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8"/>
      <c r="D92" s="18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8"/>
      <c r="D93" s="18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8"/>
      <c r="D94" s="18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8"/>
      <c r="D95" s="18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8"/>
      <c r="D96" s="18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8"/>
      <c r="D97" s="18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8"/>
      <c r="D98" s="18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8"/>
      <c r="D99" s="18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8"/>
      <c r="D100" s="18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8"/>
      <c r="D101" s="18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29" priority="1">
      <formula>TEXT($B$104,"@")="Y"</formula>
    </cfRule>
  </conditionalFormatting>
  <conditionalFormatting sqref="G2:H101">
    <cfRule type="expression" dxfId="28" priority="3">
      <formula>$I2="X"</formula>
    </cfRule>
  </conditionalFormatting>
  <conditionalFormatting sqref="H2:H101">
    <cfRule type="expression" dxfId="27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5879-3835-409B-8EE0-1357E575D461}">
  <sheetPr codeName="Sheet19"/>
  <dimension ref="A1:J104"/>
  <sheetViews>
    <sheetView zoomScale="75" zoomScaleNormal="75" workbookViewId="0">
      <selection activeCell="J14" sqref="J14"/>
    </sheetView>
  </sheetViews>
  <sheetFormatPr defaultColWidth="9.16796875" defaultRowHeight="12.75" x14ac:dyDescent="0.15"/>
  <cols>
    <col min="1" max="1" width="25.08203125" bestFit="1" customWidth="1"/>
    <col min="2" max="4" width="4.71875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  <col min="10" max="10" width="15.50781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>
        <f t="shared" ref="A2:A33" ca="1" si="0">IF(J2="","",_xlfn.XLOOKUP(J2,ClubNames,ClubNumbers,_xlfn.XLOOKUP(J2,RoundRobinRiderNames,RoundRobinRiderDecoratedNames,J2)))</f>
        <v>407</v>
      </c>
      <c r="B2" s="17">
        <v>0</v>
      </c>
      <c r="C2" s="18">
        <v>22</v>
      </c>
      <c r="D2" s="18">
        <v>57</v>
      </c>
      <c r="E2" s="18"/>
      <c r="F2" s="18"/>
      <c r="G2" s="19" t="str">
        <f ca="1">IF($A2="","",IF($I2="X",A2,CONCATENATE(VLOOKUP(A2,Competitors!$A$2:$I$650,3, FALSE)," ",VLOOKUP(A2,Competitors!$A$2:$I$650,2,FALSE))))</f>
        <v>Hans van Nierop</v>
      </c>
      <c r="H2" s="20">
        <f>IF(LEFT($E2,1)="D",UPPER($E2),(B2*3600+C2*60+D2)/86400)</f>
        <v>1.59375E-2</v>
      </c>
      <c r="I2" t="str">
        <f ca="1">IF(OR(A2="",ISNUMBER(A2)),"","X")</f>
        <v/>
      </c>
      <c r="J2" s="40">
        <v>407</v>
      </c>
    </row>
    <row r="3" spans="1:10" ht="14.25" x14ac:dyDescent="0.15">
      <c r="A3" s="17" t="str">
        <f t="shared" ca="1" si="0"/>
        <v>Alex Whitmore (Ratae)</v>
      </c>
      <c r="B3" s="17">
        <v>0</v>
      </c>
      <c r="C3" s="18">
        <v>23</v>
      </c>
      <c r="D3" s="18">
        <v>15</v>
      </c>
      <c r="E3" s="18" t="s">
        <v>170</v>
      </c>
      <c r="F3" s="18"/>
      <c r="G3" s="19" t="str">
        <f ca="1">IF($A3="","",IF($I3="X",A3,CONCATENATE(VLOOKUP(A3,Competitors!$A$2:$I$650,3, FALSE)," ",VLOOKUP(A3,Competitors!$A$2:$I$650,2,FALSE))))</f>
        <v>Alex Whitmore (Ratae)</v>
      </c>
      <c r="H3" s="20">
        <f t="shared" ref="H3:H66" si="1">IF(LEFT($E3,1)="D",UPPER($E3),(B3*3600+C3*60+D3)/86400)</f>
        <v>1.6145833333333335E-2</v>
      </c>
      <c r="I3" t="str">
        <f t="shared" ref="I3:I66" ca="1" si="2">IF(OR(A3="",ISNUMBER(A3)),"","X")</f>
        <v>X</v>
      </c>
      <c r="J3" s="40" t="s">
        <v>139</v>
      </c>
    </row>
    <row r="4" spans="1:10" ht="14.25" x14ac:dyDescent="0.15">
      <c r="A4" s="17" t="str">
        <f t="shared" ca="1" si="0"/>
        <v>Paul Russell (RFW)</v>
      </c>
      <c r="B4" s="17">
        <v>0</v>
      </c>
      <c r="C4" s="18">
        <v>23</v>
      </c>
      <c r="D4" s="18">
        <v>35</v>
      </c>
      <c r="E4" s="18"/>
      <c r="F4" s="18"/>
      <c r="G4" s="19" t="str">
        <f ca="1">IF($A4="","",IF($I4="X",A4,CONCATENATE(VLOOKUP(A4,Competitors!$A$2:$I$650,3, FALSE)," ",VLOOKUP(A4,Competitors!$A$2:$I$650,2,FALSE))))</f>
        <v>Paul Russell (RFW)</v>
      </c>
      <c r="H4" s="20">
        <f t="shared" si="1"/>
        <v>1.6377314814814813E-2</v>
      </c>
      <c r="I4" t="str">
        <f t="shared" ca="1" si="2"/>
        <v>X</v>
      </c>
      <c r="J4" s="40" t="s">
        <v>244</v>
      </c>
    </row>
    <row r="5" spans="1:10" ht="14.25" x14ac:dyDescent="0.15">
      <c r="A5" s="17" t="str">
        <f t="shared" ca="1" si="0"/>
        <v>Chris Fowler (RFW)</v>
      </c>
      <c r="B5" s="17">
        <v>0</v>
      </c>
      <c r="C5" s="18">
        <v>23</v>
      </c>
      <c r="D5" s="18">
        <v>46</v>
      </c>
      <c r="E5" s="18" t="s">
        <v>170</v>
      </c>
      <c r="F5" s="18"/>
      <c r="G5" s="19" t="str">
        <f ca="1">IF($A5="","",IF($I5="X",A5,CONCATENATE(VLOOKUP(A5,Competitors!$A$2:$I$650,3, FALSE)," ",VLOOKUP(A5,Competitors!$A$2:$I$650,2,FALSE))))</f>
        <v>Chris Fowler (RFW)</v>
      </c>
      <c r="H5" s="20">
        <f t="shared" si="1"/>
        <v>1.650462962962963E-2</v>
      </c>
      <c r="I5" t="str">
        <f t="shared" ca="1" si="2"/>
        <v>X</v>
      </c>
      <c r="J5" s="40" t="s">
        <v>153</v>
      </c>
    </row>
    <row r="6" spans="1:10" ht="14.25" x14ac:dyDescent="0.15">
      <c r="A6" s="17">
        <f t="shared" ca="1" si="0"/>
        <v>747</v>
      </c>
      <c r="B6" s="17">
        <v>0</v>
      </c>
      <c r="C6" s="18">
        <v>23</v>
      </c>
      <c r="D6" s="18">
        <v>47</v>
      </c>
      <c r="E6" s="18"/>
      <c r="F6" s="18"/>
      <c r="G6" s="19" t="str">
        <f ca="1">IF($A6="","",IF($I6="X",A6,CONCATENATE(VLOOKUP(A6,Competitors!$A$2:$I$650,3, FALSE)," ",VLOOKUP(A6,Competitors!$A$2:$I$650,2,FALSE))))</f>
        <v>James Moore</v>
      </c>
      <c r="H6" s="20">
        <f t="shared" si="1"/>
        <v>1.6516203703703703E-2</v>
      </c>
      <c r="I6" t="str">
        <f t="shared" ca="1" si="2"/>
        <v/>
      </c>
      <c r="J6" s="40">
        <v>747</v>
      </c>
    </row>
    <row r="7" spans="1:10" ht="14.25" x14ac:dyDescent="0.15">
      <c r="A7" s="17" t="str">
        <f t="shared" ca="1" si="0"/>
        <v>Adam Wells (RFW)</v>
      </c>
      <c r="B7" s="17">
        <v>0</v>
      </c>
      <c r="C7" s="18">
        <v>24</v>
      </c>
      <c r="D7" s="18">
        <v>0</v>
      </c>
      <c r="E7" s="18"/>
      <c r="F7" s="18"/>
      <c r="G7" s="19" t="str">
        <f ca="1">IF($A7="","",IF($I7="X",A7,CONCATENATE(VLOOKUP(A7,Competitors!$A$2:$I$650,3, FALSE)," ",VLOOKUP(A7,Competitors!$A$2:$I$650,2,FALSE))))</f>
        <v>Adam Wells (RFW)</v>
      </c>
      <c r="H7" s="20">
        <f t="shared" si="1"/>
        <v>1.6666666666666666E-2</v>
      </c>
      <c r="I7" t="str">
        <f t="shared" ca="1" si="2"/>
        <v>X</v>
      </c>
      <c r="J7" s="40" t="s">
        <v>150</v>
      </c>
    </row>
    <row r="8" spans="1:10" ht="14.25" x14ac:dyDescent="0.15">
      <c r="A8" s="17" t="str">
        <f t="shared" ca="1" si="0"/>
        <v>Phil Wilkinson (RFW)</v>
      </c>
      <c r="B8" s="17">
        <v>0</v>
      </c>
      <c r="C8" s="18">
        <v>24</v>
      </c>
      <c r="D8" s="18">
        <v>16</v>
      </c>
      <c r="E8" s="18"/>
      <c r="F8" s="18"/>
      <c r="G8" s="19" t="str">
        <f ca="1">IF($A8="","",IF($I8="X",A8,CONCATENATE(VLOOKUP(A8,Competitors!$A$2:$I$650,3, FALSE)," ",VLOOKUP(A8,Competitors!$A$2:$I$650,2,FALSE))))</f>
        <v>Phil Wilkinson (RFW)</v>
      </c>
      <c r="H8" s="20">
        <f t="shared" si="1"/>
        <v>1.6851851851851851E-2</v>
      </c>
      <c r="I8" t="str">
        <f t="shared" ca="1" si="2"/>
        <v>X</v>
      </c>
      <c r="J8" s="40" t="s">
        <v>157</v>
      </c>
    </row>
    <row r="9" spans="1:10" ht="14.25" x14ac:dyDescent="0.15">
      <c r="A9" s="17">
        <f t="shared" ca="1" si="0"/>
        <v>699</v>
      </c>
      <c r="B9" s="17">
        <v>0</v>
      </c>
      <c r="C9" s="18">
        <v>24</v>
      </c>
      <c r="D9" s="18">
        <v>22</v>
      </c>
      <c r="E9" s="18"/>
      <c r="F9" s="18"/>
      <c r="G9" s="19" t="str">
        <f ca="1">IF($A9="","",IF($I9="X",A9,CONCATENATE(VLOOKUP(A9,Competitors!$A$2:$I$650,3, FALSE)," ",VLOOKUP(A9,Competitors!$A$2:$I$650,2,FALSE))))</f>
        <v>Jonathan Durnin</v>
      </c>
      <c r="H9" s="20">
        <f t="shared" si="1"/>
        <v>1.6921296296296295E-2</v>
      </c>
      <c r="I9" t="str">
        <f t="shared" ca="1" si="2"/>
        <v/>
      </c>
      <c r="J9" s="40">
        <v>699</v>
      </c>
    </row>
    <row r="10" spans="1:10" ht="14.25" x14ac:dyDescent="0.15">
      <c r="A10" s="17" t="str">
        <f t="shared" ca="1" si="0"/>
        <v>Jim Vernon</v>
      </c>
      <c r="B10" s="17">
        <v>0</v>
      </c>
      <c r="C10" s="18">
        <v>24</v>
      </c>
      <c r="D10" s="18">
        <v>34</v>
      </c>
      <c r="E10" s="18" t="s">
        <v>170</v>
      </c>
      <c r="F10" s="18"/>
      <c r="G10" s="19" t="str">
        <f ca="1">IF($A10="","",IF($I10="X",A10,CONCATENATE(VLOOKUP(A10,Competitors!$A$2:$I$650,3, FALSE)," ",VLOOKUP(A10,Competitors!$A$2:$I$650,2,FALSE))))</f>
        <v>Jim Vernon</v>
      </c>
      <c r="H10" s="20">
        <f t="shared" si="1"/>
        <v>1.7060185185185185E-2</v>
      </c>
      <c r="I10" t="str">
        <f t="shared" ca="1" si="2"/>
        <v>X</v>
      </c>
      <c r="J10" s="40" t="s">
        <v>245</v>
      </c>
    </row>
    <row r="11" spans="1:10" ht="14.25" x14ac:dyDescent="0.15">
      <c r="A11" s="17">
        <v>735</v>
      </c>
      <c r="B11" s="17">
        <v>0</v>
      </c>
      <c r="C11" s="18">
        <v>24</v>
      </c>
      <c r="D11" s="18">
        <v>45</v>
      </c>
      <c r="E11" s="18" t="s">
        <v>170</v>
      </c>
      <c r="F11" s="18"/>
      <c r="G11" s="19" t="str">
        <f>IF($A11="","",IF($I11="X",A11,CONCATENATE(VLOOKUP(A11,Competitors!$A$2:$I$650,3, FALSE)," ",VLOOKUP(A11,Competitors!$A$2:$I$650,2,FALSE))))</f>
        <v>Michael Burke</v>
      </c>
      <c r="H11" s="20">
        <f t="shared" si="1"/>
        <v>1.7187500000000001E-2</v>
      </c>
      <c r="I11" t="str">
        <f t="shared" si="2"/>
        <v/>
      </c>
      <c r="J11" s="40">
        <v>735</v>
      </c>
    </row>
    <row r="12" spans="1:10" ht="14.25" x14ac:dyDescent="0.15">
      <c r="A12" s="17">
        <f t="shared" ca="1" si="0"/>
        <v>1161</v>
      </c>
      <c r="B12" s="17">
        <v>0</v>
      </c>
      <c r="C12" s="18">
        <v>24</v>
      </c>
      <c r="D12" s="18">
        <v>53</v>
      </c>
      <c r="E12" s="18"/>
      <c r="F12" s="18"/>
      <c r="G12" s="19" t="str">
        <f ca="1">IF($A12="","",IF($I12="X",A12,CONCATENATE(VLOOKUP(A12,Competitors!$A$2:$I$650,3, FALSE)," ",VLOOKUP(A12,Competitors!$A$2:$I$650,2,FALSE))))</f>
        <v>Maciej Suchocki</v>
      </c>
      <c r="H12" s="20">
        <f t="shared" si="1"/>
        <v>1.7280092592592593E-2</v>
      </c>
      <c r="I12" t="str">
        <f t="shared" ca="1" si="2"/>
        <v/>
      </c>
      <c r="J12" s="40">
        <v>1161</v>
      </c>
    </row>
    <row r="13" spans="1:10" ht="14.25" x14ac:dyDescent="0.15">
      <c r="A13" s="17">
        <f t="shared" ca="1" si="0"/>
        <v>1166</v>
      </c>
      <c r="B13" s="17">
        <v>0</v>
      </c>
      <c r="C13" s="18">
        <v>25</v>
      </c>
      <c r="D13" s="18">
        <v>15</v>
      </c>
      <c r="E13" s="18"/>
      <c r="F13" s="18"/>
      <c r="G13" s="19" t="str">
        <f ca="1">IF($A13="","",IF($I13="X",A13,CONCATENATE(VLOOKUP(A13,Competitors!$A$2:$I$650,3, FALSE)," ",VLOOKUP(A13,Competitors!$A$2:$I$650,2,FALSE))))</f>
        <v>Ed Tarelli</v>
      </c>
      <c r="H13" s="20">
        <f t="shared" si="1"/>
        <v>1.7534722222222222E-2</v>
      </c>
      <c r="I13" t="str">
        <f t="shared" ca="1" si="2"/>
        <v/>
      </c>
      <c r="J13" s="40" t="s">
        <v>226</v>
      </c>
    </row>
    <row r="14" spans="1:10" ht="14.25" x14ac:dyDescent="0.15">
      <c r="A14" s="17">
        <f t="shared" ca="1" si="0"/>
        <v>967</v>
      </c>
      <c r="B14" s="17">
        <v>0</v>
      </c>
      <c r="C14" s="18">
        <v>25</v>
      </c>
      <c r="D14" s="18">
        <v>24</v>
      </c>
      <c r="E14" s="18" t="s">
        <v>170</v>
      </c>
      <c r="F14" s="18"/>
      <c r="G14" s="19" t="str">
        <f ca="1">IF($A14="","",IF($I14="X",A14,CONCATENATE(VLOOKUP(A14,Competitors!$A$2:$I$650,3, FALSE)," ",VLOOKUP(A14,Competitors!$A$2:$I$650,2,FALSE))))</f>
        <v>Daniel McDonnell</v>
      </c>
      <c r="H14" s="20">
        <f t="shared" si="1"/>
        <v>1.7638888888888888E-2</v>
      </c>
      <c r="I14" t="str">
        <f t="shared" ca="1" si="2"/>
        <v/>
      </c>
      <c r="J14" s="40">
        <v>967</v>
      </c>
    </row>
    <row r="15" spans="1:10" ht="14.25" x14ac:dyDescent="0.15">
      <c r="A15" s="17">
        <f t="shared" ca="1" si="0"/>
        <v>1109</v>
      </c>
      <c r="B15" s="17">
        <v>0</v>
      </c>
      <c r="C15" s="18">
        <v>26</v>
      </c>
      <c r="D15" s="18">
        <v>7</v>
      </c>
      <c r="E15" s="18"/>
      <c r="F15" s="18"/>
      <c r="G15" s="19" t="str">
        <f ca="1">IF($A15="","",IF($I15="X",A15,CONCATENATE(VLOOKUP(A15,Competitors!$A$2:$I$650,3, FALSE)," ",VLOOKUP(A15,Competitors!$A$2:$I$650,2,FALSE))))</f>
        <v>Stuart Haycox</v>
      </c>
      <c r="H15" s="20">
        <f t="shared" si="1"/>
        <v>1.8136574074074076E-2</v>
      </c>
      <c r="I15" t="str">
        <f t="shared" ca="1" si="2"/>
        <v/>
      </c>
      <c r="J15" s="40">
        <v>1109</v>
      </c>
    </row>
    <row r="16" spans="1:10" ht="14.25" x14ac:dyDescent="0.15">
      <c r="A16" s="17">
        <f t="shared" ca="1" si="0"/>
        <v>1237</v>
      </c>
      <c r="B16" s="17">
        <v>0</v>
      </c>
      <c r="C16" s="18">
        <v>26</v>
      </c>
      <c r="D16" s="18">
        <v>8</v>
      </c>
      <c r="E16" s="18" t="s">
        <v>170</v>
      </c>
      <c r="F16" s="18"/>
      <c r="G16" s="19" t="str">
        <f ca="1">IF($A16="","",IF($I16="X",A16,CONCATENATE(VLOOKUP(A16,Competitors!$A$2:$I$650,3, FALSE)," ",VLOOKUP(A16,Competitors!$A$2:$I$650,2,FALSE))))</f>
        <v>John Abbott</v>
      </c>
      <c r="H16" s="20">
        <f t="shared" si="1"/>
        <v>1.8148148148148149E-2</v>
      </c>
      <c r="I16" t="str">
        <f t="shared" ca="1" si="2"/>
        <v/>
      </c>
      <c r="J16" s="40">
        <v>1237</v>
      </c>
    </row>
    <row r="17" spans="1:10" ht="14.25" x14ac:dyDescent="0.15">
      <c r="A17" s="17">
        <f t="shared" ca="1" si="0"/>
        <v>1192</v>
      </c>
      <c r="B17" s="17">
        <v>0</v>
      </c>
      <c r="C17" s="18">
        <v>26</v>
      </c>
      <c r="D17" s="18">
        <v>9</v>
      </c>
      <c r="E17" s="18"/>
      <c r="F17" s="18"/>
      <c r="G17" s="19" t="str">
        <f ca="1">IF($A17="","",IF($I17="X",A17,CONCATENATE(VLOOKUP(A17,Competitors!$A$2:$I$650,3, FALSE)," ",VLOOKUP(A17,Competitors!$A$2:$I$650,2,FALSE))))</f>
        <v>Dale Norris</v>
      </c>
      <c r="H17" s="20">
        <f t="shared" si="1"/>
        <v>1.8159722222222223E-2</v>
      </c>
      <c r="I17" t="str">
        <f t="shared" ca="1" si="2"/>
        <v/>
      </c>
      <c r="J17" s="40">
        <v>1192</v>
      </c>
    </row>
    <row r="18" spans="1:10" ht="14.25" x14ac:dyDescent="0.15">
      <c r="A18" s="17" t="str">
        <f t="shared" ca="1" si="0"/>
        <v>Chris Bonsor (Ratae)</v>
      </c>
      <c r="B18" s="17">
        <v>0</v>
      </c>
      <c r="C18" s="18">
        <v>26</v>
      </c>
      <c r="D18" s="18">
        <v>35</v>
      </c>
      <c r="E18" s="18"/>
      <c r="F18" s="18"/>
      <c r="G18" s="19" t="str">
        <f ca="1">IF($A18="","",IF($I18="X",A18,CONCATENATE(VLOOKUP(A18,Competitors!$A$2:$I$650,3, FALSE)," ",VLOOKUP(A18,Competitors!$A$2:$I$650,2,FALSE))))</f>
        <v>Chris Bonsor (Ratae)</v>
      </c>
      <c r="H18" s="20">
        <f t="shared" si="1"/>
        <v>1.846064814814815E-2</v>
      </c>
      <c r="I18" t="str">
        <f t="shared" ca="1" si="2"/>
        <v>X</v>
      </c>
      <c r="J18" s="40" t="s">
        <v>141</v>
      </c>
    </row>
    <row r="19" spans="1:10" ht="14.25" x14ac:dyDescent="0.15">
      <c r="A19" s="17">
        <f t="shared" ca="1" si="0"/>
        <v>203</v>
      </c>
      <c r="B19" s="17">
        <v>0</v>
      </c>
      <c r="C19" s="18">
        <v>26</v>
      </c>
      <c r="D19" s="18">
        <v>50</v>
      </c>
      <c r="E19" s="18"/>
      <c r="F19" s="18"/>
      <c r="G19" s="19" t="str">
        <f ca="1">IF($A19="","",IF($I19="X",A19,CONCATENATE(VLOOKUP(A19,Competitors!$A$2:$I$650,3, FALSE)," ",VLOOKUP(A19,Competitors!$A$2:$I$650,2,FALSE))))</f>
        <v>Adrian Killworth</v>
      </c>
      <c r="H19" s="20">
        <f t="shared" si="1"/>
        <v>1.863425925925926E-2</v>
      </c>
      <c r="I19" t="str">
        <f t="shared" ca="1" si="2"/>
        <v/>
      </c>
      <c r="J19" s="40">
        <v>203</v>
      </c>
    </row>
    <row r="20" spans="1:10" ht="14.25" x14ac:dyDescent="0.15">
      <c r="A20" s="17" t="str">
        <f t="shared" ca="1" si="0"/>
        <v>Mark Newton (Ratae)</v>
      </c>
      <c r="B20" s="17">
        <v>0</v>
      </c>
      <c r="C20" s="18">
        <v>26</v>
      </c>
      <c r="D20" s="18">
        <v>52</v>
      </c>
      <c r="E20" s="18"/>
      <c r="F20" s="18"/>
      <c r="G20" s="19" t="str">
        <f ca="1">IF($A20="","",IF($I20="X",A20,CONCATENATE(VLOOKUP(A20,Competitors!$A$2:$I$650,3, FALSE)," ",VLOOKUP(A20,Competitors!$A$2:$I$650,2,FALSE))))</f>
        <v>Mark Newton (Ratae)</v>
      </c>
      <c r="H20" s="20">
        <f t="shared" si="1"/>
        <v>1.8657407407407407E-2</v>
      </c>
      <c r="I20" t="str">
        <f t="shared" ca="1" si="2"/>
        <v>X</v>
      </c>
      <c r="J20" s="40" t="s">
        <v>145</v>
      </c>
    </row>
    <row r="21" spans="1:10" ht="14.25" x14ac:dyDescent="0.15">
      <c r="A21" s="17">
        <f t="shared" ca="1" si="0"/>
        <v>1383</v>
      </c>
      <c r="B21" s="17">
        <v>0</v>
      </c>
      <c r="C21" s="18">
        <v>26</v>
      </c>
      <c r="D21" s="18">
        <v>54</v>
      </c>
      <c r="E21" s="18"/>
      <c r="F21" s="18"/>
      <c r="G21" s="19" t="str">
        <f ca="1">IF($A21="","",IF($I21="X",A21,CONCATENATE(VLOOKUP(A21,Competitors!$A$2:$I$650,3, FALSE)," ",VLOOKUP(A21,Competitors!$A$2:$I$650,2,FALSE))))</f>
        <v>Evan Collett</v>
      </c>
      <c r="H21" s="20">
        <f t="shared" si="1"/>
        <v>1.8680555555555554E-2</v>
      </c>
      <c r="I21" t="str">
        <f t="shared" ca="1" si="2"/>
        <v/>
      </c>
      <c r="J21" s="40">
        <v>1383</v>
      </c>
    </row>
    <row r="22" spans="1:10" ht="14.25" x14ac:dyDescent="0.15">
      <c r="A22" s="17" t="str">
        <f t="shared" ca="1" si="0"/>
        <v>Steve Pearce (Ratae)</v>
      </c>
      <c r="B22" s="17">
        <v>0</v>
      </c>
      <c r="C22" s="18">
        <v>26</v>
      </c>
      <c r="D22" s="18">
        <v>55</v>
      </c>
      <c r="E22" s="18"/>
      <c r="F22" s="18"/>
      <c r="G22" s="19" t="str">
        <f ca="1">IF($A22="","",IF($I22="X",A22,CONCATENATE(VLOOKUP(A22,Competitors!$A$2:$I$650,3, FALSE)," ",VLOOKUP(A22,Competitors!$A$2:$I$650,2,FALSE))))</f>
        <v>Steve Pearce (Ratae)</v>
      </c>
      <c r="H22" s="20">
        <f t="shared" si="1"/>
        <v>1.8692129629629628E-2</v>
      </c>
      <c r="I22" t="str">
        <f t="shared" ca="1" si="2"/>
        <v>X</v>
      </c>
      <c r="J22" s="40" t="s">
        <v>149</v>
      </c>
    </row>
    <row r="23" spans="1:10" ht="14.25" x14ac:dyDescent="0.15">
      <c r="A23" s="17">
        <f t="shared" ca="1" si="0"/>
        <v>1112</v>
      </c>
      <c r="B23" s="17">
        <v>0</v>
      </c>
      <c r="C23" s="18">
        <v>26</v>
      </c>
      <c r="D23" s="18">
        <v>58</v>
      </c>
      <c r="E23" s="18"/>
      <c r="F23" s="18"/>
      <c r="G23" s="19" t="str">
        <f ca="1">IF($A23="","",IF($I23="X",A23,CONCATENATE(VLOOKUP(A23,Competitors!$A$2:$I$650,3, FALSE)," ",VLOOKUP(A23,Competitors!$A$2:$I$650,2,FALSE))))</f>
        <v>Gary Ashwell</v>
      </c>
      <c r="H23" s="20">
        <f t="shared" si="1"/>
        <v>1.8726851851851852E-2</v>
      </c>
      <c r="I23" t="str">
        <f t="shared" ca="1" si="2"/>
        <v/>
      </c>
      <c r="J23" s="40">
        <v>1112</v>
      </c>
    </row>
    <row r="24" spans="1:10" ht="14.25" x14ac:dyDescent="0.15">
      <c r="A24" s="17">
        <f t="shared" ca="1" si="0"/>
        <v>23</v>
      </c>
      <c r="B24" s="17">
        <v>0</v>
      </c>
      <c r="C24" s="18">
        <v>27</v>
      </c>
      <c r="D24" s="18">
        <v>1</v>
      </c>
      <c r="E24" s="18"/>
      <c r="F24" s="18"/>
      <c r="G24" s="19" t="str">
        <f ca="1">IF($A24="","",IF($I24="X",A24,CONCATENATE(VLOOKUP(A24,Competitors!$A$2:$I$650,3, FALSE)," ",VLOOKUP(A24,Competitors!$A$2:$I$650,2,FALSE))))</f>
        <v>Chris Hyde</v>
      </c>
      <c r="H24" s="20">
        <f t="shared" si="1"/>
        <v>1.8761574074074073E-2</v>
      </c>
      <c r="I24" t="str">
        <f t="shared" ca="1" si="2"/>
        <v/>
      </c>
      <c r="J24" s="40">
        <v>23</v>
      </c>
    </row>
    <row r="25" spans="1:10" ht="14.25" x14ac:dyDescent="0.15">
      <c r="A25" s="17">
        <f t="shared" ca="1" si="0"/>
        <v>1107</v>
      </c>
      <c r="B25" s="17">
        <v>0</v>
      </c>
      <c r="C25" s="18">
        <v>27</v>
      </c>
      <c r="D25" s="18">
        <v>38</v>
      </c>
      <c r="E25" s="18" t="s">
        <v>170</v>
      </c>
      <c r="F25" s="18"/>
      <c r="G25" s="19" t="str">
        <f ca="1">IF($A25="","",IF($I25="X",A25,CONCATENATE(VLOOKUP(A25,Competitors!$A$2:$I$650,3, FALSE)," ",VLOOKUP(A25,Competitors!$A$2:$I$650,2,FALSE))))</f>
        <v>Milly Pinnock</v>
      </c>
      <c r="H25" s="20">
        <f t="shared" si="1"/>
        <v>1.9189814814814816E-2</v>
      </c>
      <c r="I25" t="str">
        <f t="shared" ca="1" si="2"/>
        <v/>
      </c>
      <c r="J25" s="40">
        <v>1107</v>
      </c>
    </row>
    <row r="26" spans="1:10" ht="14.25" x14ac:dyDescent="0.15">
      <c r="A26" s="17" t="str">
        <f t="shared" ca="1" si="0"/>
        <v>Marshall Briggs (Ratae)</v>
      </c>
      <c r="B26" s="17">
        <v>0</v>
      </c>
      <c r="C26" s="18">
        <v>27</v>
      </c>
      <c r="D26" s="18">
        <v>48</v>
      </c>
      <c r="E26" s="18" t="s">
        <v>170</v>
      </c>
      <c r="F26" s="18"/>
      <c r="G26" s="19" t="str">
        <f ca="1">IF($A26="","",IF($I26="X",A26,CONCATENATE(VLOOKUP(A26,Competitors!$A$2:$I$650,3, FALSE)," ",VLOOKUP(A26,Competitors!$A$2:$I$650,2,FALSE))))</f>
        <v>Marshall Briggs (Ratae)</v>
      </c>
      <c r="H26" s="20">
        <f t="shared" si="1"/>
        <v>1.9305555555555555E-2</v>
      </c>
      <c r="I26" t="str">
        <f t="shared" ca="1" si="2"/>
        <v>X</v>
      </c>
      <c r="J26" s="40" t="s">
        <v>146</v>
      </c>
    </row>
    <row r="27" spans="1:10" ht="14.25" x14ac:dyDescent="0.15">
      <c r="A27" s="17" t="str">
        <f t="shared" ca="1" si="0"/>
        <v>Mark Marmoy (Ratae)</v>
      </c>
      <c r="B27" s="17">
        <v>0</v>
      </c>
      <c r="C27" s="18">
        <v>28</v>
      </c>
      <c r="D27" s="18">
        <v>1</v>
      </c>
      <c r="E27" s="18" t="s">
        <v>170</v>
      </c>
      <c r="F27" s="18"/>
      <c r="G27" s="19" t="str">
        <f ca="1">IF($A27="","",IF($I27="X",A27,CONCATENATE(VLOOKUP(A27,Competitors!$A$2:$I$650,3, FALSE)," ",VLOOKUP(A27,Competitors!$A$2:$I$650,2,FALSE))))</f>
        <v>Mark Marmoy (Ratae)</v>
      </c>
      <c r="H27" s="20">
        <f t="shared" si="1"/>
        <v>1.9456018518518518E-2</v>
      </c>
      <c r="I27" t="str">
        <f t="shared" ca="1" si="2"/>
        <v>X</v>
      </c>
      <c r="J27" s="40" t="s">
        <v>144</v>
      </c>
    </row>
    <row r="28" spans="1:10" ht="14.25" x14ac:dyDescent="0.15">
      <c r="A28" s="17">
        <f t="shared" ca="1" si="0"/>
        <v>1254</v>
      </c>
      <c r="B28" s="17">
        <v>0</v>
      </c>
      <c r="C28" s="18">
        <v>28</v>
      </c>
      <c r="D28" s="18">
        <v>8</v>
      </c>
      <c r="E28" s="18" t="s">
        <v>170</v>
      </c>
      <c r="F28" s="18"/>
      <c r="G28" s="19" t="str">
        <f ca="1">IF($A28="","",IF($I28="X",A28,CONCATENATE(VLOOKUP(A28,Competitors!$A$2:$I$650,3, FALSE)," ",VLOOKUP(A28,Competitors!$A$2:$I$650,2,FALSE))))</f>
        <v>Paul White</v>
      </c>
      <c r="H28" s="20">
        <f t="shared" si="1"/>
        <v>1.9537037037037037E-2</v>
      </c>
      <c r="I28" t="str">
        <f t="shared" ca="1" si="2"/>
        <v/>
      </c>
      <c r="J28" s="40">
        <v>1254</v>
      </c>
    </row>
    <row r="29" spans="1:10" ht="14.25" x14ac:dyDescent="0.15">
      <c r="A29" s="17">
        <f t="shared" ca="1" si="0"/>
        <v>674</v>
      </c>
      <c r="B29" s="17">
        <v>0</v>
      </c>
      <c r="C29" s="18">
        <v>28</v>
      </c>
      <c r="D29" s="18">
        <v>11</v>
      </c>
      <c r="E29" s="18"/>
      <c r="F29" s="18"/>
      <c r="G29" s="19" t="str">
        <f ca="1">IF($A29="","",IF($I29="X",A29,CONCATENATE(VLOOKUP(A29,Competitors!$A$2:$I$650,3, FALSE)," ",VLOOKUP(A29,Competitors!$A$2:$I$650,2,FALSE))))</f>
        <v>Jennifer Clegg</v>
      </c>
      <c r="H29" s="20">
        <f t="shared" si="1"/>
        <v>1.9571759259259261E-2</v>
      </c>
      <c r="I29" t="str">
        <f t="shared" ca="1" si="2"/>
        <v/>
      </c>
      <c r="J29" s="40">
        <v>674</v>
      </c>
    </row>
    <row r="30" spans="1:10" ht="14.25" x14ac:dyDescent="0.15">
      <c r="A30" s="17" t="str">
        <f t="shared" ca="1" si="0"/>
        <v>Jonathon Clarke (Ratae)</v>
      </c>
      <c r="B30" s="17">
        <v>0</v>
      </c>
      <c r="C30" s="18">
        <v>28</v>
      </c>
      <c r="D30" s="18">
        <v>14</v>
      </c>
      <c r="E30" s="18"/>
      <c r="F30" s="18"/>
      <c r="G30" s="19" t="str">
        <f ca="1">IF($A30="","",IF($I30="X",A30,CONCATENATE(VLOOKUP(A30,Competitors!$A$2:$I$650,3, FALSE)," ",VLOOKUP(A30,Competitors!$A$2:$I$650,2,FALSE))))</f>
        <v>Jonathon Clarke (Ratae)</v>
      </c>
      <c r="H30" s="20">
        <f t="shared" si="1"/>
        <v>1.9606481481481482E-2</v>
      </c>
      <c r="I30" t="str">
        <f t="shared" ca="1" si="2"/>
        <v>X</v>
      </c>
      <c r="J30" s="40" t="s">
        <v>246</v>
      </c>
    </row>
    <row r="31" spans="1:10" ht="14.25" x14ac:dyDescent="0.15">
      <c r="A31" s="17">
        <f t="shared" ca="1" si="0"/>
        <v>1195</v>
      </c>
      <c r="B31" s="17">
        <v>0</v>
      </c>
      <c r="C31" s="18">
        <v>28</v>
      </c>
      <c r="D31" s="18">
        <v>58</v>
      </c>
      <c r="E31" s="18" t="s">
        <v>170</v>
      </c>
      <c r="F31" s="18"/>
      <c r="G31" s="19" t="str">
        <f ca="1">IF($A31="","",IF($I31="X",A31,CONCATENATE(VLOOKUP(A31,Competitors!$A$2:$I$650,3, FALSE)," ",VLOOKUP(A31,Competitors!$A$2:$I$650,2,FALSE))))</f>
        <v>Charlie Hardwicke</v>
      </c>
      <c r="H31" s="20">
        <f t="shared" si="1"/>
        <v>2.011574074074074E-2</v>
      </c>
      <c r="I31" t="str">
        <f t="shared" ca="1" si="2"/>
        <v/>
      </c>
      <c r="J31" s="40">
        <v>1195</v>
      </c>
    </row>
    <row r="32" spans="1:10" ht="14.25" x14ac:dyDescent="0.15">
      <c r="A32" s="17">
        <f t="shared" ca="1" si="0"/>
        <v>704</v>
      </c>
      <c r="B32" s="17">
        <v>0</v>
      </c>
      <c r="C32" s="18">
        <v>29</v>
      </c>
      <c r="D32" s="18">
        <v>12</v>
      </c>
      <c r="E32" s="18" t="s">
        <v>170</v>
      </c>
      <c r="F32" s="18"/>
      <c r="G32" s="19" t="str">
        <f ca="1">IF($A32="","",IF($I32="X",A32,CONCATENATE(VLOOKUP(A32,Competitors!$A$2:$I$650,3, FALSE)," ",VLOOKUP(A32,Competitors!$A$2:$I$650,2,FALSE))))</f>
        <v>Chris Dainty</v>
      </c>
      <c r="H32" s="20">
        <f t="shared" si="1"/>
        <v>2.0277777777777777E-2</v>
      </c>
      <c r="I32" t="str">
        <f t="shared" ca="1" si="2"/>
        <v/>
      </c>
      <c r="J32" s="40">
        <v>704</v>
      </c>
    </row>
    <row r="33" spans="1:10" ht="14.25" x14ac:dyDescent="0.15">
      <c r="A33" s="17" t="str">
        <f t="shared" ca="1" si="0"/>
        <v>Lynne Scofield (RFW)</v>
      </c>
      <c r="B33" s="17">
        <v>0</v>
      </c>
      <c r="C33" s="18">
        <v>29</v>
      </c>
      <c r="D33" s="18">
        <v>17</v>
      </c>
      <c r="E33" s="18"/>
      <c r="F33" s="18"/>
      <c r="G33" s="19" t="str">
        <f ca="1">IF($A33="","",IF($I33="X",A33,CONCATENATE(VLOOKUP(A33,Competitors!$A$2:$I$650,3, FALSE)," ",VLOOKUP(A33,Competitors!$A$2:$I$650,2,FALSE))))</f>
        <v>Lynne Scofield (RFW)</v>
      </c>
      <c r="H33" s="20">
        <f t="shared" si="1"/>
        <v>2.0335648148148148E-2</v>
      </c>
      <c r="I33" t="str">
        <f t="shared" ca="1" si="2"/>
        <v>X</v>
      </c>
      <c r="J33" s="40" t="s">
        <v>155</v>
      </c>
    </row>
    <row r="34" spans="1:10" ht="14.25" x14ac:dyDescent="0.15">
      <c r="A34" s="17">
        <f t="shared" ref="A34:A65" ca="1" si="3">IF(J34="","",_xlfn.XLOOKUP(J34,ClubNames,ClubNumbers,_xlfn.XLOOKUP(J34,RoundRobinRiderNames,RoundRobinRiderDecoratedNames,J34)))</f>
        <v>1386</v>
      </c>
      <c r="B34" s="17">
        <v>0</v>
      </c>
      <c r="C34" s="18">
        <v>30</v>
      </c>
      <c r="D34" s="18">
        <v>16</v>
      </c>
      <c r="E34" s="18" t="s">
        <v>170</v>
      </c>
      <c r="F34" s="18"/>
      <c r="G34" s="19" t="str">
        <f ca="1">IF($A34="","",IF($I34="X",A34,CONCATENATE(VLOOKUP(A34,Competitors!$A$2:$I$650,3, FALSE)," ",VLOOKUP(A34,Competitors!$A$2:$I$650,2,FALSE))))</f>
        <v>Mea Moore</v>
      </c>
      <c r="H34" s="20">
        <f t="shared" si="1"/>
        <v>2.101851851851852E-2</v>
      </c>
      <c r="I34" t="str">
        <f t="shared" ca="1" si="2"/>
        <v/>
      </c>
      <c r="J34" s="40">
        <v>1386</v>
      </c>
    </row>
    <row r="35" spans="1:10" ht="14.25" x14ac:dyDescent="0.15">
      <c r="A35" s="17">
        <f t="shared" ca="1" si="3"/>
        <v>1332</v>
      </c>
      <c r="B35" s="17">
        <v>0</v>
      </c>
      <c r="C35" s="18">
        <v>30</v>
      </c>
      <c r="D35" s="18">
        <v>56</v>
      </c>
      <c r="E35" s="18" t="s">
        <v>170</v>
      </c>
      <c r="F35" s="18"/>
      <c r="G35" s="19" t="str">
        <f ca="1">IF($A35="","",IF($I35="X",A35,CONCATENATE(VLOOKUP(A35,Competitors!$A$2:$I$650,3, FALSE)," ",VLOOKUP(A35,Competitors!$A$2:$I$650,2,FALSE))))</f>
        <v>Jo Eaton</v>
      </c>
      <c r="H35" s="20">
        <f t="shared" si="1"/>
        <v>2.148148148148148E-2</v>
      </c>
      <c r="I35" t="str">
        <f t="shared" ca="1" si="2"/>
        <v/>
      </c>
      <c r="J35" s="40">
        <v>1332</v>
      </c>
    </row>
    <row r="36" spans="1:10" ht="14.25" x14ac:dyDescent="0.15">
      <c r="A36" s="17">
        <f t="shared" ca="1" si="3"/>
        <v>7</v>
      </c>
      <c r="B36" s="17">
        <v>0</v>
      </c>
      <c r="C36" s="18">
        <v>32</v>
      </c>
      <c r="D36" s="18">
        <v>15</v>
      </c>
      <c r="E36" s="18"/>
      <c r="F36" s="18"/>
      <c r="G36" s="19" t="str">
        <f ca="1">IF($A36="","",IF($I36="X",A36,CONCATENATE(VLOOKUP(A36,Competitors!$A$2:$I$650,3, FALSE)," ",VLOOKUP(A36,Competitors!$A$2:$I$650,2,FALSE))))</f>
        <v>Vic Barnett</v>
      </c>
      <c r="H36" s="20">
        <f t="shared" si="1"/>
        <v>2.2395833333333334E-2</v>
      </c>
      <c r="I36" t="str">
        <f t="shared" ca="1" si="2"/>
        <v/>
      </c>
      <c r="J36" s="40">
        <v>7</v>
      </c>
    </row>
    <row r="37" spans="1:10" ht="14.25" x14ac:dyDescent="0.15">
      <c r="A37" s="17">
        <f t="shared" ca="1" si="3"/>
        <v>935</v>
      </c>
      <c r="B37" s="17">
        <v>0</v>
      </c>
      <c r="C37" s="18">
        <v>33</v>
      </c>
      <c r="D37" s="18">
        <v>31</v>
      </c>
      <c r="E37" s="18"/>
      <c r="F37" s="18"/>
      <c r="G37" s="19" t="str">
        <f ca="1">IF($A37="","",IF($I37="X",A37,CONCATENATE(VLOOKUP(A37,Competitors!$A$2:$I$650,3, FALSE)," ",VLOOKUP(A37,Competitors!$A$2:$I$650,2,FALSE))))</f>
        <v>Sophie Ward</v>
      </c>
      <c r="H37" s="20">
        <f t="shared" si="1"/>
        <v>2.3275462962962963E-2</v>
      </c>
      <c r="I37" t="str">
        <f t="shared" ca="1" si="2"/>
        <v/>
      </c>
      <c r="J37" s="40">
        <v>935</v>
      </c>
    </row>
    <row r="38" spans="1:10" ht="14.25" x14ac:dyDescent="0.15">
      <c r="A38" s="17" t="str">
        <f t="shared" ca="1" si="3"/>
        <v/>
      </c>
      <c r="B38" s="17"/>
      <c r="C38" s="18"/>
      <c r="D38" s="18"/>
      <c r="E38" s="18"/>
      <c r="F38" s="18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8"/>
      <c r="D39" s="18"/>
      <c r="E39" s="18"/>
      <c r="F39" s="18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8"/>
      <c r="D40" s="18"/>
      <c r="E40" s="18"/>
      <c r="F40" s="18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8"/>
      <c r="D41" s="18"/>
      <c r="E41" s="18"/>
      <c r="F41" s="18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8"/>
      <c r="D42" s="18"/>
      <c r="E42" s="18"/>
      <c r="F42" s="18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8"/>
      <c r="D43" s="18"/>
      <c r="E43" s="18"/>
      <c r="F43" s="18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8"/>
      <c r="D44" s="18"/>
      <c r="E44" s="18"/>
      <c r="F44" s="18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8"/>
      <c r="D45" s="18"/>
      <c r="E45" s="18"/>
      <c r="F45" s="18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8"/>
      <c r="D46" s="18"/>
      <c r="E46" s="18"/>
      <c r="F46" s="18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8"/>
      <c r="D47" s="18"/>
      <c r="E47" s="18"/>
      <c r="F47" s="18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8"/>
      <c r="D48" s="18"/>
      <c r="E48" s="18"/>
      <c r="F48" s="18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8"/>
      <c r="D49" s="18"/>
      <c r="E49" s="18"/>
      <c r="F49" s="18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8"/>
      <c r="D50" s="18"/>
      <c r="E50" s="18"/>
      <c r="F50" s="18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8"/>
      <c r="D51" s="18"/>
      <c r="E51" s="18"/>
      <c r="F51" s="18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8"/>
      <c r="D52" s="18"/>
      <c r="E52" s="18"/>
      <c r="F52" s="18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8"/>
      <c r="D53" s="18"/>
      <c r="E53" s="18"/>
      <c r="F53" s="18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8"/>
      <c r="D54" s="18"/>
      <c r="E54" s="18"/>
      <c r="F54" s="18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8"/>
      <c r="D55" s="18"/>
      <c r="E55" s="18"/>
      <c r="F55" s="18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8"/>
      <c r="D56" s="18"/>
      <c r="E56" s="18"/>
      <c r="F56" s="18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8"/>
      <c r="D57" s="18"/>
      <c r="E57" s="18"/>
      <c r="F57" s="18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8"/>
      <c r="D58" s="18"/>
      <c r="E58" s="18"/>
      <c r="F58" s="18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8"/>
      <c r="D59" s="18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8"/>
      <c r="D60" s="18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8"/>
      <c r="D61" s="18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8"/>
      <c r="D62" s="18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8"/>
      <c r="D63" s="18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8"/>
      <c r="D64" s="18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8"/>
      <c r="D65" s="18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18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8"/>
      <c r="D67" s="18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8"/>
      <c r="D68" s="18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8"/>
      <c r="D69" s="18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8"/>
      <c r="D70" s="18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8"/>
      <c r="D71" s="18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8"/>
      <c r="D72" s="18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8"/>
      <c r="D73" s="18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8"/>
      <c r="D74" s="18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8"/>
      <c r="D75" s="18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8"/>
      <c r="D76" s="18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8"/>
      <c r="D77" s="18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8"/>
      <c r="D78" s="18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8"/>
      <c r="D79" s="18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8"/>
      <c r="D80" s="18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8"/>
      <c r="D81" s="18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8"/>
      <c r="D82" s="18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8"/>
      <c r="D83" s="18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8"/>
      <c r="D84" s="18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8"/>
      <c r="D85" s="18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8"/>
      <c r="D86" s="18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8"/>
      <c r="D87" s="18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8"/>
      <c r="D88" s="18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8"/>
      <c r="D89" s="18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8"/>
      <c r="D90" s="18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8"/>
      <c r="D91" s="18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8"/>
      <c r="D92" s="18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8"/>
      <c r="D93" s="18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8"/>
      <c r="D94" s="18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8"/>
      <c r="D95" s="18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8"/>
      <c r="D96" s="18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8"/>
      <c r="D97" s="18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8"/>
      <c r="D98" s="18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8"/>
      <c r="D99" s="18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8"/>
      <c r="D100" s="18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8"/>
      <c r="D101" s="18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26" priority="1">
      <formula>TEXT($B$104,"@")="Y"</formula>
    </cfRule>
  </conditionalFormatting>
  <conditionalFormatting sqref="G2:H101">
    <cfRule type="expression" dxfId="25" priority="3">
      <formula>$I2="X"</formula>
    </cfRule>
  </conditionalFormatting>
  <conditionalFormatting sqref="H2:H101">
    <cfRule type="expression" dxfId="24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DDAB-F31C-418D-A66B-A7B054A8871C}">
  <sheetPr codeName="Sheet20"/>
  <dimension ref="A1:J104"/>
  <sheetViews>
    <sheetView zoomScale="75" zoomScaleNormal="75" workbookViewId="0">
      <selection activeCell="A49" sqref="A49"/>
    </sheetView>
  </sheetViews>
  <sheetFormatPr defaultColWidth="9.16796875" defaultRowHeight="12.75" x14ac:dyDescent="0.15"/>
  <cols>
    <col min="1" max="1" width="31.6875" bestFit="1" customWidth="1"/>
    <col min="2" max="4" width="4.71875" customWidth="1"/>
    <col min="5" max="6" width="11.0546875" customWidth="1"/>
    <col min="7" max="7" width="32.90234375" customWidth="1"/>
    <col min="8" max="8" width="14.6953125" style="23" bestFit="1" customWidth="1"/>
    <col min="9" max="9" width="19.28125" bestFit="1" customWidth="1"/>
    <col min="10" max="10" width="15.50781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 t="str">
        <f t="shared" ref="A2:A33" ca="1" si="0">IF(J2="","",_xlfn.XLOOKUP(J2,ClubNames,ClubNumbers,_xlfn.XLOOKUP(J2,RoundRobinRiderNames,RoundRobinRiderDecoratedNames,J2)))</f>
        <v>Oliver Searle (St Ives CC)</v>
      </c>
      <c r="B2" s="17">
        <v>0</v>
      </c>
      <c r="C2" s="18">
        <v>20</v>
      </c>
      <c r="D2" s="18">
        <v>53</v>
      </c>
      <c r="E2" s="18"/>
      <c r="F2" s="18"/>
      <c r="G2" s="19" t="str">
        <f ca="1">IF($A2="","",IF($I2="X",A2,CONCATENATE(VLOOKUP(A2,Competitors!$A$2:$I$650,3, FALSE)," ",VLOOKUP(A2,Competitors!$A$2:$I$650,2,FALSE))))</f>
        <v>Oliver Searle (St Ives CC)</v>
      </c>
      <c r="H2" s="20">
        <f>IF(LEFT($E2,1)="D",UPPER($E2),(B2*3600+C2*60+D2)/86400)</f>
        <v>1.4502314814814815E-2</v>
      </c>
      <c r="I2" t="str">
        <f ca="1">IF(OR(A2="",ISNUMBER(A2)),"","X")</f>
        <v>X</v>
      </c>
      <c r="J2" s="40" t="s">
        <v>162</v>
      </c>
    </row>
    <row r="3" spans="1:10" ht="14.25" x14ac:dyDescent="0.15">
      <c r="A3" s="17" t="str">
        <f t="shared" ca="1" si="0"/>
        <v>Carl Shaw (Speedhub)</v>
      </c>
      <c r="B3" s="17">
        <v>0</v>
      </c>
      <c r="C3" s="18">
        <v>21</v>
      </c>
      <c r="D3" s="18">
        <v>19</v>
      </c>
      <c r="E3" s="18"/>
      <c r="F3" s="18"/>
      <c r="G3" s="19" t="str">
        <f ca="1">IF($A3="","",IF($I3="X",A3,CONCATENATE(VLOOKUP(A3,Competitors!$A$2:$I$650,3, FALSE)," ",VLOOKUP(A3,Competitors!$A$2:$I$650,2,FALSE))))</f>
        <v>Carl Shaw (Speedhub)</v>
      </c>
      <c r="H3" s="20">
        <f t="shared" ref="H3:H66" si="1">IF(LEFT($E3,1)="D",UPPER($E3),(B3*3600+C3*60+D3)/86400)</f>
        <v>1.480324074074074E-2</v>
      </c>
      <c r="I3" t="str">
        <f t="shared" ref="I3:I66" ca="1" si="2">IF(OR(A3="",ISNUMBER(A3)),"","X")</f>
        <v>X</v>
      </c>
      <c r="J3" s="40" t="s">
        <v>160</v>
      </c>
    </row>
    <row r="4" spans="1:10" ht="14.25" x14ac:dyDescent="0.15">
      <c r="A4" s="17" t="str">
        <f t="shared" ca="1" si="0"/>
        <v>Tommy Nolan (Ashby ICC)</v>
      </c>
      <c r="B4" s="17">
        <v>0</v>
      </c>
      <c r="C4" s="18">
        <v>21</v>
      </c>
      <c r="D4" s="18">
        <v>26</v>
      </c>
      <c r="E4" s="18"/>
      <c r="F4" s="18"/>
      <c r="G4" s="19" t="str">
        <f ca="1">IF($A4="","",IF($I4="X",A4,CONCATENATE(VLOOKUP(A4,Competitors!$A$2:$I$650,3, FALSE)," ",VLOOKUP(A4,Competitors!$A$2:$I$650,2,FALSE))))</f>
        <v>Tommy Nolan (Ashby ICC)</v>
      </c>
      <c r="H4" s="20">
        <f t="shared" si="1"/>
        <v>1.4884259259259259E-2</v>
      </c>
      <c r="I4" t="str">
        <f t="shared" ca="1" si="2"/>
        <v>X</v>
      </c>
      <c r="J4" s="40" t="s">
        <v>118</v>
      </c>
    </row>
    <row r="5" spans="1:10" ht="14.25" x14ac:dyDescent="0.15">
      <c r="A5" s="17" t="str">
        <f t="shared" ca="1" si="0"/>
        <v>Joe Murray (M I Racing) (HCRC)</v>
      </c>
      <c r="B5" s="17">
        <v>0</v>
      </c>
      <c r="C5" s="18">
        <v>21</v>
      </c>
      <c r="D5" s="18">
        <v>57</v>
      </c>
      <c r="E5" s="18"/>
      <c r="F5" s="18"/>
      <c r="G5" s="19" t="str">
        <f ca="1">IF($A5="","",IF($I5="X",A5,CONCATENATE(VLOOKUP(A5,Competitors!$A$2:$I$650,3, FALSE)," ",VLOOKUP(A5,Competitors!$A$2:$I$650,2,FALSE))))</f>
        <v>Joe Murray (M I Racing) (HCRC)</v>
      </c>
      <c r="H5" s="20">
        <f t="shared" si="1"/>
        <v>1.5243055555555555E-2</v>
      </c>
      <c r="I5" t="str">
        <f t="shared" ca="1" si="2"/>
        <v>X</v>
      </c>
      <c r="J5" s="40" t="s">
        <v>662</v>
      </c>
    </row>
    <row r="6" spans="1:10" ht="14.25" x14ac:dyDescent="0.15">
      <c r="A6" s="17" t="str">
        <f t="shared" ca="1" si="0"/>
        <v>Carl Dyson (Aerologic)</v>
      </c>
      <c r="B6" s="17">
        <v>0</v>
      </c>
      <c r="C6" s="18">
        <v>21</v>
      </c>
      <c r="D6" s="18">
        <v>59</v>
      </c>
      <c r="E6" s="18"/>
      <c r="F6" s="18"/>
      <c r="G6" s="19" t="str">
        <f ca="1">IF($A6="","",IF($I6="X",A6,CONCATENATE(VLOOKUP(A6,Competitors!$A$2:$I$650,3, FALSE)," ",VLOOKUP(A6,Competitors!$A$2:$I$650,2,FALSE))))</f>
        <v>Carl Dyson (Aerologic)</v>
      </c>
      <c r="H6" s="20">
        <f t="shared" si="1"/>
        <v>1.5266203703703704E-2</v>
      </c>
      <c r="I6" t="str">
        <f t="shared" ca="1" si="2"/>
        <v>X</v>
      </c>
      <c r="J6" s="40" t="s">
        <v>116</v>
      </c>
    </row>
    <row r="7" spans="1:10" ht="14.25" x14ac:dyDescent="0.15">
      <c r="A7" s="17" t="str">
        <f t="shared" ca="1" si="0"/>
        <v>Adam Wells (RFW)</v>
      </c>
      <c r="B7" s="17">
        <v>0</v>
      </c>
      <c r="C7" s="18">
        <v>22</v>
      </c>
      <c r="D7" s="18">
        <v>10</v>
      </c>
      <c r="E7" s="18"/>
      <c r="F7" s="18"/>
      <c r="G7" s="19" t="str">
        <f ca="1">IF($A7="","",IF($I7="X",A7,CONCATENATE(VLOOKUP(A7,Competitors!$A$2:$I$650,3, FALSE)," ",VLOOKUP(A7,Competitors!$A$2:$I$650,2,FALSE))))</f>
        <v>Adam Wells (RFW)</v>
      </c>
      <c r="H7" s="20">
        <f t="shared" si="1"/>
        <v>1.5393518518518518E-2</v>
      </c>
      <c r="I7" t="str">
        <f t="shared" ca="1" si="2"/>
        <v>X</v>
      </c>
      <c r="J7" s="40" t="s">
        <v>150</v>
      </c>
    </row>
    <row r="8" spans="1:10" ht="14.25" x14ac:dyDescent="0.15">
      <c r="A8" s="17">
        <f t="shared" ca="1" si="0"/>
        <v>407</v>
      </c>
      <c r="B8" s="17">
        <v>0</v>
      </c>
      <c r="C8" s="18">
        <v>22</v>
      </c>
      <c r="D8" s="18">
        <v>12</v>
      </c>
      <c r="E8" s="18"/>
      <c r="F8" s="18"/>
      <c r="G8" s="19" t="str">
        <f ca="1">IF($A8="","",IF($I8="X",A8,CONCATENATE(VLOOKUP(A8,Competitors!$A$2:$I$650,3, FALSE)," ",VLOOKUP(A8,Competitors!$A$2:$I$650,2,FALSE))))</f>
        <v>Hans van Nierop</v>
      </c>
      <c r="H8" s="20">
        <f t="shared" si="1"/>
        <v>1.5416666666666667E-2</v>
      </c>
      <c r="I8" t="str">
        <f t="shared" ca="1" si="2"/>
        <v/>
      </c>
      <c r="J8" s="40">
        <v>407</v>
      </c>
    </row>
    <row r="9" spans="1:10" ht="14.25" x14ac:dyDescent="0.15">
      <c r="A9" s="17">
        <f t="shared" ca="1" si="0"/>
        <v>747</v>
      </c>
      <c r="B9" s="17">
        <v>0</v>
      </c>
      <c r="C9" s="18">
        <v>22</v>
      </c>
      <c r="D9" s="18">
        <v>26</v>
      </c>
      <c r="E9" s="18"/>
      <c r="F9" s="18"/>
      <c r="G9" s="19" t="str">
        <f ca="1">IF($A9="","",IF($I9="X",A9,CONCATENATE(VLOOKUP(A9,Competitors!$A$2:$I$650,3, FALSE)," ",VLOOKUP(A9,Competitors!$A$2:$I$650,2,FALSE))))</f>
        <v>James Moore</v>
      </c>
      <c r="H9" s="20">
        <f t="shared" si="1"/>
        <v>1.5578703703703704E-2</v>
      </c>
      <c r="I9" t="str">
        <f t="shared" ca="1" si="2"/>
        <v/>
      </c>
      <c r="J9" s="40">
        <v>747</v>
      </c>
    </row>
    <row r="10" spans="1:10" ht="14.25" x14ac:dyDescent="0.15">
      <c r="A10" s="17" t="str">
        <f t="shared" ca="1" si="0"/>
        <v>Talles Medevives (LFCC)</v>
      </c>
      <c r="B10" s="17">
        <v>0</v>
      </c>
      <c r="C10" s="18">
        <v>22</v>
      </c>
      <c r="D10" s="18">
        <v>30</v>
      </c>
      <c r="E10" s="18"/>
      <c r="F10" s="18"/>
      <c r="G10" s="19" t="str">
        <f ca="1">IF($A10="","",IF($I10="X",A10,CONCATENATE(VLOOKUP(A10,Competitors!$A$2:$I$650,3, FALSE)," ",VLOOKUP(A10,Competitors!$A$2:$I$650,2,FALSE))))</f>
        <v>Talles Medevives (LFCC)</v>
      </c>
      <c r="H10" s="20">
        <f t="shared" si="1"/>
        <v>1.5625E-2</v>
      </c>
      <c r="I10" t="str">
        <f t="shared" ca="1" si="2"/>
        <v>X</v>
      </c>
      <c r="J10" s="40" t="s">
        <v>130</v>
      </c>
    </row>
    <row r="11" spans="1:10" ht="14.25" x14ac:dyDescent="0.15">
      <c r="A11" s="17" t="str">
        <f t="shared" ca="1" si="0"/>
        <v>Phil Wilkinson (RFW)</v>
      </c>
      <c r="B11" s="17">
        <v>0</v>
      </c>
      <c r="C11" s="18">
        <v>22</v>
      </c>
      <c r="D11" s="18">
        <v>50</v>
      </c>
      <c r="E11" s="18"/>
      <c r="F11" s="18"/>
      <c r="G11" s="19" t="str">
        <f ca="1">IF($A11="","",IF($I11="X",A11,CONCATENATE(VLOOKUP(A11,Competitors!$A$2:$I$650,3, FALSE)," ",VLOOKUP(A11,Competitors!$A$2:$I$650,2,FALSE))))</f>
        <v>Phil Wilkinson (RFW)</v>
      </c>
      <c r="H11" s="20">
        <f t="shared" si="1"/>
        <v>1.5856481481481482E-2</v>
      </c>
      <c r="I11" t="str">
        <f t="shared" ca="1" si="2"/>
        <v>X</v>
      </c>
      <c r="J11" s="40" t="s">
        <v>157</v>
      </c>
    </row>
    <row r="12" spans="1:10" ht="14.25" x14ac:dyDescent="0.15">
      <c r="A12" s="17">
        <f t="shared" ca="1" si="0"/>
        <v>699</v>
      </c>
      <c r="B12" s="17">
        <v>0</v>
      </c>
      <c r="C12" s="18">
        <v>22</v>
      </c>
      <c r="D12" s="18">
        <v>58</v>
      </c>
      <c r="E12" s="18"/>
      <c r="F12" s="18"/>
      <c r="G12" s="19" t="str">
        <f ca="1">IF($A12="","",IF($I12="X",A12,CONCATENATE(VLOOKUP(A12,Competitors!$A$2:$I$650,3, FALSE)," ",VLOOKUP(A12,Competitors!$A$2:$I$650,2,FALSE))))</f>
        <v>Jonathan Durnin</v>
      </c>
      <c r="H12" s="20">
        <f t="shared" si="1"/>
        <v>1.5949074074074074E-2</v>
      </c>
      <c r="I12" t="str">
        <f t="shared" ca="1" si="2"/>
        <v/>
      </c>
      <c r="J12" s="40">
        <v>699</v>
      </c>
    </row>
    <row r="13" spans="1:10" ht="14.25" x14ac:dyDescent="0.15">
      <c r="A13" s="17">
        <f t="shared" ca="1" si="0"/>
        <v>989</v>
      </c>
      <c r="B13" s="17">
        <v>0</v>
      </c>
      <c r="C13" s="18">
        <v>23</v>
      </c>
      <c r="D13" s="18">
        <v>31</v>
      </c>
      <c r="E13" s="18" t="s">
        <v>170</v>
      </c>
      <c r="F13" s="18"/>
      <c r="G13" s="19" t="str">
        <f ca="1">IF($A13="","",IF($I13="X",A13,CONCATENATE(VLOOKUP(A13,Competitors!$A$2:$I$650,3, FALSE)," ",VLOOKUP(A13,Competitors!$A$2:$I$650,2,FALSE))))</f>
        <v>Jason Williams</v>
      </c>
      <c r="H13" s="20">
        <f t="shared" si="1"/>
        <v>1.6331018518518519E-2</v>
      </c>
      <c r="I13" t="str">
        <f t="shared" ca="1" si="2"/>
        <v/>
      </c>
      <c r="J13" s="40">
        <v>989</v>
      </c>
    </row>
    <row r="14" spans="1:10" ht="14.25" x14ac:dyDescent="0.15">
      <c r="A14" s="17">
        <f t="shared" ca="1" si="0"/>
        <v>35</v>
      </c>
      <c r="B14" s="17">
        <v>0</v>
      </c>
      <c r="C14" s="18">
        <v>23</v>
      </c>
      <c r="D14" s="18">
        <v>46</v>
      </c>
      <c r="E14" s="18"/>
      <c r="F14" s="18"/>
      <c r="G14" s="19" t="str">
        <f ca="1">IF($A14="","",IF($I14="X",A14,CONCATENATE(VLOOKUP(A14,Competitors!$A$2:$I$650,3, FALSE)," ",VLOOKUP(A14,Competitors!$A$2:$I$650,2,FALSE))))</f>
        <v>Matt Plews</v>
      </c>
      <c r="H14" s="20">
        <f t="shared" si="1"/>
        <v>1.650462962962963E-2</v>
      </c>
      <c r="I14" t="str">
        <f t="shared" ca="1" si="2"/>
        <v/>
      </c>
      <c r="J14" s="40">
        <v>35</v>
      </c>
    </row>
    <row r="15" spans="1:10" ht="14.25" x14ac:dyDescent="0.15">
      <c r="A15" s="17">
        <f t="shared" ca="1" si="0"/>
        <v>415</v>
      </c>
      <c r="B15" s="17">
        <v>0</v>
      </c>
      <c r="C15" s="18">
        <v>24</v>
      </c>
      <c r="D15" s="18">
        <v>21</v>
      </c>
      <c r="E15" s="18" t="s">
        <v>170</v>
      </c>
      <c r="F15" s="18"/>
      <c r="G15" s="19" t="str">
        <f ca="1">IF($A15="","",IF($I15="X",A15,CONCATENATE(VLOOKUP(A15,Competitors!$A$2:$I$650,3, FALSE)," ",VLOOKUP(A15,Competitors!$A$2:$I$650,2,FALSE))))</f>
        <v>Nik Kershaw</v>
      </c>
      <c r="H15" s="20">
        <f t="shared" si="1"/>
        <v>1.6909722222222222E-2</v>
      </c>
      <c r="I15" t="str">
        <f t="shared" ca="1" si="2"/>
        <v/>
      </c>
      <c r="J15" s="40">
        <v>415</v>
      </c>
    </row>
    <row r="16" spans="1:10" ht="14.25" x14ac:dyDescent="0.15">
      <c r="A16" s="17" t="str">
        <f t="shared" ca="1" si="0"/>
        <v>Dean Tacey (LRC)</v>
      </c>
      <c r="B16" s="17">
        <v>0</v>
      </c>
      <c r="C16" s="18">
        <v>24</v>
      </c>
      <c r="D16" s="18">
        <v>24</v>
      </c>
      <c r="E16" s="18"/>
      <c r="F16" s="18"/>
      <c r="G16" s="19" t="str">
        <f ca="1">IF($A16="","",IF($I16="X",A16,CONCATENATE(VLOOKUP(A16,Competitors!$A$2:$I$650,3, FALSE)," ",VLOOKUP(A16,Competitors!$A$2:$I$650,2,FALSE))))</f>
        <v>Dean Tacey (LRC)</v>
      </c>
      <c r="H16" s="20">
        <f t="shared" si="1"/>
        <v>1.6944444444444446E-2</v>
      </c>
      <c r="I16" t="str">
        <f t="shared" ca="1" si="2"/>
        <v>X</v>
      </c>
      <c r="J16" s="40" t="s">
        <v>131</v>
      </c>
    </row>
    <row r="17" spans="1:10" ht="14.25" x14ac:dyDescent="0.15">
      <c r="A17" s="17" t="str">
        <f t="shared" ca="1" si="0"/>
        <v>Michael Carter (RFW)</v>
      </c>
      <c r="B17" s="17">
        <v>0</v>
      </c>
      <c r="C17" s="18">
        <v>24</v>
      </c>
      <c r="D17" s="18">
        <v>24</v>
      </c>
      <c r="E17" s="18"/>
      <c r="F17" s="18"/>
      <c r="G17" s="19" t="str">
        <f ca="1">IF($A17="","",IF($I17="X",A17,CONCATENATE(VLOOKUP(A17,Competitors!$A$2:$I$650,3, FALSE)," ",VLOOKUP(A17,Competitors!$A$2:$I$650,2,FALSE))))</f>
        <v>Michael Carter (RFW)</v>
      </c>
      <c r="H17" s="20">
        <f t="shared" si="1"/>
        <v>1.6944444444444446E-2</v>
      </c>
      <c r="I17" t="str">
        <f t="shared" ca="1" si="2"/>
        <v>X</v>
      </c>
      <c r="J17" s="40" t="s">
        <v>156</v>
      </c>
    </row>
    <row r="18" spans="1:10" ht="14.25" x14ac:dyDescent="0.15">
      <c r="A18" s="17">
        <f t="shared" ca="1" si="0"/>
        <v>1192</v>
      </c>
      <c r="B18" s="17">
        <v>0</v>
      </c>
      <c r="C18" s="18">
        <v>24</v>
      </c>
      <c r="D18" s="18">
        <v>30</v>
      </c>
      <c r="E18" s="18"/>
      <c r="F18" s="18"/>
      <c r="G18" s="19" t="str">
        <f ca="1">IF($A18="","",IF($I18="X",A18,CONCATENATE(VLOOKUP(A18,Competitors!$A$2:$I$650,3, FALSE)," ",VLOOKUP(A18,Competitors!$A$2:$I$650,2,FALSE))))</f>
        <v>Dale Norris</v>
      </c>
      <c r="H18" s="20">
        <f t="shared" si="1"/>
        <v>1.7013888888888887E-2</v>
      </c>
      <c r="I18" t="str">
        <f t="shared" ca="1" si="2"/>
        <v/>
      </c>
      <c r="J18" s="40">
        <v>1192</v>
      </c>
    </row>
    <row r="19" spans="1:10" ht="14.25" x14ac:dyDescent="0.15">
      <c r="A19" s="17">
        <f t="shared" ca="1" si="0"/>
        <v>38</v>
      </c>
      <c r="B19" s="17">
        <v>0</v>
      </c>
      <c r="C19" s="18">
        <v>24</v>
      </c>
      <c r="D19" s="18">
        <v>31</v>
      </c>
      <c r="E19" s="18"/>
      <c r="F19" s="18"/>
      <c r="G19" s="19" t="str">
        <f ca="1">IF($A19="","",IF($I19="X",A19,CONCATENATE(VLOOKUP(A19,Competitors!$A$2:$I$650,3, FALSE)," ",VLOOKUP(A19,Competitors!$A$2:$I$650,2,FALSE))))</f>
        <v>Phil Rayner</v>
      </c>
      <c r="H19" s="20">
        <f t="shared" si="1"/>
        <v>1.7025462962962964E-2</v>
      </c>
      <c r="I19" t="str">
        <f t="shared" ca="1" si="2"/>
        <v/>
      </c>
      <c r="J19" s="40">
        <v>38</v>
      </c>
    </row>
    <row r="20" spans="1:10" ht="14.25" x14ac:dyDescent="0.15">
      <c r="A20" s="17" t="str">
        <f t="shared" ca="1" si="0"/>
        <v>Mark Newton (Ratae)</v>
      </c>
      <c r="B20" s="17">
        <v>0</v>
      </c>
      <c r="C20" s="18">
        <v>24</v>
      </c>
      <c r="D20" s="18">
        <v>38</v>
      </c>
      <c r="E20" s="18"/>
      <c r="F20" s="18"/>
      <c r="G20" s="19" t="str">
        <f ca="1">IF($A20="","",IF($I20="X",A20,CONCATENATE(VLOOKUP(A20,Competitors!$A$2:$I$650,3, FALSE)," ",VLOOKUP(A20,Competitors!$A$2:$I$650,2,FALSE))))</f>
        <v>Mark Newton (Ratae)</v>
      </c>
      <c r="H20" s="20">
        <f t="shared" si="1"/>
        <v>1.7106481481481483E-2</v>
      </c>
      <c r="I20" t="str">
        <f t="shared" ca="1" si="2"/>
        <v>X</v>
      </c>
      <c r="J20" s="40" t="s">
        <v>145</v>
      </c>
    </row>
    <row r="21" spans="1:10" ht="14.25" x14ac:dyDescent="0.15">
      <c r="A21" s="17" t="str">
        <f t="shared" ca="1" si="0"/>
        <v>Chris Bonsor (Ratae)</v>
      </c>
      <c r="B21" s="17">
        <v>0</v>
      </c>
      <c r="C21" s="18">
        <v>24</v>
      </c>
      <c r="D21" s="18">
        <v>57</v>
      </c>
      <c r="E21" s="18"/>
      <c r="F21" s="18"/>
      <c r="G21" s="19" t="str">
        <f ca="1">IF($A21="","",IF($I21="X",A21,CONCATENATE(VLOOKUP(A21,Competitors!$A$2:$I$650,3, FALSE)," ",VLOOKUP(A21,Competitors!$A$2:$I$650,2,FALSE))))</f>
        <v>Chris Bonsor (Ratae)</v>
      </c>
      <c r="H21" s="20">
        <f t="shared" si="1"/>
        <v>1.7326388888888888E-2</v>
      </c>
      <c r="I21" t="str">
        <f t="shared" ca="1" si="2"/>
        <v>X</v>
      </c>
      <c r="J21" s="40" t="s">
        <v>141</v>
      </c>
    </row>
    <row r="22" spans="1:10" ht="14.25" x14ac:dyDescent="0.15">
      <c r="A22" s="17">
        <f t="shared" ca="1" si="0"/>
        <v>23</v>
      </c>
      <c r="B22" s="17">
        <v>0</v>
      </c>
      <c r="C22" s="18">
        <v>25</v>
      </c>
      <c r="D22" s="18">
        <v>7</v>
      </c>
      <c r="E22" s="18"/>
      <c r="F22" s="18"/>
      <c r="G22" s="19" t="str">
        <f ca="1">IF($A22="","",IF($I22="X",A22,CONCATENATE(VLOOKUP(A22,Competitors!$A$2:$I$650,3, FALSE)," ",VLOOKUP(A22,Competitors!$A$2:$I$650,2,FALSE))))</f>
        <v>Chris Hyde</v>
      </c>
      <c r="H22" s="20">
        <f t="shared" si="1"/>
        <v>1.744212962962963E-2</v>
      </c>
      <c r="I22" t="str">
        <f t="shared" ca="1" si="2"/>
        <v/>
      </c>
      <c r="J22" s="40">
        <v>23</v>
      </c>
    </row>
    <row r="23" spans="1:10" ht="14.25" x14ac:dyDescent="0.15">
      <c r="A23" s="17" t="str">
        <f t="shared" ca="1" si="0"/>
        <v>Tyler Dyson</v>
      </c>
      <c r="B23" s="17">
        <v>0</v>
      </c>
      <c r="C23" s="18">
        <v>25</v>
      </c>
      <c r="D23" s="18">
        <v>8</v>
      </c>
      <c r="E23" s="18"/>
      <c r="F23" s="18"/>
      <c r="G23" s="19" t="str">
        <f ca="1">IF($A23="","",IF($I23="X",A23,CONCATENATE(VLOOKUP(A23,Competitors!$A$2:$I$650,3, FALSE)," ",VLOOKUP(A23,Competitors!$A$2:$I$650,2,FALSE))))</f>
        <v>Tyler Dyson</v>
      </c>
      <c r="H23" s="20">
        <f t="shared" si="1"/>
        <v>1.7453703703703704E-2</v>
      </c>
      <c r="I23" t="str">
        <f t="shared" ca="1" si="2"/>
        <v>X</v>
      </c>
      <c r="J23" s="40" t="s">
        <v>165</v>
      </c>
    </row>
    <row r="24" spans="1:10" ht="14.25" x14ac:dyDescent="0.15">
      <c r="A24" s="17">
        <f t="shared" ca="1" si="0"/>
        <v>1254</v>
      </c>
      <c r="B24" s="17">
        <v>0</v>
      </c>
      <c r="C24" s="18">
        <v>25</v>
      </c>
      <c r="D24" s="18">
        <v>11</v>
      </c>
      <c r="E24" s="18"/>
      <c r="F24" s="18"/>
      <c r="G24" s="19" t="str">
        <f ca="1">IF($A24="","",IF($I24="X",A24,CONCATENATE(VLOOKUP(A24,Competitors!$A$2:$I$650,3, FALSE)," ",VLOOKUP(A24,Competitors!$A$2:$I$650,2,FALSE))))</f>
        <v>Paul White</v>
      </c>
      <c r="H24" s="20">
        <f t="shared" si="1"/>
        <v>1.7488425925925925E-2</v>
      </c>
      <c r="I24" t="str">
        <f t="shared" ca="1" si="2"/>
        <v/>
      </c>
      <c r="J24" s="40">
        <v>1254</v>
      </c>
    </row>
    <row r="25" spans="1:10" ht="14.25" x14ac:dyDescent="0.15">
      <c r="A25" s="17">
        <f t="shared" ca="1" si="0"/>
        <v>1237</v>
      </c>
      <c r="B25" s="17">
        <v>0</v>
      </c>
      <c r="C25" s="18">
        <v>25</v>
      </c>
      <c r="D25" s="18">
        <v>11</v>
      </c>
      <c r="E25" s="18" t="s">
        <v>170</v>
      </c>
      <c r="F25" s="18"/>
      <c r="G25" s="19" t="str">
        <f ca="1">IF($A25="","",IF($I25="X",A25,CONCATENATE(VLOOKUP(A25,Competitors!$A$2:$I$650,3, FALSE)," ",VLOOKUP(A25,Competitors!$A$2:$I$650,2,FALSE))))</f>
        <v>John Abbott</v>
      </c>
      <c r="H25" s="20">
        <f t="shared" si="1"/>
        <v>1.7488425925925925E-2</v>
      </c>
      <c r="I25" t="str">
        <f t="shared" ca="1" si="2"/>
        <v/>
      </c>
      <c r="J25" s="40">
        <v>1237</v>
      </c>
    </row>
    <row r="26" spans="1:10" ht="14.25" x14ac:dyDescent="0.15">
      <c r="A26" s="17">
        <f t="shared" ca="1" si="0"/>
        <v>1109</v>
      </c>
      <c r="B26" s="17">
        <v>0</v>
      </c>
      <c r="C26" s="18">
        <v>25</v>
      </c>
      <c r="D26" s="18">
        <v>29</v>
      </c>
      <c r="E26" s="18"/>
      <c r="F26" s="18"/>
      <c r="G26" s="19" t="str">
        <f ca="1">IF($A26="","",IF($I26="X",A26,CONCATENATE(VLOOKUP(A26,Competitors!$A$2:$I$650,3, FALSE)," ",VLOOKUP(A26,Competitors!$A$2:$I$650,2,FALSE))))</f>
        <v>Stuart Haycox</v>
      </c>
      <c r="H26" s="20">
        <f t="shared" si="1"/>
        <v>1.7696759259259259E-2</v>
      </c>
      <c r="I26" t="str">
        <f t="shared" ca="1" si="2"/>
        <v/>
      </c>
      <c r="J26" s="40">
        <v>1109</v>
      </c>
    </row>
    <row r="27" spans="1:10" ht="14.25" x14ac:dyDescent="0.15">
      <c r="A27" s="17">
        <f t="shared" ca="1" si="0"/>
        <v>1112</v>
      </c>
      <c r="B27" s="17">
        <v>0</v>
      </c>
      <c r="C27" s="18">
        <v>25</v>
      </c>
      <c r="D27" s="18">
        <v>40</v>
      </c>
      <c r="E27" s="18"/>
      <c r="F27" s="18"/>
      <c r="G27" s="19" t="str">
        <f ca="1">IF($A27="","",IF($I27="X",A27,CONCATENATE(VLOOKUP(A27,Competitors!$A$2:$I$650,3, FALSE)," ",VLOOKUP(A27,Competitors!$A$2:$I$650,2,FALSE))))</f>
        <v>Gary Ashwell</v>
      </c>
      <c r="H27" s="20">
        <f t="shared" si="1"/>
        <v>1.7824074074074076E-2</v>
      </c>
      <c r="I27" t="str">
        <f t="shared" ca="1" si="2"/>
        <v/>
      </c>
      <c r="J27" s="40">
        <v>1112</v>
      </c>
    </row>
    <row r="28" spans="1:10" ht="14.25" x14ac:dyDescent="0.15">
      <c r="A28" s="17" t="str">
        <f t="shared" ca="1" si="0"/>
        <v>Marshall Briggs (Ratae)</v>
      </c>
      <c r="B28" s="17">
        <v>0</v>
      </c>
      <c r="C28" s="18">
        <v>25</v>
      </c>
      <c r="D28" s="18">
        <v>51</v>
      </c>
      <c r="E28" s="18"/>
      <c r="F28" s="18"/>
      <c r="G28" s="19" t="str">
        <f ca="1">IF($A28="","",IF($I28="X",A28,CONCATENATE(VLOOKUP(A28,Competitors!$A$2:$I$650,3, FALSE)," ",VLOOKUP(A28,Competitors!$A$2:$I$650,2,FALSE))))</f>
        <v>Marshall Briggs (Ratae)</v>
      </c>
      <c r="H28" s="20">
        <f t="shared" si="1"/>
        <v>1.7951388888888888E-2</v>
      </c>
      <c r="I28" t="str">
        <f t="shared" ca="1" si="2"/>
        <v>X</v>
      </c>
      <c r="J28" s="40" t="s">
        <v>146</v>
      </c>
    </row>
    <row r="29" spans="1:10" ht="14.25" x14ac:dyDescent="0.15">
      <c r="A29" s="17">
        <f t="shared" ca="1" si="0"/>
        <v>1242</v>
      </c>
      <c r="B29" s="17">
        <v>0</v>
      </c>
      <c r="C29" s="18">
        <v>25</v>
      </c>
      <c r="D29" s="18">
        <v>56</v>
      </c>
      <c r="E29" s="18"/>
      <c r="F29" s="18"/>
      <c r="G29" s="19" t="str">
        <f ca="1">IF($A29="","",IF($I29="X",A29,CONCATENATE(VLOOKUP(A29,Competitors!$A$2:$I$650,3, FALSE)," ",VLOOKUP(A29,Competitors!$A$2:$I$650,2,FALSE))))</f>
        <v>Mike Sirett</v>
      </c>
      <c r="H29" s="20">
        <f t="shared" si="1"/>
        <v>1.800925925925926E-2</v>
      </c>
      <c r="I29" t="str">
        <f t="shared" ca="1" si="2"/>
        <v/>
      </c>
      <c r="J29" s="40">
        <v>1242</v>
      </c>
    </row>
    <row r="30" spans="1:10" ht="14.25" x14ac:dyDescent="0.15">
      <c r="A30" s="17" t="str">
        <f t="shared" ca="1" si="0"/>
        <v>Adrian James (Rugby RCC)</v>
      </c>
      <c r="B30" s="17">
        <v>0</v>
      </c>
      <c r="C30" s="18">
        <v>25</v>
      </c>
      <c r="D30" s="18">
        <v>57</v>
      </c>
      <c r="E30" s="18"/>
      <c r="F30" s="18"/>
      <c r="G30" s="19" t="str">
        <f ca="1">IF($A30="","",IF($I30="X",A30,CONCATENATE(VLOOKUP(A30,Competitors!$A$2:$I$650,3, FALSE)," ",VLOOKUP(A30,Competitors!$A$2:$I$650,2,FALSE))))</f>
        <v>Adrian James (Rugby RCC)</v>
      </c>
      <c r="H30" s="20">
        <f t="shared" si="1"/>
        <v>1.8020833333333333E-2</v>
      </c>
      <c r="I30" t="str">
        <f t="shared" ca="1" si="2"/>
        <v>X</v>
      </c>
      <c r="J30" s="40" t="s">
        <v>158</v>
      </c>
    </row>
    <row r="31" spans="1:10" ht="14.25" x14ac:dyDescent="0.15">
      <c r="A31" s="17">
        <f t="shared" ca="1" si="0"/>
        <v>1385</v>
      </c>
      <c r="B31" s="17">
        <v>0</v>
      </c>
      <c r="C31" s="18">
        <v>26</v>
      </c>
      <c r="D31" s="18">
        <v>7</v>
      </c>
      <c r="E31" s="18" t="s">
        <v>170</v>
      </c>
      <c r="F31" s="18"/>
      <c r="G31" s="19" t="str">
        <f ca="1">IF($A31="","",IF($I31="X",A31,CONCATENATE(VLOOKUP(A31,Competitors!$A$2:$I$650,3, FALSE)," ",VLOOKUP(A31,Competitors!$A$2:$I$650,2,FALSE))))</f>
        <v>Miles Marr</v>
      </c>
      <c r="H31" s="20">
        <f t="shared" si="1"/>
        <v>1.8136574074074076E-2</v>
      </c>
      <c r="I31" t="str">
        <f t="shared" ca="1" si="2"/>
        <v/>
      </c>
      <c r="J31" s="40">
        <v>1385</v>
      </c>
    </row>
    <row r="32" spans="1:10" ht="14.25" x14ac:dyDescent="0.15">
      <c r="A32" s="17">
        <f t="shared" ca="1" si="0"/>
        <v>1383</v>
      </c>
      <c r="B32" s="17">
        <v>0</v>
      </c>
      <c r="C32" s="18">
        <v>26</v>
      </c>
      <c r="D32" s="18">
        <v>20</v>
      </c>
      <c r="E32" s="18"/>
      <c r="F32" s="18"/>
      <c r="G32" s="19" t="str">
        <f ca="1">IF($A32="","",IF($I32="X",A32,CONCATENATE(VLOOKUP(A32,Competitors!$A$2:$I$650,3, FALSE)," ",VLOOKUP(A32,Competitors!$A$2:$I$650,2,FALSE))))</f>
        <v>Evan Collett</v>
      </c>
      <c r="H32" s="20">
        <f t="shared" si="1"/>
        <v>1.8287037037037036E-2</v>
      </c>
      <c r="I32" t="str">
        <f t="shared" ca="1" si="2"/>
        <v/>
      </c>
      <c r="J32" s="40">
        <v>1383</v>
      </c>
    </row>
    <row r="33" spans="1:10" ht="14.25" x14ac:dyDescent="0.15">
      <c r="A33" s="17" t="str">
        <f t="shared" ca="1" si="0"/>
        <v>Steve Pearce (Ratae)</v>
      </c>
      <c r="B33" s="17">
        <v>0</v>
      </c>
      <c r="C33" s="18">
        <v>26</v>
      </c>
      <c r="D33" s="18">
        <v>35</v>
      </c>
      <c r="E33" s="18"/>
      <c r="F33" s="18"/>
      <c r="G33" s="19" t="str">
        <f ca="1">IF($A33="","",IF($I33="X",A33,CONCATENATE(VLOOKUP(A33,Competitors!$A$2:$I$650,3, FALSE)," ",VLOOKUP(A33,Competitors!$A$2:$I$650,2,FALSE))))</f>
        <v>Steve Pearce (Ratae)</v>
      </c>
      <c r="H33" s="20">
        <f t="shared" si="1"/>
        <v>1.846064814814815E-2</v>
      </c>
      <c r="I33" t="str">
        <f t="shared" ca="1" si="2"/>
        <v>X</v>
      </c>
      <c r="J33" s="40" t="s">
        <v>149</v>
      </c>
    </row>
    <row r="34" spans="1:10" ht="14.25" x14ac:dyDescent="0.15">
      <c r="A34" s="17">
        <f t="shared" ref="A34:A65" ca="1" si="3">IF(J34="","",_xlfn.XLOOKUP(J34,ClubNames,ClubNumbers,_xlfn.XLOOKUP(J34,RoundRobinRiderNames,RoundRobinRiderDecoratedNames,J34)))</f>
        <v>1107</v>
      </c>
      <c r="B34" s="17">
        <v>0</v>
      </c>
      <c r="C34" s="18">
        <v>26</v>
      </c>
      <c r="D34" s="18">
        <v>37</v>
      </c>
      <c r="E34" s="18" t="s">
        <v>170</v>
      </c>
      <c r="F34" s="18"/>
      <c r="G34" s="19" t="str">
        <f ca="1">IF($A34="","",IF($I34="X",A34,CONCATENATE(VLOOKUP(A34,Competitors!$A$2:$I$650,3, FALSE)," ",VLOOKUP(A34,Competitors!$A$2:$I$650,2,FALSE))))</f>
        <v>Milly Pinnock</v>
      </c>
      <c r="H34" s="20">
        <f t="shared" si="1"/>
        <v>1.8483796296296297E-2</v>
      </c>
      <c r="I34" t="str">
        <f t="shared" ca="1" si="2"/>
        <v/>
      </c>
      <c r="J34" s="40">
        <v>1107</v>
      </c>
    </row>
    <row r="35" spans="1:10" ht="14.25" x14ac:dyDescent="0.15">
      <c r="A35" s="17" t="str">
        <f t="shared" ca="1" si="3"/>
        <v>Lewis Cooper (RAF Tri)</v>
      </c>
      <c r="B35" s="17">
        <v>0</v>
      </c>
      <c r="C35" s="18">
        <v>26</v>
      </c>
      <c r="D35" s="18">
        <v>38</v>
      </c>
      <c r="E35" s="18"/>
      <c r="F35" s="18"/>
      <c r="G35" s="19" t="str">
        <f ca="1">IF($A35="","",IF($I35="X",A35,CONCATENATE(VLOOKUP(A35,Competitors!$A$2:$I$650,3, FALSE)," ",VLOOKUP(A35,Competitors!$A$2:$I$650,2,FALSE))))</f>
        <v>Lewis Cooper (RAF Tri)</v>
      </c>
      <c r="H35" s="20">
        <f t="shared" si="1"/>
        <v>1.849537037037037E-2</v>
      </c>
      <c r="I35" t="str">
        <f t="shared" ca="1" si="2"/>
        <v>X</v>
      </c>
      <c r="J35" s="40" t="s">
        <v>137</v>
      </c>
    </row>
    <row r="36" spans="1:10" ht="14.25" x14ac:dyDescent="0.15">
      <c r="A36" s="17">
        <f t="shared" ca="1" si="3"/>
        <v>120</v>
      </c>
      <c r="B36" s="17">
        <v>0</v>
      </c>
      <c r="C36" s="18">
        <v>26</v>
      </c>
      <c r="D36" s="18">
        <v>43</v>
      </c>
      <c r="E36" s="18"/>
      <c r="F36" s="18"/>
      <c r="G36" s="19" t="str">
        <f ca="1">IF($A36="","",IF($I36="X",A36,CONCATENATE(VLOOKUP(A36,Competitors!$A$2:$I$650,3, FALSE)," ",VLOOKUP(A36,Competitors!$A$2:$I$650,2,FALSE))))</f>
        <v>Linda Hubbard</v>
      </c>
      <c r="H36" s="20">
        <f t="shared" si="1"/>
        <v>1.8553240740740742E-2</v>
      </c>
      <c r="I36" t="str">
        <f t="shared" ca="1" si="2"/>
        <v/>
      </c>
      <c r="J36" s="40">
        <v>120</v>
      </c>
    </row>
    <row r="37" spans="1:10" ht="14.25" x14ac:dyDescent="0.15">
      <c r="A37" s="17" t="str">
        <f t="shared" ca="1" si="3"/>
        <v>Mark Marmoy (Ratae)</v>
      </c>
      <c r="B37" s="17">
        <v>0</v>
      </c>
      <c r="C37" s="18">
        <v>27</v>
      </c>
      <c r="D37" s="18">
        <v>1</v>
      </c>
      <c r="E37" s="18"/>
      <c r="F37" s="18"/>
      <c r="G37" s="19" t="str">
        <f ca="1">IF($A37="","",IF($I37="X",A37,CONCATENATE(VLOOKUP(A37,Competitors!$A$2:$I$650,3, FALSE)," ",VLOOKUP(A37,Competitors!$A$2:$I$650,2,FALSE))))</f>
        <v>Mark Marmoy (Ratae)</v>
      </c>
      <c r="H37" s="20">
        <f t="shared" si="1"/>
        <v>1.8761574074074073E-2</v>
      </c>
      <c r="I37" t="str">
        <f t="shared" ca="1" si="2"/>
        <v>X</v>
      </c>
      <c r="J37" s="40" t="s">
        <v>144</v>
      </c>
    </row>
    <row r="38" spans="1:10" ht="14.25" x14ac:dyDescent="0.15">
      <c r="A38" s="17">
        <f t="shared" ca="1" si="3"/>
        <v>704</v>
      </c>
      <c r="B38" s="17">
        <v>0</v>
      </c>
      <c r="C38" s="18">
        <v>27</v>
      </c>
      <c r="D38" s="18">
        <v>6</v>
      </c>
      <c r="E38" s="18" t="s">
        <v>170</v>
      </c>
      <c r="F38" s="18"/>
      <c r="G38" s="19" t="str">
        <f ca="1">IF($A38="","",IF($I38="X",A38,CONCATENATE(VLOOKUP(A38,Competitors!$A$2:$I$650,3, FALSE)," ",VLOOKUP(A38,Competitors!$A$2:$I$650,2,FALSE))))</f>
        <v>Chris Dainty</v>
      </c>
      <c r="H38" s="20">
        <f t="shared" si="1"/>
        <v>1.8819444444444444E-2</v>
      </c>
      <c r="I38" t="str">
        <f t="shared" ca="1" si="2"/>
        <v/>
      </c>
      <c r="J38" s="40">
        <v>704</v>
      </c>
    </row>
    <row r="39" spans="1:10" ht="14.25" x14ac:dyDescent="0.15">
      <c r="A39" s="17">
        <f t="shared" ca="1" si="3"/>
        <v>1326</v>
      </c>
      <c r="B39" s="17">
        <v>0</v>
      </c>
      <c r="C39" s="18">
        <v>27</v>
      </c>
      <c r="D39" s="18">
        <v>46</v>
      </c>
      <c r="E39" s="18" t="s">
        <v>170</v>
      </c>
      <c r="F39" s="18"/>
      <c r="G39" s="19" t="str">
        <f ca="1">IF($A39="","",IF($I39="X",A39,CONCATENATE(VLOOKUP(A39,Competitors!$A$2:$I$650,3, FALSE)," ",VLOOKUP(A39,Competitors!$A$2:$I$650,2,FALSE))))</f>
        <v>Laoise Bennis</v>
      </c>
      <c r="H39" s="20">
        <f t="shared" si="1"/>
        <v>1.9282407407407408E-2</v>
      </c>
      <c r="I39" t="str">
        <f t="shared" ca="1" si="2"/>
        <v/>
      </c>
      <c r="J39" s="40">
        <v>1326</v>
      </c>
    </row>
    <row r="40" spans="1:10" ht="14.25" x14ac:dyDescent="0.15">
      <c r="A40" s="17" t="str">
        <f t="shared" ca="1" si="3"/>
        <v>Derek Lawlor</v>
      </c>
      <c r="B40" s="17">
        <v>0</v>
      </c>
      <c r="C40" s="18">
        <v>28</v>
      </c>
      <c r="D40" s="18">
        <v>0</v>
      </c>
      <c r="E40" s="18"/>
      <c r="F40" s="18"/>
      <c r="G40" s="19" t="str">
        <f ca="1">IF($A40="","",IF($I40="X",A40,CONCATENATE(VLOOKUP(A40,Competitors!$A$2:$I$650,3, FALSE)," ",VLOOKUP(A40,Competitors!$A$2:$I$650,2,FALSE))))</f>
        <v>Derek Lawlor</v>
      </c>
      <c r="H40" s="20">
        <f t="shared" si="1"/>
        <v>1.9444444444444445E-2</v>
      </c>
      <c r="I40" t="str">
        <f t="shared" ca="1" si="2"/>
        <v>X</v>
      </c>
      <c r="J40" s="40" t="s">
        <v>164</v>
      </c>
    </row>
    <row r="41" spans="1:10" ht="14.25" x14ac:dyDescent="0.15">
      <c r="A41" s="17">
        <f t="shared" ca="1" si="3"/>
        <v>1195</v>
      </c>
      <c r="B41" s="17">
        <v>0</v>
      </c>
      <c r="C41" s="18">
        <v>28</v>
      </c>
      <c r="D41" s="18">
        <v>12</v>
      </c>
      <c r="E41" s="18" t="s">
        <v>170</v>
      </c>
      <c r="F41" s="18"/>
      <c r="G41" s="19" t="str">
        <f ca="1">IF($A41="","",IF($I41="X",A41,CONCATENATE(VLOOKUP(A41,Competitors!$A$2:$I$650,3, FALSE)," ",VLOOKUP(A41,Competitors!$A$2:$I$650,2,FALSE))))</f>
        <v>Charlie Hardwicke</v>
      </c>
      <c r="H41" s="20">
        <f t="shared" si="1"/>
        <v>1.9583333333333335E-2</v>
      </c>
      <c r="I41" t="str">
        <f t="shared" ca="1" si="2"/>
        <v/>
      </c>
      <c r="J41" s="40">
        <v>1195</v>
      </c>
    </row>
    <row r="42" spans="1:10" ht="14.25" x14ac:dyDescent="0.15">
      <c r="A42" s="17" t="str">
        <f t="shared" ca="1" si="3"/>
        <v>Simon Clarke (Cov Tri)</v>
      </c>
      <c r="B42" s="17">
        <v>0</v>
      </c>
      <c r="C42" s="18">
        <v>28</v>
      </c>
      <c r="D42" s="18">
        <v>25</v>
      </c>
      <c r="E42" s="18"/>
      <c r="F42" s="18"/>
      <c r="G42" s="19" t="str">
        <f ca="1">IF($A42="","",IF($I42="X",A42,CONCATENATE(VLOOKUP(A42,Competitors!$A$2:$I$650,3, FALSE)," ",VLOOKUP(A42,Competitors!$A$2:$I$650,2,FALSE))))</f>
        <v>Simon Clarke (Cov Tri)</v>
      </c>
      <c r="H42" s="20">
        <f t="shared" si="1"/>
        <v>1.9733796296296298E-2</v>
      </c>
      <c r="I42" t="str">
        <f t="shared" ca="1" si="2"/>
        <v>X</v>
      </c>
      <c r="J42" s="40" t="s">
        <v>121</v>
      </c>
    </row>
    <row r="43" spans="1:10" ht="14.25" x14ac:dyDescent="0.15">
      <c r="A43" s="17" t="str">
        <f t="shared" ca="1" si="3"/>
        <v>Lynne Scofield (RFW)</v>
      </c>
      <c r="B43" s="17">
        <v>0</v>
      </c>
      <c r="C43" s="18">
        <v>28</v>
      </c>
      <c r="D43" s="18">
        <v>35</v>
      </c>
      <c r="E43" s="18"/>
      <c r="F43" s="18"/>
      <c r="G43" s="19" t="str">
        <f ca="1">IF($A43="","",IF($I43="X",A43,CONCATENATE(VLOOKUP(A43,Competitors!$A$2:$I$650,3, FALSE)," ",VLOOKUP(A43,Competitors!$A$2:$I$650,2,FALSE))))</f>
        <v>Lynne Scofield (RFW)</v>
      </c>
      <c r="H43" s="20">
        <f t="shared" si="1"/>
        <v>1.9849537037037037E-2</v>
      </c>
      <c r="I43" t="str">
        <f t="shared" ca="1" si="2"/>
        <v>X</v>
      </c>
      <c r="J43" s="40" t="s">
        <v>155</v>
      </c>
    </row>
    <row r="44" spans="1:10" ht="14.25" x14ac:dyDescent="0.15">
      <c r="A44" s="17" t="str">
        <f t="shared" ca="1" si="3"/>
        <v>Sadie Murphy (Ratae)</v>
      </c>
      <c r="B44" s="17">
        <v>0</v>
      </c>
      <c r="C44" s="18">
        <v>28</v>
      </c>
      <c r="D44" s="18">
        <v>42</v>
      </c>
      <c r="E44" s="18"/>
      <c r="F44" s="18"/>
      <c r="G44" s="19" t="str">
        <f ca="1">IF($A44="","",IF($I44="X",A44,CONCATENATE(VLOOKUP(A44,Competitors!$A$2:$I$650,3, FALSE)," ",VLOOKUP(A44,Competitors!$A$2:$I$650,2,FALSE))))</f>
        <v>Sadie Murphy (Ratae)</v>
      </c>
      <c r="H44" s="20">
        <f t="shared" si="1"/>
        <v>1.9930555555555556E-2</v>
      </c>
      <c r="I44" t="str">
        <f t="shared" ca="1" si="2"/>
        <v>X</v>
      </c>
      <c r="J44" s="40" t="s">
        <v>148</v>
      </c>
    </row>
    <row r="45" spans="1:10" ht="14.25" x14ac:dyDescent="0.15">
      <c r="A45" s="17">
        <f t="shared" ca="1" si="3"/>
        <v>1386</v>
      </c>
      <c r="B45" s="17">
        <v>0</v>
      </c>
      <c r="C45" s="18">
        <v>28</v>
      </c>
      <c r="D45" s="18">
        <v>44</v>
      </c>
      <c r="E45" s="18" t="s">
        <v>170</v>
      </c>
      <c r="F45" s="18"/>
      <c r="G45" s="19" t="str">
        <f ca="1">IF($A45="","",IF($I45="X",A45,CONCATENATE(VLOOKUP(A45,Competitors!$A$2:$I$650,3, FALSE)," ",VLOOKUP(A45,Competitors!$A$2:$I$650,2,FALSE))))</f>
        <v>Mea Moore</v>
      </c>
      <c r="H45" s="20">
        <f t="shared" si="1"/>
        <v>1.9953703703703703E-2</v>
      </c>
      <c r="I45" t="str">
        <f t="shared" ca="1" si="2"/>
        <v/>
      </c>
      <c r="J45" s="40">
        <v>1386</v>
      </c>
    </row>
    <row r="46" spans="1:10" ht="14.25" x14ac:dyDescent="0.15">
      <c r="A46" s="17" t="str">
        <f t="shared" ca="1" si="3"/>
        <v>Brian Lincoln (Ratae)</v>
      </c>
      <c r="B46" s="17">
        <v>0</v>
      </c>
      <c r="C46" s="18">
        <v>29</v>
      </c>
      <c r="D46" s="18">
        <v>3</v>
      </c>
      <c r="E46" s="18"/>
      <c r="F46" s="18"/>
      <c r="G46" s="19" t="str">
        <f ca="1">IF($A46="","",IF($I46="X",A46,CONCATENATE(VLOOKUP(A46,Competitors!$A$2:$I$650,3, FALSE)," ",VLOOKUP(A46,Competitors!$A$2:$I$650,2,FALSE))))</f>
        <v>Brian Lincoln (Ratae)</v>
      </c>
      <c r="H46" s="20">
        <f t="shared" si="1"/>
        <v>2.0173611111111111E-2</v>
      </c>
      <c r="I46" t="str">
        <f t="shared" ca="1" si="2"/>
        <v>X</v>
      </c>
      <c r="J46" s="40" t="s">
        <v>140</v>
      </c>
    </row>
    <row r="47" spans="1:10" ht="14.25" x14ac:dyDescent="0.15">
      <c r="A47" s="17">
        <f t="shared" ca="1" si="3"/>
        <v>1194</v>
      </c>
      <c r="B47" s="17">
        <v>0</v>
      </c>
      <c r="C47" s="18">
        <v>29</v>
      </c>
      <c r="D47" s="18">
        <v>8</v>
      </c>
      <c r="E47" s="18" t="s">
        <v>170</v>
      </c>
      <c r="F47" s="18"/>
      <c r="G47" s="19" t="str">
        <f ca="1">IF($A47="","",IF($I47="X",A47,CONCATENATE(VLOOKUP(A47,Competitors!$A$2:$I$650,3, FALSE)," ",VLOOKUP(A47,Competitors!$A$2:$I$650,2,FALSE))))</f>
        <v>Alex Hardwicke</v>
      </c>
      <c r="H47" s="20">
        <f t="shared" si="1"/>
        <v>2.0231481481481482E-2</v>
      </c>
      <c r="I47" t="str">
        <f t="shared" ca="1" si="2"/>
        <v/>
      </c>
      <c r="J47" s="40">
        <v>1194</v>
      </c>
    </row>
    <row r="48" spans="1:10" ht="14.25" x14ac:dyDescent="0.15">
      <c r="A48" s="17" t="str">
        <f t="shared" ca="1" si="3"/>
        <v>Paul Eden (Ratae)</v>
      </c>
      <c r="B48" s="17">
        <v>0</v>
      </c>
      <c r="C48" s="18">
        <v>29</v>
      </c>
      <c r="D48" s="18">
        <v>21</v>
      </c>
      <c r="E48" s="18"/>
      <c r="F48" s="18"/>
      <c r="G48" s="19" t="str">
        <f ca="1">IF($A48="","",IF($I48="X",A48,CONCATENATE(VLOOKUP(A48,Competitors!$A$2:$I$650,3, FALSE)," ",VLOOKUP(A48,Competitors!$A$2:$I$650,2,FALSE))))</f>
        <v>Paul Eden (Ratae)</v>
      </c>
      <c r="H48" s="20">
        <f t="shared" si="1"/>
        <v>2.0381944444444446E-2</v>
      </c>
      <c r="I48" t="str">
        <f t="shared" ca="1" si="2"/>
        <v>X</v>
      </c>
      <c r="J48" s="40" t="s">
        <v>147</v>
      </c>
    </row>
    <row r="49" spans="1:10" ht="14.25" x14ac:dyDescent="0.15">
      <c r="A49" s="17" t="str">
        <f t="shared" ca="1" si="3"/>
        <v>Jayne Mumford (W) (Cov Tri)</v>
      </c>
      <c r="B49" s="17">
        <v>0</v>
      </c>
      <c r="C49" s="18">
        <v>29</v>
      </c>
      <c r="D49" s="18">
        <v>24</v>
      </c>
      <c r="E49" s="18"/>
      <c r="F49" s="18"/>
      <c r="G49" s="19" t="str">
        <f ca="1">IF($A49="","",IF($I49="X",A49,CONCATENATE(VLOOKUP(A49,Competitors!$A$2:$I$650,3, FALSE)," ",VLOOKUP(A49,Competitors!$A$2:$I$650,2,FALSE))))</f>
        <v>Jayne Mumford (W) (Cov Tri)</v>
      </c>
      <c r="H49" s="20">
        <f t="shared" si="1"/>
        <v>2.0416666666666666E-2</v>
      </c>
      <c r="I49" t="str">
        <f t="shared" ca="1" si="2"/>
        <v>X</v>
      </c>
      <c r="J49" s="40" t="s">
        <v>670</v>
      </c>
    </row>
    <row r="50" spans="1:10" ht="14.25" x14ac:dyDescent="0.15">
      <c r="A50" s="17" t="str">
        <f t="shared" ca="1" si="3"/>
        <v>Matt Finch (LFCC)</v>
      </c>
      <c r="B50" s="17">
        <v>0</v>
      </c>
      <c r="C50" s="18">
        <v>30</v>
      </c>
      <c r="D50" s="18">
        <v>4</v>
      </c>
      <c r="E50" s="18"/>
      <c r="F50" s="18"/>
      <c r="G50" s="19" t="str">
        <f ca="1">IF($A50="","",IF($I50="X",A50,CONCATENATE(VLOOKUP(A50,Competitors!$A$2:$I$650,3, FALSE)," ",VLOOKUP(A50,Competitors!$A$2:$I$650,2,FALSE))))</f>
        <v>Matt Finch (LFCC)</v>
      </c>
      <c r="H50" s="20">
        <f t="shared" si="1"/>
        <v>2.087962962962963E-2</v>
      </c>
      <c r="I50" t="str">
        <f t="shared" ca="1" si="2"/>
        <v>X</v>
      </c>
      <c r="J50" s="40" t="s">
        <v>127</v>
      </c>
    </row>
    <row r="51" spans="1:10" ht="14.25" x14ac:dyDescent="0.15">
      <c r="A51" s="17">
        <f t="shared" ca="1" si="3"/>
        <v>935</v>
      </c>
      <c r="B51" s="17">
        <v>0</v>
      </c>
      <c r="C51" s="18">
        <v>31</v>
      </c>
      <c r="D51" s="18">
        <v>9</v>
      </c>
      <c r="E51" s="18"/>
      <c r="F51" s="18"/>
      <c r="G51" s="19" t="str">
        <f ca="1">IF($A51="","",IF($I51="X",A51,CONCATENATE(VLOOKUP(A51,Competitors!$A$2:$I$650,3, FALSE)," ",VLOOKUP(A51,Competitors!$A$2:$I$650,2,FALSE))))</f>
        <v>Sophie Ward</v>
      </c>
      <c r="H51" s="20">
        <f t="shared" si="1"/>
        <v>2.1631944444444443E-2</v>
      </c>
      <c r="I51" t="str">
        <f t="shared" ca="1" si="2"/>
        <v/>
      </c>
      <c r="J51" s="40">
        <v>935</v>
      </c>
    </row>
    <row r="52" spans="1:10" ht="14.25" x14ac:dyDescent="0.15">
      <c r="A52" s="17">
        <f t="shared" ca="1" si="3"/>
        <v>7</v>
      </c>
      <c r="B52" s="17">
        <v>0</v>
      </c>
      <c r="C52" s="18">
        <v>31</v>
      </c>
      <c r="D52" s="18">
        <v>23</v>
      </c>
      <c r="E52" s="18" t="s">
        <v>170</v>
      </c>
      <c r="F52" s="18"/>
      <c r="G52" s="19" t="str">
        <f ca="1">IF($A52="","",IF($I52="X",A52,CONCATENATE(VLOOKUP(A52,Competitors!$A$2:$I$650,3, FALSE)," ",VLOOKUP(A52,Competitors!$A$2:$I$650,2,FALSE))))</f>
        <v>Vic Barnett</v>
      </c>
      <c r="H52" s="20">
        <f t="shared" si="1"/>
        <v>2.179398148148148E-2</v>
      </c>
      <c r="I52" t="str">
        <f t="shared" ca="1" si="2"/>
        <v/>
      </c>
      <c r="J52" s="40">
        <v>7</v>
      </c>
    </row>
    <row r="53" spans="1:10" ht="14.25" x14ac:dyDescent="0.15">
      <c r="A53" s="17" t="str">
        <f t="shared" ca="1" si="3"/>
        <v>Colin Parkinson (SWRC) (HCRC)</v>
      </c>
      <c r="B53" s="17"/>
      <c r="C53" s="18"/>
      <c r="D53" s="18"/>
      <c r="E53" s="18"/>
      <c r="F53" s="18" t="s">
        <v>214</v>
      </c>
      <c r="G53" s="19" t="str">
        <f ca="1">IF($A53="","",IF($I53="X",A53,CONCATENATE(VLOOKUP(A53,Competitors!$A$2:$I$650,3, FALSE)," ",VLOOKUP(A53,Competitors!$A$2:$I$650,2,FALSE))))</f>
        <v>Colin Parkinson (SWRC) (HCRC)</v>
      </c>
      <c r="H53" s="20">
        <f t="shared" si="1"/>
        <v>0</v>
      </c>
      <c r="I53" t="str">
        <f t="shared" ca="1" si="2"/>
        <v>X</v>
      </c>
      <c r="J53" s="40" t="s">
        <v>665</v>
      </c>
    </row>
    <row r="54" spans="1:10" ht="14.25" x14ac:dyDescent="0.15">
      <c r="A54" s="17" t="str">
        <f t="shared" ca="1" si="3"/>
        <v/>
      </c>
      <c r="B54" s="17"/>
      <c r="C54" s="18"/>
      <c r="D54" s="18"/>
      <c r="E54" s="18"/>
      <c r="F54" s="18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8"/>
      <c r="D55" s="18"/>
      <c r="E55" s="18"/>
      <c r="F55" s="18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8"/>
      <c r="D56" s="18"/>
      <c r="E56" s="18"/>
      <c r="F56" s="18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8"/>
      <c r="D57" s="18"/>
      <c r="E57" s="18"/>
      <c r="F57" s="18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8"/>
      <c r="D58" s="18"/>
      <c r="E58" s="18"/>
      <c r="F58" s="18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8"/>
      <c r="D59" s="18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8"/>
      <c r="D60" s="18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8"/>
      <c r="D61" s="18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8"/>
      <c r="D62" s="18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8"/>
      <c r="D63" s="18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8"/>
      <c r="D64" s="18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8"/>
      <c r="D65" s="18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18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8"/>
      <c r="D67" s="18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8"/>
      <c r="D68" s="18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8"/>
      <c r="D69" s="18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8"/>
      <c r="D70" s="18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8"/>
      <c r="D71" s="18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8"/>
      <c r="D72" s="18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8"/>
      <c r="D73" s="18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8"/>
      <c r="D74" s="18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8"/>
      <c r="D75" s="18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8"/>
      <c r="D76" s="18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8"/>
      <c r="D77" s="18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8"/>
      <c r="D78" s="18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8"/>
      <c r="D79" s="18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8"/>
      <c r="D80" s="18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8"/>
      <c r="D81" s="18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8"/>
      <c r="D82" s="18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8"/>
      <c r="D83" s="18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8"/>
      <c r="D84" s="18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8"/>
      <c r="D85" s="18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8"/>
      <c r="D86" s="18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8"/>
      <c r="D87" s="18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8"/>
      <c r="D88" s="18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8"/>
      <c r="D89" s="18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8"/>
      <c r="D90" s="18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8"/>
      <c r="D91" s="18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8"/>
      <c r="D92" s="18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8"/>
      <c r="D93" s="18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8"/>
      <c r="D94" s="18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8"/>
      <c r="D95" s="18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8"/>
      <c r="D96" s="18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8"/>
      <c r="D97" s="18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8"/>
      <c r="D98" s="18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8"/>
      <c r="D99" s="18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8"/>
      <c r="D100" s="18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8"/>
      <c r="D101" s="18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23" priority="1">
      <formula>TEXT($B$104,"@")="Y"</formula>
    </cfRule>
  </conditionalFormatting>
  <conditionalFormatting sqref="G2:H101">
    <cfRule type="expression" dxfId="22" priority="3">
      <formula>$I2="X"</formula>
    </cfRule>
  </conditionalFormatting>
  <conditionalFormatting sqref="H2:H101">
    <cfRule type="expression" dxfId="21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4964-D6F8-4C06-829B-343BE15BF3DA}">
  <sheetPr codeName="Sheet26"/>
  <dimension ref="A1:J104"/>
  <sheetViews>
    <sheetView zoomScale="75" zoomScaleNormal="75" workbookViewId="0">
      <selection activeCell="J27" sqref="J27"/>
    </sheetView>
  </sheetViews>
  <sheetFormatPr defaultColWidth="9.16796875" defaultRowHeight="12.75" x14ac:dyDescent="0.15"/>
  <cols>
    <col min="1" max="1" width="25.08203125" bestFit="1" customWidth="1"/>
    <col min="2" max="3" width="4.71875" customWidth="1"/>
    <col min="4" max="4" width="6.47265625" bestFit="1" customWidth="1"/>
    <col min="5" max="6" width="11.0546875" customWidth="1"/>
    <col min="7" max="7" width="30.0703125" customWidth="1"/>
    <col min="8" max="8" width="14.6953125" style="23" bestFit="1" customWidth="1"/>
    <col min="9" max="9" width="19.28125" bestFit="1" customWidth="1"/>
    <col min="10" max="10" width="16.31640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 t="str">
        <f t="shared" ref="A2:A33" ca="1" si="0">IF(J2="","",_xlfn.XLOOKUP(J2,ClubNames,ClubNumbers,_xlfn.XLOOKUP(J2,RoundRobinRiderNames,RoundRobinRiderDecoratedNames,J2)))</f>
        <v>Carl Shaw (Speedhub)</v>
      </c>
      <c r="B2" s="17">
        <v>0</v>
      </c>
      <c r="C2" s="18">
        <v>23</v>
      </c>
      <c r="D2" s="27">
        <v>15</v>
      </c>
      <c r="E2" s="18"/>
      <c r="F2" s="18"/>
      <c r="G2" s="19" t="str">
        <f ca="1">IF($A2="","",IF($I2="X",A2,CONCATENATE(VLOOKUP(A2,Competitors!$A$2:$I$650,3, FALSE)," ",VLOOKUP(A2,Competitors!$A$2:$I$650,2,FALSE))))</f>
        <v>Carl Shaw (Speedhub)</v>
      </c>
      <c r="H2" s="26">
        <f>IF(LEFT($E2,1)="D",UPPER($E2),(B2*3600+C2*60+D2)/86400)</f>
        <v>1.6145833333333335E-2</v>
      </c>
      <c r="I2" t="str">
        <f ca="1">IF(OR(A2="",ISNUMBER(A2)),"","X")</f>
        <v>X</v>
      </c>
      <c r="J2" s="40" t="s">
        <v>160</v>
      </c>
    </row>
    <row r="3" spans="1:10" ht="14.25" x14ac:dyDescent="0.15">
      <c r="A3" s="17" t="str">
        <f t="shared" ca="1" si="0"/>
        <v>Jamie Haines (MOCC)</v>
      </c>
      <c r="B3" s="17">
        <v>0</v>
      </c>
      <c r="C3" s="18">
        <v>23</v>
      </c>
      <c r="D3" s="27">
        <v>19</v>
      </c>
      <c r="E3" s="18"/>
      <c r="F3" s="18"/>
      <c r="G3" s="19" t="str">
        <f ca="1">IF($A3="","",IF($I3="X",A3,CONCATENATE(VLOOKUP(A3,Competitors!$A$2:$I$650,3, FALSE)," ",VLOOKUP(A3,Competitors!$A$2:$I$650,2,FALSE))))</f>
        <v>Jamie Haines (MOCC)</v>
      </c>
      <c r="H3" s="26">
        <f t="shared" ref="H3:H66" si="1">IF(LEFT($E3,1)="D",UPPER($E3),(B3*3600+C3*60+D3)/86400)</f>
        <v>1.6192129629629629E-2</v>
      </c>
      <c r="I3" t="str">
        <f t="shared" ref="I3:I66" ca="1" si="2">IF(OR(A3="",ISNUMBER(A3)),"","X")</f>
        <v>X</v>
      </c>
      <c r="J3" s="40" t="s">
        <v>136</v>
      </c>
    </row>
    <row r="4" spans="1:10" ht="14.25" x14ac:dyDescent="0.15">
      <c r="A4" s="17" t="str">
        <f t="shared" ca="1" si="0"/>
        <v>Alex Whitmore (Ratae)</v>
      </c>
      <c r="B4" s="17">
        <v>0</v>
      </c>
      <c r="C4" s="18">
        <v>23</v>
      </c>
      <c r="D4" s="27">
        <v>41</v>
      </c>
      <c r="E4" s="18" t="s">
        <v>170</v>
      </c>
      <c r="F4" s="18"/>
      <c r="G4" s="19" t="str">
        <f ca="1">IF($A4="","",IF($I4="X",A4,CONCATENATE(VLOOKUP(A4,Competitors!$A$2:$I$650,3, FALSE)," ",VLOOKUP(A4,Competitors!$A$2:$I$650,2,FALSE))))</f>
        <v>Alex Whitmore (Ratae)</v>
      </c>
      <c r="H4" s="26">
        <f t="shared" si="1"/>
        <v>1.6446759259259258E-2</v>
      </c>
      <c r="I4" t="str">
        <f t="shared" ca="1" si="2"/>
        <v>X</v>
      </c>
      <c r="J4" s="40" t="s">
        <v>139</v>
      </c>
    </row>
    <row r="5" spans="1:10" ht="14.25" x14ac:dyDescent="0.15">
      <c r="A5" s="17">
        <f t="shared" ca="1" si="0"/>
        <v>747</v>
      </c>
      <c r="B5" s="17">
        <v>0</v>
      </c>
      <c r="C5" s="18">
        <v>24</v>
      </c>
      <c r="D5" s="27">
        <v>18</v>
      </c>
      <c r="E5" s="18"/>
      <c r="F5" s="18"/>
      <c r="G5" s="19" t="str">
        <f ca="1">IF($A5="","",IF($I5="X",A5,CONCATENATE(VLOOKUP(A5,Competitors!$A$2:$I$650,3, FALSE)," ",VLOOKUP(A5,Competitors!$A$2:$I$650,2,FALSE))))</f>
        <v>James Moore</v>
      </c>
      <c r="H5" s="26">
        <f t="shared" si="1"/>
        <v>1.6875000000000001E-2</v>
      </c>
      <c r="I5" t="str">
        <f t="shared" ca="1" si="2"/>
        <v/>
      </c>
      <c r="J5" s="40" t="s">
        <v>591</v>
      </c>
    </row>
    <row r="6" spans="1:10" ht="14.25" x14ac:dyDescent="0.15">
      <c r="A6" s="17">
        <f t="shared" ca="1" si="0"/>
        <v>407</v>
      </c>
      <c r="B6" s="17">
        <v>0</v>
      </c>
      <c r="C6" s="18">
        <v>24</v>
      </c>
      <c r="D6" s="27">
        <v>25</v>
      </c>
      <c r="E6" s="18"/>
      <c r="F6" s="18"/>
      <c r="G6" s="19" t="str">
        <f ca="1">IF($A6="","",IF($I6="X",A6,CONCATENATE(VLOOKUP(A6,Competitors!$A$2:$I$650,3, FALSE)," ",VLOOKUP(A6,Competitors!$A$2:$I$650,2,FALSE))))</f>
        <v>Hans van Nierop</v>
      </c>
      <c r="H6" s="26">
        <f t="shared" si="1"/>
        <v>1.695601851851852E-2</v>
      </c>
      <c r="I6" t="str">
        <f t="shared" ca="1" si="2"/>
        <v/>
      </c>
      <c r="J6" s="40" t="s">
        <v>583</v>
      </c>
    </row>
    <row r="7" spans="1:10" ht="14.25" x14ac:dyDescent="0.15">
      <c r="A7" s="17">
        <f t="shared" ca="1" si="0"/>
        <v>1144</v>
      </c>
      <c r="B7" s="17">
        <v>0</v>
      </c>
      <c r="C7" s="18">
        <v>24</v>
      </c>
      <c r="D7" s="27">
        <v>37</v>
      </c>
      <c r="E7" s="18" t="s">
        <v>170</v>
      </c>
      <c r="F7" s="18"/>
      <c r="G7" s="19" t="str">
        <f ca="1">IF($A7="","",IF($I7="X",A7,CONCATENATE(VLOOKUP(A7,Competitors!$A$2:$I$650,3, FALSE)," ",VLOOKUP(A7,Competitors!$A$2:$I$650,2,FALSE))))</f>
        <v>Jamie Kershaw</v>
      </c>
      <c r="H7" s="26">
        <f t="shared" si="1"/>
        <v>1.7094907407407406E-2</v>
      </c>
      <c r="I7" t="str">
        <f t="shared" ca="1" si="2"/>
        <v/>
      </c>
      <c r="J7" s="40" t="s">
        <v>584</v>
      </c>
    </row>
    <row r="8" spans="1:10" ht="14.25" x14ac:dyDescent="0.15">
      <c r="A8" s="17" t="str">
        <f t="shared" ca="1" si="0"/>
        <v>Adam Wells (RFW)</v>
      </c>
      <c r="B8" s="17">
        <v>0</v>
      </c>
      <c r="C8" s="18">
        <v>25</v>
      </c>
      <c r="D8" s="27">
        <v>5</v>
      </c>
      <c r="E8" s="18"/>
      <c r="F8" s="18"/>
      <c r="G8" s="19" t="str">
        <f ca="1">IF($A8="","",IF($I8="X",A8,CONCATENATE(VLOOKUP(A8,Competitors!$A$2:$I$650,3, FALSE)," ",VLOOKUP(A8,Competitors!$A$2:$I$650,2,FALSE))))</f>
        <v>Adam Wells (RFW)</v>
      </c>
      <c r="H8" s="26">
        <f t="shared" si="1"/>
        <v>1.7418981481481483E-2</v>
      </c>
      <c r="I8" t="str">
        <f t="shared" ca="1" si="2"/>
        <v>X</v>
      </c>
      <c r="J8" s="40" t="s">
        <v>150</v>
      </c>
    </row>
    <row r="9" spans="1:10" ht="14.25" x14ac:dyDescent="0.15">
      <c r="A9" s="17">
        <f t="shared" ca="1" si="0"/>
        <v>989</v>
      </c>
      <c r="B9" s="17">
        <v>0</v>
      </c>
      <c r="C9" s="18">
        <v>25</v>
      </c>
      <c r="D9" s="27">
        <v>26</v>
      </c>
      <c r="E9" s="18" t="s">
        <v>170</v>
      </c>
      <c r="F9" s="18"/>
      <c r="G9" s="19" t="str">
        <f ca="1">IF($A9="","",IF($I9="X",A9,CONCATENATE(VLOOKUP(A9,Competitors!$A$2:$I$650,3, FALSE)," ",VLOOKUP(A9,Competitors!$A$2:$I$650,2,FALSE))))</f>
        <v>Jason Williams</v>
      </c>
      <c r="H9" s="26">
        <f t="shared" si="1"/>
        <v>1.7662037037037039E-2</v>
      </c>
      <c r="I9" t="str">
        <f t="shared" ca="1" si="2"/>
        <v/>
      </c>
      <c r="J9" s="40" t="s">
        <v>585</v>
      </c>
    </row>
    <row r="10" spans="1:10" ht="14.25" x14ac:dyDescent="0.15">
      <c r="A10" s="17">
        <f t="shared" ca="1" si="0"/>
        <v>38</v>
      </c>
      <c r="B10" s="17">
        <v>0</v>
      </c>
      <c r="C10" s="18">
        <v>25</v>
      </c>
      <c r="D10" s="27">
        <v>55</v>
      </c>
      <c r="E10" s="18"/>
      <c r="F10" s="18"/>
      <c r="G10" s="19" t="str">
        <f ca="1">IF($A10="","",IF($I10="X",A10,CONCATENATE(VLOOKUP(A10,Competitors!$A$2:$I$650,3, FALSE)," ",VLOOKUP(A10,Competitors!$A$2:$I$650,2,FALSE))))</f>
        <v>Phil Rayner</v>
      </c>
      <c r="H10" s="26">
        <f t="shared" si="1"/>
        <v>1.7997685185185186E-2</v>
      </c>
      <c r="I10" t="str">
        <f t="shared" ca="1" si="2"/>
        <v/>
      </c>
      <c r="J10" s="40" t="s">
        <v>619</v>
      </c>
    </row>
    <row r="11" spans="1:10" ht="14.25" x14ac:dyDescent="0.15">
      <c r="A11" s="17" t="str">
        <f t="shared" ca="1" si="0"/>
        <v>Chris Booth (MOCC)</v>
      </c>
      <c r="B11" s="17">
        <v>0</v>
      </c>
      <c r="C11" s="18">
        <v>26</v>
      </c>
      <c r="D11" s="27">
        <v>12</v>
      </c>
      <c r="E11" s="18" t="s">
        <v>170</v>
      </c>
      <c r="F11" s="18"/>
      <c r="G11" s="19" t="str">
        <f ca="1">IF($A11="","",IF($I11="X",A11,CONCATENATE(VLOOKUP(A11,Competitors!$A$2:$I$650,3, FALSE)," ",VLOOKUP(A11,Competitors!$A$2:$I$650,2,FALSE))))</f>
        <v>Chris Booth (MOCC)</v>
      </c>
      <c r="H11" s="26">
        <f t="shared" si="1"/>
        <v>1.8194444444444444E-2</v>
      </c>
      <c r="I11" t="str">
        <f t="shared" ca="1" si="2"/>
        <v>X</v>
      </c>
      <c r="J11" s="40" t="s">
        <v>133</v>
      </c>
    </row>
    <row r="12" spans="1:10" ht="14.25" x14ac:dyDescent="0.15">
      <c r="A12" s="17">
        <f t="shared" ca="1" si="0"/>
        <v>699</v>
      </c>
      <c r="B12" s="17">
        <v>0</v>
      </c>
      <c r="C12" s="18">
        <v>26</v>
      </c>
      <c r="D12" s="27">
        <v>24</v>
      </c>
      <c r="E12" s="18"/>
      <c r="F12" s="18"/>
      <c r="G12" s="19" t="str">
        <f ca="1">IF($A12="","",IF($I12="X",A12,CONCATENATE(VLOOKUP(A12,Competitors!$A$2:$I$650,3, FALSE)," ",VLOOKUP(A12,Competitors!$A$2:$I$650,2,FALSE))))</f>
        <v>Jonathan Durnin</v>
      </c>
      <c r="H12" s="26">
        <f t="shared" si="1"/>
        <v>1.8333333333333333E-2</v>
      </c>
      <c r="I12" t="str">
        <f t="shared" ca="1" si="2"/>
        <v/>
      </c>
      <c r="J12" s="40" t="s">
        <v>586</v>
      </c>
    </row>
    <row r="13" spans="1:10" ht="14.25" x14ac:dyDescent="0.15">
      <c r="A13" s="17">
        <f t="shared" ca="1" si="0"/>
        <v>1192</v>
      </c>
      <c r="B13" s="17">
        <v>0</v>
      </c>
      <c r="C13" s="18">
        <v>26</v>
      </c>
      <c r="D13" s="27">
        <v>47</v>
      </c>
      <c r="E13" s="18"/>
      <c r="F13" s="18"/>
      <c r="G13" s="19" t="str">
        <f ca="1">IF($A13="","",IF($I13="X",A13,CONCATENATE(VLOOKUP(A13,Competitors!$A$2:$I$650,3, FALSE)," ",VLOOKUP(A13,Competitors!$A$2:$I$650,2,FALSE))))</f>
        <v>Dale Norris</v>
      </c>
      <c r="H13" s="26">
        <f t="shared" si="1"/>
        <v>1.8599537037037036E-2</v>
      </c>
      <c r="I13" t="str">
        <f t="shared" ca="1" si="2"/>
        <v/>
      </c>
      <c r="J13" s="40" t="s">
        <v>590</v>
      </c>
    </row>
    <row r="14" spans="1:10" ht="14.25" x14ac:dyDescent="0.15">
      <c r="A14" s="17">
        <f t="shared" ca="1" si="0"/>
        <v>415</v>
      </c>
      <c r="B14" s="17">
        <v>0</v>
      </c>
      <c r="C14" s="18">
        <v>26</v>
      </c>
      <c r="D14" s="27">
        <v>56</v>
      </c>
      <c r="E14" s="18" t="s">
        <v>170</v>
      </c>
      <c r="F14" s="18"/>
      <c r="G14" s="19" t="str">
        <f ca="1">IF($A14="","",IF($I14="X",A14,CONCATENATE(VLOOKUP(A14,Competitors!$A$2:$I$650,3, FALSE)," ",VLOOKUP(A14,Competitors!$A$2:$I$650,2,FALSE))))</f>
        <v>Nik Kershaw</v>
      </c>
      <c r="H14" s="26">
        <f t="shared" si="1"/>
        <v>1.8703703703703705E-2</v>
      </c>
      <c r="I14" t="str">
        <f t="shared" ca="1" si="2"/>
        <v/>
      </c>
      <c r="J14" s="40" t="s">
        <v>594</v>
      </c>
    </row>
    <row r="15" spans="1:10" ht="14.25" x14ac:dyDescent="0.15">
      <c r="A15" s="17" t="str">
        <f t="shared" ca="1" si="0"/>
        <v>David Cooper (MOCC)</v>
      </c>
      <c r="B15" s="17">
        <v>0</v>
      </c>
      <c r="C15" s="18">
        <v>27</v>
      </c>
      <c r="D15" s="27">
        <v>21</v>
      </c>
      <c r="E15" s="18"/>
      <c r="F15" s="18"/>
      <c r="G15" s="19" t="str">
        <f ca="1">IF($A15="","",IF($I15="X",A15,CONCATENATE(VLOOKUP(A15,Competitors!$A$2:$I$650,3, FALSE)," ",VLOOKUP(A15,Competitors!$A$2:$I$650,2,FALSE))))</f>
        <v>David Cooper (MOCC)</v>
      </c>
      <c r="H15" s="26">
        <f t="shared" si="1"/>
        <v>1.8993055555555555E-2</v>
      </c>
      <c r="I15" t="str">
        <f t="shared" ca="1" si="2"/>
        <v>X</v>
      </c>
      <c r="J15" s="40" t="s">
        <v>135</v>
      </c>
    </row>
    <row r="16" spans="1:10" ht="14.25" x14ac:dyDescent="0.15">
      <c r="A16" s="17" t="str">
        <f t="shared" ca="1" si="0"/>
        <v>Chris Bonsor (Ratae)</v>
      </c>
      <c r="B16" s="17">
        <v>0</v>
      </c>
      <c r="C16" s="18">
        <v>27</v>
      </c>
      <c r="D16" s="27">
        <v>37</v>
      </c>
      <c r="E16" s="18"/>
      <c r="F16" s="18"/>
      <c r="G16" s="19" t="str">
        <f ca="1">IF($A16="","",IF($I16="X",A16,CONCATENATE(VLOOKUP(A16,Competitors!$A$2:$I$650,3, FALSE)," ",VLOOKUP(A16,Competitors!$A$2:$I$650,2,FALSE))))</f>
        <v>Chris Bonsor (Ratae)</v>
      </c>
      <c r="H16" s="26">
        <f t="shared" si="1"/>
        <v>1.9178240740740742E-2</v>
      </c>
      <c r="I16" t="str">
        <f t="shared" ca="1" si="2"/>
        <v>X</v>
      </c>
      <c r="J16" s="40" t="s">
        <v>141</v>
      </c>
    </row>
    <row r="17" spans="1:10" ht="14.25" x14ac:dyDescent="0.15">
      <c r="A17" s="17">
        <f t="shared" ca="1" si="0"/>
        <v>1237</v>
      </c>
      <c r="B17" s="17">
        <v>0</v>
      </c>
      <c r="C17" s="18">
        <v>27</v>
      </c>
      <c r="D17" s="27">
        <v>44</v>
      </c>
      <c r="E17" s="18" t="s">
        <v>170</v>
      </c>
      <c r="F17" s="18"/>
      <c r="G17" s="19" t="str">
        <f ca="1">IF($A17="","",IF($I17="X",A17,CONCATENATE(VLOOKUP(A17,Competitors!$A$2:$I$650,3, FALSE)," ",VLOOKUP(A17,Competitors!$A$2:$I$650,2,FALSE))))</f>
        <v>John Abbott</v>
      </c>
      <c r="H17" s="26">
        <f t="shared" si="1"/>
        <v>1.9259259259259261E-2</v>
      </c>
      <c r="I17" t="str">
        <f t="shared" ca="1" si="2"/>
        <v/>
      </c>
      <c r="J17" s="40" t="s">
        <v>598</v>
      </c>
    </row>
    <row r="18" spans="1:10" ht="14.25" x14ac:dyDescent="0.15">
      <c r="A18" s="17" t="str">
        <f t="shared" ca="1" si="0"/>
        <v>Marshall Briggs (Ratae)</v>
      </c>
      <c r="B18" s="17">
        <v>0</v>
      </c>
      <c r="C18" s="18">
        <v>27</v>
      </c>
      <c r="D18" s="27">
        <v>56</v>
      </c>
      <c r="E18" s="18"/>
      <c r="F18" s="18"/>
      <c r="G18" s="19" t="str">
        <f ca="1">IF($A18="","",IF($I18="X",A18,CONCATENATE(VLOOKUP(A18,Competitors!$A$2:$I$650,3, FALSE)," ",VLOOKUP(A18,Competitors!$A$2:$I$650,2,FALSE))))</f>
        <v>Marshall Briggs (Ratae)</v>
      </c>
      <c r="H18" s="26">
        <f t="shared" si="1"/>
        <v>1.9398148148148147E-2</v>
      </c>
      <c r="I18" t="str">
        <f t="shared" ca="1" si="2"/>
        <v>X</v>
      </c>
      <c r="J18" s="40" t="s">
        <v>146</v>
      </c>
    </row>
    <row r="19" spans="1:10" ht="14.25" x14ac:dyDescent="0.15">
      <c r="A19" s="17" t="str">
        <f t="shared" ca="1" si="0"/>
        <v>Morris Mabe (LFCC)</v>
      </c>
      <c r="B19" s="17">
        <v>0</v>
      </c>
      <c r="C19" s="18">
        <v>28</v>
      </c>
      <c r="D19" s="27">
        <v>3</v>
      </c>
      <c r="E19" s="18" t="s">
        <v>170</v>
      </c>
      <c r="F19" s="18"/>
      <c r="G19" s="19" t="str">
        <f ca="1">IF($A19="","",IF($I19="X",A19,CONCATENATE(VLOOKUP(A19,Competitors!$A$2:$I$650,3, FALSE)," ",VLOOKUP(A19,Competitors!$A$2:$I$650,2,FALSE))))</f>
        <v>Morris Mabe (LFCC)</v>
      </c>
      <c r="H19" s="26">
        <f t="shared" si="1"/>
        <v>1.9479166666666665E-2</v>
      </c>
      <c r="I19" t="str">
        <f t="shared" ca="1" si="2"/>
        <v>X</v>
      </c>
      <c r="J19" s="40" t="s">
        <v>128</v>
      </c>
    </row>
    <row r="20" spans="1:10" ht="14.25" x14ac:dyDescent="0.15">
      <c r="A20" s="17">
        <f t="shared" ca="1" si="0"/>
        <v>846</v>
      </c>
      <c r="B20" s="17">
        <v>0</v>
      </c>
      <c r="C20" s="18">
        <v>28</v>
      </c>
      <c r="D20" s="27">
        <v>8</v>
      </c>
      <c r="E20" s="18"/>
      <c r="F20" s="18"/>
      <c r="G20" s="19" t="str">
        <f ca="1">IF($A20="","",IF($I20="X",A20,CONCATENATE(VLOOKUP(A20,Competitors!$A$2:$I$650,3, FALSE)," ",VLOOKUP(A20,Competitors!$A$2:$I$650,2,FALSE))))</f>
        <v>Roger Kockelbergh</v>
      </c>
      <c r="H20" s="26">
        <f t="shared" si="1"/>
        <v>1.9537037037037037E-2</v>
      </c>
      <c r="I20" t="str">
        <f t="shared" ca="1" si="2"/>
        <v/>
      </c>
      <c r="J20" s="40" t="s">
        <v>601</v>
      </c>
    </row>
    <row r="21" spans="1:10" ht="14.25" x14ac:dyDescent="0.15">
      <c r="A21" s="17" t="str">
        <f t="shared" ca="1" si="0"/>
        <v>Steve Pearce (Ratae)</v>
      </c>
      <c r="B21" s="17">
        <v>0</v>
      </c>
      <c r="C21" s="18">
        <v>28</v>
      </c>
      <c r="D21" s="27">
        <v>31</v>
      </c>
      <c r="E21" s="18"/>
      <c r="F21" s="18"/>
      <c r="G21" s="19" t="str">
        <f ca="1">IF($A21="","",IF($I21="X",A21,CONCATENATE(VLOOKUP(A21,Competitors!$A$2:$I$650,3, FALSE)," ",VLOOKUP(A21,Competitors!$A$2:$I$650,2,FALSE))))</f>
        <v>Steve Pearce (Ratae)</v>
      </c>
      <c r="H21" s="26">
        <f t="shared" si="1"/>
        <v>1.9803240740740739E-2</v>
      </c>
      <c r="I21" t="str">
        <f t="shared" ca="1" si="2"/>
        <v>X</v>
      </c>
      <c r="J21" s="40" t="s">
        <v>149</v>
      </c>
    </row>
    <row r="22" spans="1:10" ht="14.25" x14ac:dyDescent="0.15">
      <c r="A22" s="17">
        <f t="shared" ca="1" si="0"/>
        <v>1112</v>
      </c>
      <c r="B22" s="17">
        <v>0</v>
      </c>
      <c r="C22" s="18">
        <v>28</v>
      </c>
      <c r="D22" s="27">
        <v>43</v>
      </c>
      <c r="E22" s="18"/>
      <c r="F22" s="18"/>
      <c r="G22" s="19" t="str">
        <f ca="1">IF($A22="","",IF($I22="X",A22,CONCATENATE(VLOOKUP(A22,Competitors!$A$2:$I$650,3, FALSE)," ",VLOOKUP(A22,Competitors!$A$2:$I$650,2,FALSE))))</f>
        <v>Gary Ashwell</v>
      </c>
      <c r="H22" s="26">
        <f t="shared" si="1"/>
        <v>1.9942129629629629E-2</v>
      </c>
      <c r="I22" t="str">
        <f t="shared" ca="1" si="2"/>
        <v/>
      </c>
      <c r="J22" s="40" t="s">
        <v>607</v>
      </c>
    </row>
    <row r="23" spans="1:10" ht="14.25" x14ac:dyDescent="0.15">
      <c r="A23" s="17">
        <f t="shared" ca="1" si="0"/>
        <v>1385</v>
      </c>
      <c r="B23" s="17">
        <v>0</v>
      </c>
      <c r="C23" s="18">
        <v>28</v>
      </c>
      <c r="D23" s="27">
        <v>47</v>
      </c>
      <c r="E23" s="18" t="s">
        <v>170</v>
      </c>
      <c r="F23" s="18"/>
      <c r="G23" s="19" t="str">
        <f ca="1">IF($A23="","",IF($I23="X",A23,CONCATENATE(VLOOKUP(A23,Competitors!$A$2:$I$650,3, FALSE)," ",VLOOKUP(A23,Competitors!$A$2:$I$650,2,FALSE))))</f>
        <v>Miles Marr</v>
      </c>
      <c r="H23" s="26">
        <f t="shared" si="1"/>
        <v>1.9988425925925927E-2</v>
      </c>
      <c r="I23" t="str">
        <f t="shared" ca="1" si="2"/>
        <v/>
      </c>
      <c r="J23" s="40" t="s">
        <v>213</v>
      </c>
    </row>
    <row r="24" spans="1:10" ht="14.25" x14ac:dyDescent="0.15">
      <c r="A24" s="17">
        <f t="shared" ca="1" si="0"/>
        <v>120</v>
      </c>
      <c r="B24" s="17">
        <v>0</v>
      </c>
      <c r="C24" s="18">
        <v>28</v>
      </c>
      <c r="D24" s="27">
        <v>56</v>
      </c>
      <c r="E24" s="18"/>
      <c r="F24" s="18"/>
      <c r="G24" s="19" t="str">
        <f ca="1">IF($A24="","",IF($I24="X",A24,CONCATENATE(VLOOKUP(A24,Competitors!$A$2:$I$650,3, FALSE)," ",VLOOKUP(A24,Competitors!$A$2:$I$650,2,FALSE))))</f>
        <v>Linda Hubbard</v>
      </c>
      <c r="H24" s="26">
        <f t="shared" si="1"/>
        <v>2.0092592592592592E-2</v>
      </c>
      <c r="I24" t="str">
        <f t="shared" ca="1" si="2"/>
        <v/>
      </c>
      <c r="J24" s="40" t="s">
        <v>649</v>
      </c>
    </row>
    <row r="25" spans="1:10" ht="14.25" x14ac:dyDescent="0.15">
      <c r="A25" s="17" t="str">
        <f t="shared" ca="1" si="0"/>
        <v>Harriet Hughes (LFCC)</v>
      </c>
      <c r="B25" s="17">
        <v>0</v>
      </c>
      <c r="C25" s="18">
        <v>29</v>
      </c>
      <c r="D25" s="27">
        <v>56</v>
      </c>
      <c r="E25" s="18" t="s">
        <v>170</v>
      </c>
      <c r="F25" s="18"/>
      <c r="G25" s="19" t="str">
        <f ca="1">IF($A25="","",IF($I25="X",A25,CONCATENATE(VLOOKUP(A25,Competitors!$A$2:$I$650,3, FALSE)," ",VLOOKUP(A25,Competitors!$A$2:$I$650,2,FALSE))))</f>
        <v>Harriet Hughes (LFCC)</v>
      </c>
      <c r="H25" s="26">
        <f t="shared" si="1"/>
        <v>2.0787037037037038E-2</v>
      </c>
      <c r="I25" t="str">
        <f t="shared" ca="1" si="2"/>
        <v>X</v>
      </c>
      <c r="J25" s="40" t="s">
        <v>124</v>
      </c>
    </row>
    <row r="26" spans="1:10" ht="14.25" x14ac:dyDescent="0.15">
      <c r="A26" s="17" t="str">
        <f t="shared" ca="1" si="0"/>
        <v>Laura Ayers (W) (MOCC)</v>
      </c>
      <c r="B26" s="17">
        <v>0</v>
      </c>
      <c r="C26" s="18">
        <v>31</v>
      </c>
      <c r="D26" s="27">
        <v>24</v>
      </c>
      <c r="E26" s="18" t="s">
        <v>170</v>
      </c>
      <c r="F26" s="18"/>
      <c r="G26" s="19" t="str">
        <f ca="1">IF($A26="","",IF($I26="X",A26,CONCATENATE(VLOOKUP(A26,Competitors!$A$2:$I$650,3, FALSE)," ",VLOOKUP(A26,Competitors!$A$2:$I$650,2,FALSE))))</f>
        <v>Laura Ayers (W) (MOCC)</v>
      </c>
      <c r="H26" s="26">
        <f t="shared" si="1"/>
        <v>2.1805555555555557E-2</v>
      </c>
      <c r="I26" t="str">
        <f t="shared" ca="1" si="2"/>
        <v>X</v>
      </c>
      <c r="J26" s="40" t="s">
        <v>671</v>
      </c>
    </row>
    <row r="27" spans="1:10" ht="14.25" x14ac:dyDescent="0.15">
      <c r="A27" s="17" t="str">
        <f t="shared" ca="1" si="0"/>
        <v>Mat Mabe (LFCC)</v>
      </c>
      <c r="B27" s="17">
        <v>0</v>
      </c>
      <c r="C27" s="18">
        <v>32</v>
      </c>
      <c r="D27" s="27">
        <v>14</v>
      </c>
      <c r="E27" s="18" t="s">
        <v>170</v>
      </c>
      <c r="F27" s="18"/>
      <c r="G27" s="19" t="str">
        <f ca="1">IF($A27="","",IF($I27="X",A27,CONCATENATE(VLOOKUP(A27,Competitors!$A$2:$I$650,3, FALSE)," ",VLOOKUP(A27,Competitors!$A$2:$I$650,2,FALSE))))</f>
        <v>Mat Mabe (LFCC)</v>
      </c>
      <c r="H27" s="26">
        <f t="shared" si="1"/>
        <v>2.238425925925926E-2</v>
      </c>
      <c r="I27" t="str">
        <f t="shared" ca="1" si="2"/>
        <v>X</v>
      </c>
      <c r="J27" s="40" t="s">
        <v>126</v>
      </c>
    </row>
    <row r="28" spans="1:10" ht="14.25" x14ac:dyDescent="0.15">
      <c r="A28" s="17" t="str">
        <f t="shared" ca="1" si="0"/>
        <v>Mark Newton (Ratae)</v>
      </c>
      <c r="B28" s="17">
        <v>0</v>
      </c>
      <c r="C28" s="18">
        <v>32</v>
      </c>
      <c r="D28" s="27">
        <v>27</v>
      </c>
      <c r="E28" s="18"/>
      <c r="F28" s="18"/>
      <c r="G28" s="19" t="str">
        <f ca="1">IF($A28="","",IF($I28="X",A28,CONCATENATE(VLOOKUP(A28,Competitors!$A$2:$I$650,3, FALSE)," ",VLOOKUP(A28,Competitors!$A$2:$I$650,2,FALSE))))</f>
        <v>Mark Newton (Ratae)</v>
      </c>
      <c r="H28" s="26">
        <f t="shared" si="1"/>
        <v>2.2534722222222223E-2</v>
      </c>
      <c r="I28" t="str">
        <f t="shared" ca="1" si="2"/>
        <v>X</v>
      </c>
      <c r="J28" s="40" t="s">
        <v>145</v>
      </c>
    </row>
    <row r="29" spans="1:10" ht="14.25" x14ac:dyDescent="0.15">
      <c r="A29" s="17" t="str">
        <f t="shared" ca="1" si="0"/>
        <v>Paul Eden (Ratae)</v>
      </c>
      <c r="B29" s="17">
        <v>0</v>
      </c>
      <c r="C29" s="18">
        <v>32</v>
      </c>
      <c r="D29" s="27">
        <v>57</v>
      </c>
      <c r="E29" s="18" t="s">
        <v>170</v>
      </c>
      <c r="F29" s="18"/>
      <c r="G29" s="19" t="str">
        <f ca="1">IF($A29="","",IF($I29="X",A29,CONCATENATE(VLOOKUP(A29,Competitors!$A$2:$I$650,3, FALSE)," ",VLOOKUP(A29,Competitors!$A$2:$I$650,2,FALSE))))</f>
        <v>Paul Eden (Ratae)</v>
      </c>
      <c r="H29" s="26">
        <f t="shared" si="1"/>
        <v>2.2881944444444444E-2</v>
      </c>
      <c r="I29" t="str">
        <f t="shared" ca="1" si="2"/>
        <v>X</v>
      </c>
      <c r="J29" s="40" t="s">
        <v>147</v>
      </c>
    </row>
    <row r="30" spans="1:10" ht="14.25" x14ac:dyDescent="0.15">
      <c r="A30" s="17" t="str">
        <f t="shared" ca="1" si="0"/>
        <v/>
      </c>
      <c r="B30" s="17"/>
      <c r="C30" s="18"/>
      <c r="D30" s="27"/>
      <c r="E30" s="18"/>
      <c r="F30" s="18"/>
      <c r="G30" s="19" t="str">
        <f ca="1">IF($A30="","",IF($I30="X",A30,CONCATENATE(VLOOKUP(A30,Competitors!$A$2:$I$650,3, FALSE)," ",VLOOKUP(A30,Competitors!$A$2:$I$650,2,FALSE))))</f>
        <v/>
      </c>
      <c r="H30" s="26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17" t="str">
        <f t="shared" ca="1" si="0"/>
        <v/>
      </c>
      <c r="B31" s="17"/>
      <c r="C31" s="18"/>
      <c r="D31" s="27"/>
      <c r="E31" s="18"/>
      <c r="F31" s="18"/>
      <c r="G31" s="19" t="str">
        <f ca="1">IF($A31="","",IF($I31="X",A31,CONCATENATE(VLOOKUP(A31,Competitors!$A$2:$I$650,3, FALSE)," ",VLOOKUP(A31,Competitors!$A$2:$I$650,2,FALSE))))</f>
        <v/>
      </c>
      <c r="H31" s="26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8"/>
      <c r="D32" s="27"/>
      <c r="E32" s="18"/>
      <c r="F32" s="18"/>
      <c r="G32" s="19" t="str">
        <f ca="1">IF($A32="","",IF($I32="X",A32,CONCATENATE(VLOOKUP(A32,Competitors!$A$2:$I$650,3, FALSE)," ",VLOOKUP(A32,Competitors!$A$2:$I$650,2,FALSE))))</f>
        <v/>
      </c>
      <c r="H32" s="26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8"/>
      <c r="D33" s="27"/>
      <c r="E33" s="18"/>
      <c r="F33" s="18"/>
      <c r="G33" s="19" t="str">
        <f ca="1">IF($A33="","",IF($I33="X",A33,CONCATENATE(VLOOKUP(A33,Competitors!$A$2:$I$650,3, FALSE)," ",VLOOKUP(A33,Competitors!$A$2:$I$650,2,FALSE))))</f>
        <v/>
      </c>
      <c r="H33" s="26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8"/>
      <c r="D34" s="27"/>
      <c r="E34" s="18"/>
      <c r="F34" s="18"/>
      <c r="G34" s="19" t="str">
        <f ca="1">IF($A34="","",IF($I34="X",A34,CONCATENATE(VLOOKUP(A34,Competitors!$A$2:$I$650,3, FALSE)," ",VLOOKUP(A34,Competitors!$A$2:$I$650,2,FALSE))))</f>
        <v/>
      </c>
      <c r="H34" s="26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8"/>
      <c r="D35" s="27"/>
      <c r="E35" s="18"/>
      <c r="F35" s="18"/>
      <c r="G35" s="19" t="str">
        <f ca="1">IF($A35="","",IF($I35="X",A35,CONCATENATE(VLOOKUP(A35,Competitors!$A$2:$I$650,3, FALSE)," ",VLOOKUP(A35,Competitors!$A$2:$I$650,2,FALSE))))</f>
        <v/>
      </c>
      <c r="H35" s="26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8"/>
      <c r="D36" s="27"/>
      <c r="E36" s="18"/>
      <c r="F36" s="18"/>
      <c r="G36" s="19" t="str">
        <f ca="1">IF($A36="","",IF($I36="X",A36,CONCATENATE(VLOOKUP(A36,Competitors!$A$2:$I$650,3, FALSE)," ",VLOOKUP(A36,Competitors!$A$2:$I$650,2,FALSE))))</f>
        <v/>
      </c>
      <c r="H36" s="26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8"/>
      <c r="D37" s="27"/>
      <c r="E37" s="18"/>
      <c r="F37" s="18"/>
      <c r="G37" s="19" t="str">
        <f ca="1">IF($A37="","",IF($I37="X",A37,CONCATENATE(VLOOKUP(A37,Competitors!$A$2:$I$650,3, FALSE)," ",VLOOKUP(A37,Competitors!$A$2:$I$650,2,FALSE))))</f>
        <v/>
      </c>
      <c r="H37" s="26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8"/>
      <c r="D38" s="27"/>
      <c r="E38" s="18"/>
      <c r="F38" s="18"/>
      <c r="G38" s="19" t="str">
        <f ca="1">IF($A38="","",IF($I38="X",A38,CONCATENATE(VLOOKUP(A38,Competitors!$A$2:$I$650,3, FALSE)," ",VLOOKUP(A38,Competitors!$A$2:$I$650,2,FALSE))))</f>
        <v/>
      </c>
      <c r="H38" s="26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8"/>
      <c r="D39" s="27"/>
      <c r="E39" s="18"/>
      <c r="F39" s="18"/>
      <c r="G39" s="19" t="str">
        <f ca="1">IF($A39="","",IF($I39="X",A39,CONCATENATE(VLOOKUP(A39,Competitors!$A$2:$I$650,3, FALSE)," ",VLOOKUP(A39,Competitors!$A$2:$I$650,2,FALSE))))</f>
        <v/>
      </c>
      <c r="H39" s="26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8"/>
      <c r="D40" s="27"/>
      <c r="E40" s="18"/>
      <c r="F40" s="18"/>
      <c r="G40" s="19" t="str">
        <f ca="1">IF($A40="","",IF($I40="X",A40,CONCATENATE(VLOOKUP(A40,Competitors!$A$2:$I$650,3, FALSE)," ",VLOOKUP(A40,Competitors!$A$2:$I$650,2,FALSE))))</f>
        <v/>
      </c>
      <c r="H40" s="26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8"/>
      <c r="D41" s="27"/>
      <c r="E41" s="18"/>
      <c r="F41" s="18"/>
      <c r="G41" s="19" t="str">
        <f ca="1">IF($A41="","",IF($I41="X",A41,CONCATENATE(VLOOKUP(A41,Competitors!$A$2:$I$650,3, FALSE)," ",VLOOKUP(A41,Competitors!$A$2:$I$650,2,FALSE))))</f>
        <v/>
      </c>
      <c r="H41" s="26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8"/>
      <c r="D42" s="27"/>
      <c r="E42" s="18"/>
      <c r="F42" s="18"/>
      <c r="G42" s="19" t="str">
        <f ca="1">IF($A42="","",IF($I42="X",A42,CONCATENATE(VLOOKUP(A42,Competitors!$A$2:$I$650,3, FALSE)," ",VLOOKUP(A42,Competitors!$A$2:$I$650,2,FALSE))))</f>
        <v/>
      </c>
      <c r="H42" s="26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8"/>
      <c r="D43" s="27"/>
      <c r="E43" s="18"/>
      <c r="F43" s="18"/>
      <c r="G43" s="19" t="str">
        <f ca="1">IF($A43="","",IF($I43="X",A43,CONCATENATE(VLOOKUP(A43,Competitors!$A$2:$I$650,3, FALSE)," ",VLOOKUP(A43,Competitors!$A$2:$I$650,2,FALSE))))</f>
        <v/>
      </c>
      <c r="H43" s="26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8"/>
      <c r="D44" s="27"/>
      <c r="E44" s="18"/>
      <c r="F44" s="18"/>
      <c r="G44" s="19" t="str">
        <f ca="1">IF($A44="","",IF($I44="X",A44,CONCATENATE(VLOOKUP(A44,Competitors!$A$2:$I$650,3, FALSE)," ",VLOOKUP(A44,Competitors!$A$2:$I$650,2,FALSE))))</f>
        <v/>
      </c>
      <c r="H44" s="26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8"/>
      <c r="D45" s="27"/>
      <c r="E45" s="18"/>
      <c r="F45" s="18"/>
      <c r="G45" s="19" t="str">
        <f ca="1">IF($A45="","",IF($I45="X",A45,CONCATENATE(VLOOKUP(A45,Competitors!$A$2:$I$650,3, FALSE)," ",VLOOKUP(A45,Competitors!$A$2:$I$650,2,FALSE))))</f>
        <v/>
      </c>
      <c r="H45" s="26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8"/>
      <c r="D46" s="27"/>
      <c r="E46" s="18"/>
      <c r="F46" s="18"/>
      <c r="G46" s="19" t="str">
        <f ca="1">IF($A46="","",IF($I46="X",A46,CONCATENATE(VLOOKUP(A46,Competitors!$A$2:$I$650,3, FALSE)," ",VLOOKUP(A46,Competitors!$A$2:$I$650,2,FALSE))))</f>
        <v/>
      </c>
      <c r="H46" s="26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8"/>
      <c r="D47" s="27"/>
      <c r="E47" s="18"/>
      <c r="F47" s="18"/>
      <c r="G47" s="19" t="str">
        <f ca="1">IF($A47="","",IF($I47="X",A47,CONCATENATE(VLOOKUP(A47,Competitors!$A$2:$I$650,3, FALSE)," ",VLOOKUP(A47,Competitors!$A$2:$I$650,2,FALSE))))</f>
        <v/>
      </c>
      <c r="H47" s="26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8"/>
      <c r="D48" s="27"/>
      <c r="E48" s="18"/>
      <c r="F48" s="18"/>
      <c r="G48" s="19" t="str">
        <f ca="1">IF($A48="","",IF($I48="X",A48,CONCATENATE(VLOOKUP(A48,Competitors!$A$2:$I$650,3, FALSE)," ",VLOOKUP(A48,Competitors!$A$2:$I$650,2,FALSE))))</f>
        <v/>
      </c>
      <c r="H48" s="26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8"/>
      <c r="D49" s="27"/>
      <c r="E49" s="18"/>
      <c r="F49" s="18"/>
      <c r="G49" s="19" t="str">
        <f ca="1">IF($A49="","",IF($I49="X",A49,CONCATENATE(VLOOKUP(A49,Competitors!$A$2:$I$650,3, FALSE)," ",VLOOKUP(A49,Competitors!$A$2:$I$650,2,FALSE))))</f>
        <v/>
      </c>
      <c r="H49" s="26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8"/>
      <c r="D50" s="27"/>
      <c r="E50" s="18"/>
      <c r="F50" s="18"/>
      <c r="G50" s="19" t="str">
        <f ca="1">IF($A50="","",IF($I50="X",A50,CONCATENATE(VLOOKUP(A50,Competitors!$A$2:$I$650,3, FALSE)," ",VLOOKUP(A50,Competitors!$A$2:$I$650,2,FALSE))))</f>
        <v/>
      </c>
      <c r="H50" s="26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8"/>
      <c r="D51" s="27"/>
      <c r="E51" s="18"/>
      <c r="F51" s="18"/>
      <c r="G51" s="19" t="str">
        <f ca="1">IF($A51="","",IF($I51="X",A51,CONCATENATE(VLOOKUP(A51,Competitors!$A$2:$I$650,3, FALSE)," ",VLOOKUP(A51,Competitors!$A$2:$I$650,2,FALSE))))</f>
        <v/>
      </c>
      <c r="H51" s="26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8"/>
      <c r="D52" s="27"/>
      <c r="E52" s="18"/>
      <c r="F52" s="18"/>
      <c r="G52" s="19" t="str">
        <f ca="1">IF($A52="","",IF($I52="X",A52,CONCATENATE(VLOOKUP(A52,Competitors!$A$2:$I$650,3, FALSE)," ",VLOOKUP(A52,Competitors!$A$2:$I$650,2,FALSE))))</f>
        <v/>
      </c>
      <c r="H52" s="26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8"/>
      <c r="D53" s="27"/>
      <c r="E53" s="18"/>
      <c r="F53" s="18"/>
      <c r="G53" s="19" t="str">
        <f ca="1">IF($A53="","",IF($I53="X",A53,CONCATENATE(VLOOKUP(A53,Competitors!$A$2:$I$650,3, FALSE)," ",VLOOKUP(A53,Competitors!$A$2:$I$650,2,FALSE))))</f>
        <v/>
      </c>
      <c r="H53" s="26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8"/>
      <c r="D54" s="27"/>
      <c r="E54" s="18"/>
      <c r="F54" s="18"/>
      <c r="G54" s="19" t="str">
        <f ca="1">IF($A54="","",IF($I54="X",A54,CONCATENATE(VLOOKUP(A54,Competitors!$A$2:$I$650,3, FALSE)," ",VLOOKUP(A54,Competitors!$A$2:$I$650,2,FALSE))))</f>
        <v/>
      </c>
      <c r="H54" s="26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8"/>
      <c r="D55" s="27"/>
      <c r="E55" s="18"/>
      <c r="F55" s="18"/>
      <c r="G55" s="19" t="str">
        <f ca="1">IF($A55="","",IF($I55="X",A55,CONCATENATE(VLOOKUP(A55,Competitors!$A$2:$I$650,3, FALSE)," ",VLOOKUP(A55,Competitors!$A$2:$I$650,2,FALSE))))</f>
        <v/>
      </c>
      <c r="H55" s="26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8"/>
      <c r="D56" s="27"/>
      <c r="E56" s="18"/>
      <c r="F56" s="18"/>
      <c r="G56" s="19" t="str">
        <f ca="1">IF($A56="","",IF($I56="X",A56,CONCATENATE(VLOOKUP(A56,Competitors!$A$2:$I$650,3, FALSE)," ",VLOOKUP(A56,Competitors!$A$2:$I$650,2,FALSE))))</f>
        <v/>
      </c>
      <c r="H56" s="26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8"/>
      <c r="D57" s="27"/>
      <c r="E57" s="18"/>
      <c r="F57" s="18"/>
      <c r="G57" s="19" t="str">
        <f ca="1">IF($A57="","",IF($I57="X",A57,CONCATENATE(VLOOKUP(A57,Competitors!$A$2:$I$650,3, FALSE)," ",VLOOKUP(A57,Competitors!$A$2:$I$650,2,FALSE))))</f>
        <v/>
      </c>
      <c r="H57" s="26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8"/>
      <c r="D58" s="27"/>
      <c r="E58" s="18"/>
      <c r="F58" s="18"/>
      <c r="G58" s="19" t="str">
        <f ca="1">IF($A58="","",IF($I58="X",A58,CONCATENATE(VLOOKUP(A58,Competitors!$A$2:$I$650,3, FALSE)," ",VLOOKUP(A58,Competitors!$A$2:$I$650,2,FALSE))))</f>
        <v/>
      </c>
      <c r="H58" s="26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8"/>
      <c r="D59" s="27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6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8"/>
      <c r="D60" s="27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6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8"/>
      <c r="D61" s="27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6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8"/>
      <c r="D62" s="27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6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8"/>
      <c r="D63" s="27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6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8"/>
      <c r="D64" s="27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6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8"/>
      <c r="D65" s="27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6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27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6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8"/>
      <c r="D67" s="27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6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8"/>
      <c r="D68" s="27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6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8"/>
      <c r="D69" s="27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6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8"/>
      <c r="D70" s="27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6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8"/>
      <c r="D71" s="27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6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8"/>
      <c r="D72" s="27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6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8"/>
      <c r="D73" s="27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6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8"/>
      <c r="D74" s="27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6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8"/>
      <c r="D75" s="27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6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8"/>
      <c r="D76" s="27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6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8"/>
      <c r="D77" s="27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6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8"/>
      <c r="D78" s="27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6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8"/>
      <c r="D79" s="27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6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8"/>
      <c r="D80" s="27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6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8"/>
      <c r="D81" s="27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6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8"/>
      <c r="D82" s="27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6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8"/>
      <c r="D83" s="27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6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8"/>
      <c r="D84" s="27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6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8"/>
      <c r="D85" s="27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6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8"/>
      <c r="D86" s="27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6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8"/>
      <c r="D87" s="27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6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8"/>
      <c r="D88" s="27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6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8"/>
      <c r="D89" s="27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6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8"/>
      <c r="D90" s="27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6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8"/>
      <c r="D91" s="27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6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8"/>
      <c r="D92" s="27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6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8"/>
      <c r="D93" s="27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6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8"/>
      <c r="D94" s="27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6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8"/>
      <c r="D95" s="27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6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8"/>
      <c r="D96" s="27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6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8"/>
      <c r="D97" s="27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6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8"/>
      <c r="D98" s="27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6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8"/>
      <c r="D99" s="27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6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8"/>
      <c r="D100" s="27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6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8"/>
      <c r="D101" s="27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6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20" priority="1">
      <formula>TEXT($B$104,"@")="Y"</formula>
    </cfRule>
  </conditionalFormatting>
  <conditionalFormatting sqref="G2:H101">
    <cfRule type="expression" dxfId="19" priority="3">
      <formula>$I2="X"</formula>
    </cfRule>
  </conditionalFormatting>
  <conditionalFormatting sqref="H2:H101">
    <cfRule type="expression" dxfId="18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C37-EE16-4DC6-BCC7-018D4749DE5A}">
  <sheetPr codeName="Sheet27"/>
  <dimension ref="A1:J104"/>
  <sheetViews>
    <sheetView tabSelected="1" topLeftCell="A29" zoomScaleNormal="100" workbookViewId="0">
      <selection activeCell="E58" sqref="E58"/>
    </sheetView>
  </sheetViews>
  <sheetFormatPr defaultColWidth="9.16796875" defaultRowHeight="12.75" x14ac:dyDescent="0.15"/>
  <cols>
    <col min="1" max="1" width="26.69921875" bestFit="1" customWidth="1"/>
    <col min="2" max="4" width="4.71875" customWidth="1"/>
    <col min="5" max="6" width="11.0546875" customWidth="1"/>
    <col min="7" max="7" width="37.7578125" customWidth="1"/>
    <col min="8" max="8" width="14.6953125" style="23" bestFit="1" customWidth="1"/>
    <col min="9" max="9" width="19.28125" bestFit="1" customWidth="1"/>
    <col min="10" max="10" width="16.31640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 t="str">
        <f t="shared" ref="A2:A33" ca="1" si="0">IF(J2="","",_xlfn.XLOOKUP(J2,ClubNames,ClubNumbers,_xlfn.XLOOKUP(J2,RoundRobinRiderNames,RoundRobinRiderDecoratedNames,J2)))</f>
        <v>David Mead</v>
      </c>
      <c r="B2" s="17">
        <v>0</v>
      </c>
      <c r="C2" s="18">
        <v>20</v>
      </c>
      <c r="D2" s="18">
        <v>9</v>
      </c>
      <c r="E2" s="18"/>
      <c r="F2" s="18"/>
      <c r="G2" s="19" t="str">
        <f ca="1">IF($A2="","",IF($I2="X",A2,CONCATENATE(VLOOKUP(A2,Competitors!$A$2:$I$650,3, FALSE)," ",VLOOKUP(A2,Competitors!$A$2:$I$650,2,FALSE))))</f>
        <v>David Mead</v>
      </c>
      <c r="H2" s="20">
        <f>IF(LEFT($E2,1)="D",UPPER($E2),(B2*3600+C2*60+D2)/86400)</f>
        <v>1.3993055555555555E-2</v>
      </c>
      <c r="I2" t="str">
        <f ca="1">IF(OR(A2="",ISNUMBER(A2)),"","X")</f>
        <v>X</v>
      </c>
      <c r="J2" s="40" t="s">
        <v>247</v>
      </c>
    </row>
    <row r="3" spans="1:10" ht="14.25" x14ac:dyDescent="0.15">
      <c r="A3" s="17" t="str">
        <f t="shared" ca="1" si="0"/>
        <v>Carl Shaw (Speedhub)</v>
      </c>
      <c r="B3" s="17">
        <v>0</v>
      </c>
      <c r="C3" s="18">
        <v>21</v>
      </c>
      <c r="D3" s="18">
        <v>10</v>
      </c>
      <c r="E3" s="18"/>
      <c r="F3" s="18"/>
      <c r="G3" s="19" t="str">
        <f ca="1">IF($A3="","",IF($I3="X",A3,CONCATENATE(VLOOKUP(A3,Competitors!$A$2:$I$650,3, FALSE)," ",VLOOKUP(A3,Competitors!$A$2:$I$650,2,FALSE))))</f>
        <v>Carl Shaw (Speedhub)</v>
      </c>
      <c r="H3" s="20">
        <f t="shared" ref="H3:H66" si="1">IF(LEFT($E3,1)="D",UPPER($E3),(B3*3600+C3*60+D3)/86400)</f>
        <v>1.4699074074074074E-2</v>
      </c>
      <c r="I3" t="str">
        <f t="shared" ref="I3:I66" ca="1" si="2">IF(OR(A3="",ISNUMBER(A3)),"","X")</f>
        <v>X</v>
      </c>
      <c r="J3" s="40" t="s">
        <v>160</v>
      </c>
    </row>
    <row r="4" spans="1:10" ht="14.25" x14ac:dyDescent="0.15">
      <c r="A4" s="17" t="str">
        <f t="shared" ca="1" si="0"/>
        <v>Tommy Nolan (Ashby ICC)</v>
      </c>
      <c r="B4" s="17">
        <v>0</v>
      </c>
      <c r="C4" s="18">
        <v>21</v>
      </c>
      <c r="D4" s="18">
        <v>22</v>
      </c>
      <c r="E4" s="18"/>
      <c r="F4" s="18"/>
      <c r="G4" s="19" t="str">
        <f ca="1">IF($A4="","",IF($I4="X",A4,CONCATENATE(VLOOKUP(A4,Competitors!$A$2:$I$650,3, FALSE)," ",VLOOKUP(A4,Competitors!$A$2:$I$650,2,FALSE))))</f>
        <v>Tommy Nolan (Ashby ICC)</v>
      </c>
      <c r="H4" s="20">
        <f t="shared" si="1"/>
        <v>1.4837962962962963E-2</v>
      </c>
      <c r="I4" t="str">
        <f t="shared" ca="1" si="2"/>
        <v>X</v>
      </c>
      <c r="J4" s="40" t="s">
        <v>118</v>
      </c>
    </row>
    <row r="5" spans="1:10" ht="14.25" x14ac:dyDescent="0.15">
      <c r="A5" s="17" t="str">
        <f t="shared" ca="1" si="0"/>
        <v>Carl Dyson (Aerologic)</v>
      </c>
      <c r="B5" s="17">
        <v>0</v>
      </c>
      <c r="C5" s="18">
        <v>21</v>
      </c>
      <c r="D5" s="18">
        <v>29</v>
      </c>
      <c r="E5" s="18"/>
      <c r="F5" s="18"/>
      <c r="G5" s="19" t="str">
        <f ca="1">IF($A5="","",IF($I5="X",A5,CONCATENATE(VLOOKUP(A5,Competitors!$A$2:$I$650,3, FALSE)," ",VLOOKUP(A5,Competitors!$A$2:$I$650,2,FALSE))))</f>
        <v>Carl Dyson (Aerologic)</v>
      </c>
      <c r="H5" s="20">
        <f t="shared" si="1"/>
        <v>1.4918981481481481E-2</v>
      </c>
      <c r="I5" t="str">
        <f t="shared" ca="1" si="2"/>
        <v>X</v>
      </c>
      <c r="J5" s="40" t="s">
        <v>116</v>
      </c>
    </row>
    <row r="6" spans="1:10" ht="14.25" x14ac:dyDescent="0.15">
      <c r="A6" s="17" t="str">
        <f t="shared" ca="1" si="0"/>
        <v>Oliver Searle (St Ives CC)</v>
      </c>
      <c r="B6" s="17">
        <v>0</v>
      </c>
      <c r="C6" s="18">
        <v>22</v>
      </c>
      <c r="D6" s="18">
        <v>5</v>
      </c>
      <c r="E6" s="18"/>
      <c r="F6" s="18"/>
      <c r="G6" s="19" t="str">
        <f ca="1">IF($A6="","",IF($I6="X",A6,CONCATENATE(VLOOKUP(A6,Competitors!$A$2:$I$650,3, FALSE)," ",VLOOKUP(A6,Competitors!$A$2:$I$650,2,FALSE))))</f>
        <v>Oliver Searle (St Ives CC)</v>
      </c>
      <c r="H6" s="20">
        <f t="shared" si="1"/>
        <v>1.5335648148148149E-2</v>
      </c>
      <c r="I6" t="str">
        <f t="shared" ca="1" si="2"/>
        <v>X</v>
      </c>
      <c r="J6" s="40" t="s">
        <v>162</v>
      </c>
    </row>
    <row r="7" spans="1:10" ht="14.25" x14ac:dyDescent="0.15">
      <c r="A7" s="17">
        <f t="shared" ca="1" si="0"/>
        <v>747</v>
      </c>
      <c r="B7" s="17">
        <v>0</v>
      </c>
      <c r="C7" s="18">
        <v>22</v>
      </c>
      <c r="D7" s="18">
        <v>22</v>
      </c>
      <c r="E7" s="18" t="s">
        <v>46</v>
      </c>
      <c r="F7" s="18"/>
      <c r="G7" s="19" t="str">
        <f ca="1">IF($A7="","",IF($I7="X",A7,CONCATENATE(VLOOKUP(A7,Competitors!$A$2:$I$650,3, FALSE)," ",VLOOKUP(A7,Competitors!$A$2:$I$650,2,FALSE))))</f>
        <v>James Moore</v>
      </c>
      <c r="H7" s="20">
        <f t="shared" si="1"/>
        <v>1.5532407407407408E-2</v>
      </c>
      <c r="I7" t="str">
        <f t="shared" ca="1" si="2"/>
        <v/>
      </c>
      <c r="J7" s="40" t="s">
        <v>591</v>
      </c>
    </row>
    <row r="8" spans="1:10" ht="14.25" x14ac:dyDescent="0.15">
      <c r="A8" s="17" t="str">
        <f t="shared" ca="1" si="0"/>
        <v>Adam Wells (RFW)</v>
      </c>
      <c r="B8" s="17">
        <v>0</v>
      </c>
      <c r="C8" s="18">
        <v>22</v>
      </c>
      <c r="D8" s="18">
        <v>33</v>
      </c>
      <c r="E8" s="18"/>
      <c r="F8" s="18"/>
      <c r="G8" s="19" t="str">
        <f ca="1">IF($A8="","",IF($I8="X",A8,CONCATENATE(VLOOKUP(A8,Competitors!$A$2:$I$650,3, FALSE)," ",VLOOKUP(A8,Competitors!$A$2:$I$650,2,FALSE))))</f>
        <v>Adam Wells (RFW)</v>
      </c>
      <c r="H8" s="20">
        <f t="shared" si="1"/>
        <v>1.5659722222222221E-2</v>
      </c>
      <c r="I8" t="str">
        <f t="shared" ca="1" si="2"/>
        <v>X</v>
      </c>
      <c r="J8" s="40" t="s">
        <v>150</v>
      </c>
    </row>
    <row r="9" spans="1:10" ht="14.25" x14ac:dyDescent="0.15">
      <c r="A9" s="17" t="str">
        <f t="shared" ca="1" si="0"/>
        <v>Leon 0'Regan</v>
      </c>
      <c r="B9" s="17">
        <v>0</v>
      </c>
      <c r="C9" s="18">
        <v>22</v>
      </c>
      <c r="D9" s="18">
        <v>43</v>
      </c>
      <c r="E9" s="18"/>
      <c r="F9" s="18"/>
      <c r="G9" s="19" t="str">
        <f ca="1">IF($A9="","",IF($I9="X",A9,CONCATENATE(VLOOKUP(A9,Competitors!$A$2:$I$650,3, FALSE)," ",VLOOKUP(A9,Competitors!$A$2:$I$650,2,FALSE))))</f>
        <v>Leon 0'Regan</v>
      </c>
      <c r="H9" s="20">
        <f t="shared" si="1"/>
        <v>1.5775462962962963E-2</v>
      </c>
      <c r="I9" t="str">
        <f t="shared" ca="1" si="2"/>
        <v>X</v>
      </c>
      <c r="J9" s="40" t="s">
        <v>248</v>
      </c>
    </row>
    <row r="10" spans="1:10" ht="14.25" x14ac:dyDescent="0.15">
      <c r="A10" s="17">
        <f t="shared" ca="1" si="0"/>
        <v>699</v>
      </c>
      <c r="B10" s="17">
        <v>0</v>
      </c>
      <c r="C10" s="18">
        <v>23</v>
      </c>
      <c r="D10" s="18">
        <v>24</v>
      </c>
      <c r="E10" s="18"/>
      <c r="F10" s="18"/>
      <c r="G10" s="19" t="str">
        <f ca="1">IF($A10="","",IF($I10="X",A10,CONCATENATE(VLOOKUP(A10,Competitors!$A$2:$I$650,3, FALSE)," ",VLOOKUP(A10,Competitors!$A$2:$I$650,2,FALSE))))</f>
        <v>Jonathan Durnin</v>
      </c>
      <c r="H10" s="20">
        <f t="shared" si="1"/>
        <v>1.6250000000000001E-2</v>
      </c>
      <c r="I10" t="str">
        <f t="shared" ca="1" si="2"/>
        <v/>
      </c>
      <c r="J10" s="40" t="s">
        <v>586</v>
      </c>
    </row>
    <row r="11" spans="1:10" ht="14.25" x14ac:dyDescent="0.15">
      <c r="A11" s="17" t="str">
        <f t="shared" ca="1" si="0"/>
        <v>Ben Mackinson</v>
      </c>
      <c r="B11" s="17">
        <v>0</v>
      </c>
      <c r="C11" s="18">
        <v>23</v>
      </c>
      <c r="D11" s="18">
        <v>37</v>
      </c>
      <c r="E11" s="18"/>
      <c r="F11" s="18"/>
      <c r="G11" s="19" t="str">
        <f ca="1">IF($A11="","",IF($I11="X",A11,CONCATENATE(VLOOKUP(A11,Competitors!$A$2:$I$650,3, FALSE)," ",VLOOKUP(A11,Competitors!$A$2:$I$650,2,FALSE))))</f>
        <v>Ben Mackinson</v>
      </c>
      <c r="H11" s="20">
        <f t="shared" si="1"/>
        <v>1.6400462962962964E-2</v>
      </c>
      <c r="I11" t="str">
        <f t="shared" ca="1" si="2"/>
        <v>X</v>
      </c>
      <c r="J11" s="40" t="s">
        <v>249</v>
      </c>
    </row>
    <row r="12" spans="1:10" ht="14.25" x14ac:dyDescent="0.15">
      <c r="A12" s="17">
        <f t="shared" ca="1" si="0"/>
        <v>989</v>
      </c>
      <c r="B12" s="17">
        <v>0</v>
      </c>
      <c r="C12" s="18">
        <v>23</v>
      </c>
      <c r="D12" s="18">
        <v>37</v>
      </c>
      <c r="E12" s="18" t="s">
        <v>170</v>
      </c>
      <c r="F12" s="18"/>
      <c r="G12" s="19" t="str">
        <f ca="1">IF($A12="","",IF($I12="X",A12,CONCATENATE(VLOOKUP(A12,Competitors!$A$2:$I$650,3, FALSE)," ",VLOOKUP(A12,Competitors!$A$2:$I$650,2,FALSE))))</f>
        <v>Jason Williams</v>
      </c>
      <c r="H12" s="20">
        <f t="shared" si="1"/>
        <v>1.6400462962962964E-2</v>
      </c>
      <c r="I12" t="str">
        <f t="shared" ca="1" si="2"/>
        <v/>
      </c>
      <c r="J12" s="40" t="s">
        <v>585</v>
      </c>
    </row>
    <row r="13" spans="1:10" ht="14.25" x14ac:dyDescent="0.15">
      <c r="A13" s="17">
        <f t="shared" ca="1" si="0"/>
        <v>415</v>
      </c>
      <c r="B13" s="17">
        <v>0</v>
      </c>
      <c r="C13" s="18">
        <v>23</v>
      </c>
      <c r="D13" s="18">
        <v>47</v>
      </c>
      <c r="E13" s="18"/>
      <c r="F13" s="18"/>
      <c r="G13" s="19" t="str">
        <f ca="1">IF($A13="","",IF($I13="X",A13,CONCATENATE(VLOOKUP(A13,Competitors!$A$2:$I$650,3, FALSE)," ",VLOOKUP(A13,Competitors!$A$2:$I$650,2,FALSE))))</f>
        <v>Nik Kershaw</v>
      </c>
      <c r="H13" s="20">
        <f t="shared" si="1"/>
        <v>1.6516203703703703E-2</v>
      </c>
      <c r="I13" t="str">
        <f t="shared" ca="1" si="2"/>
        <v/>
      </c>
      <c r="J13" s="40" t="s">
        <v>594</v>
      </c>
    </row>
    <row r="14" spans="1:10" ht="14.25" x14ac:dyDescent="0.15">
      <c r="A14" s="17" t="str">
        <f t="shared" ca="1" si="0"/>
        <v>Mick Wills (M I Racing) (HCRC)</v>
      </c>
      <c r="B14" s="17">
        <v>0</v>
      </c>
      <c r="C14" s="18">
        <v>23</v>
      </c>
      <c r="D14" s="18">
        <v>51</v>
      </c>
      <c r="E14" s="18"/>
      <c r="F14" s="18"/>
      <c r="G14" s="19" t="str">
        <f ca="1">IF($A14="","",IF($I14="X",A14,CONCATENATE(VLOOKUP(A14,Competitors!$A$2:$I$650,3, FALSE)," ",VLOOKUP(A14,Competitors!$A$2:$I$650,2,FALSE))))</f>
        <v>Mick Wills (M I Racing) (HCRC)</v>
      </c>
      <c r="H14" s="20">
        <f t="shared" si="1"/>
        <v>1.6562500000000001E-2</v>
      </c>
      <c r="I14" t="str">
        <f t="shared" ca="1" si="2"/>
        <v>X</v>
      </c>
      <c r="J14" s="40" t="s">
        <v>666</v>
      </c>
    </row>
    <row r="15" spans="1:10" ht="14.25" x14ac:dyDescent="0.15">
      <c r="A15" s="17" t="str">
        <f t="shared" ca="1" si="0"/>
        <v>Phil Wilkinson (RFW)</v>
      </c>
      <c r="B15" s="17">
        <v>0</v>
      </c>
      <c r="C15" s="18">
        <v>24</v>
      </c>
      <c r="D15" s="18">
        <v>1</v>
      </c>
      <c r="E15" s="18"/>
      <c r="F15" s="18"/>
      <c r="G15" s="19" t="str">
        <f ca="1">IF($A15="","",IF($I15="X",A15,CONCATENATE(VLOOKUP(A15,Competitors!$A$2:$I$650,3, FALSE)," ",VLOOKUP(A15,Competitors!$A$2:$I$650,2,FALSE))))</f>
        <v>Phil Wilkinson (RFW)</v>
      </c>
      <c r="H15" s="20">
        <f t="shared" si="1"/>
        <v>1.667824074074074E-2</v>
      </c>
      <c r="I15" t="str">
        <f t="shared" ca="1" si="2"/>
        <v>X</v>
      </c>
      <c r="J15" s="40" t="s">
        <v>157</v>
      </c>
    </row>
    <row r="16" spans="1:10" ht="14.25" x14ac:dyDescent="0.15">
      <c r="A16" s="17">
        <f t="shared" ca="1" si="0"/>
        <v>967</v>
      </c>
      <c r="B16" s="17">
        <v>0</v>
      </c>
      <c r="C16" s="18">
        <v>24</v>
      </c>
      <c r="D16" s="18">
        <v>4</v>
      </c>
      <c r="E16" s="18" t="s">
        <v>170</v>
      </c>
      <c r="F16" s="18"/>
      <c r="G16" s="19" t="str">
        <f ca="1">IF($A16="","",IF($I16="X",A16,CONCATENATE(VLOOKUP(A16,Competitors!$A$2:$I$650,3, FALSE)," ",VLOOKUP(A16,Competitors!$A$2:$I$650,2,FALSE))))</f>
        <v>Daniel McDonnell</v>
      </c>
      <c r="H16" s="20">
        <f t="shared" si="1"/>
        <v>1.6712962962962964E-2</v>
      </c>
      <c r="I16" t="str">
        <f t="shared" ca="1" si="2"/>
        <v/>
      </c>
      <c r="J16" s="40" t="s">
        <v>620</v>
      </c>
    </row>
    <row r="17" spans="1:10" ht="14.25" x14ac:dyDescent="0.15">
      <c r="A17" s="17">
        <f t="shared" ca="1" si="0"/>
        <v>1166</v>
      </c>
      <c r="B17" s="17">
        <v>0</v>
      </c>
      <c r="C17" s="18">
        <v>24</v>
      </c>
      <c r="D17" s="18">
        <v>6</v>
      </c>
      <c r="E17" s="18"/>
      <c r="F17" s="18"/>
      <c r="G17" s="19" t="str">
        <f ca="1">IF($A17="","",IF($I17="X",A17,CONCATENATE(VLOOKUP(A17,Competitors!$A$2:$I$650,3, FALSE)," ",VLOOKUP(A17,Competitors!$A$2:$I$650,2,FALSE))))</f>
        <v>Ed Tarelli</v>
      </c>
      <c r="H17" s="20">
        <f t="shared" si="1"/>
        <v>1.6736111111111111E-2</v>
      </c>
      <c r="I17" t="str">
        <f t="shared" ca="1" si="2"/>
        <v/>
      </c>
      <c r="J17" s="40" t="s">
        <v>226</v>
      </c>
    </row>
    <row r="18" spans="1:10" ht="14.25" x14ac:dyDescent="0.15">
      <c r="A18" s="17" t="str">
        <f t="shared" ca="1" si="0"/>
        <v>Aaron Whitehead</v>
      </c>
      <c r="B18" s="17">
        <v>0</v>
      </c>
      <c r="C18" s="18">
        <v>24</v>
      </c>
      <c r="D18" s="18">
        <v>10</v>
      </c>
      <c r="E18" s="18"/>
      <c r="F18" s="18"/>
      <c r="G18" s="19" t="str">
        <f ca="1">IF($A18="","",IF($I18="X",A18,CONCATENATE(VLOOKUP(A18,Competitors!$A$2:$I$650,3, FALSE)," ",VLOOKUP(A18,Competitors!$A$2:$I$650,2,FALSE))))</f>
        <v>Aaron Whitehead</v>
      </c>
      <c r="H18" s="20">
        <f t="shared" si="1"/>
        <v>1.6782407407407409E-2</v>
      </c>
      <c r="I18" t="str">
        <f t="shared" ca="1" si="2"/>
        <v>X</v>
      </c>
      <c r="J18" s="40" t="s">
        <v>250</v>
      </c>
    </row>
    <row r="19" spans="1:10" ht="14.25" x14ac:dyDescent="0.15">
      <c r="A19" s="17" t="str">
        <f t="shared" ca="1" si="0"/>
        <v>Sam Nettel (LFCC)</v>
      </c>
      <c r="B19" s="17">
        <v>0</v>
      </c>
      <c r="C19" s="18">
        <v>24</v>
      </c>
      <c r="D19" s="18">
        <v>12</v>
      </c>
      <c r="E19" s="18"/>
      <c r="F19" s="18"/>
      <c r="G19" s="19" t="str">
        <f ca="1">IF($A19="","",IF($I19="X",A19,CONCATENATE(VLOOKUP(A19,Competitors!$A$2:$I$650,3, FALSE)," ",VLOOKUP(A19,Competitors!$A$2:$I$650,2,FALSE))))</f>
        <v>Sam Nettel (LFCC)</v>
      </c>
      <c r="H19" s="20">
        <f t="shared" si="1"/>
        <v>1.6805555555555556E-2</v>
      </c>
      <c r="I19" t="str">
        <f t="shared" ca="1" si="2"/>
        <v>X</v>
      </c>
      <c r="J19" s="40" t="s">
        <v>129</v>
      </c>
    </row>
    <row r="20" spans="1:10" ht="14.25" x14ac:dyDescent="0.15">
      <c r="A20" s="17" t="str">
        <f t="shared" ca="1" si="0"/>
        <v>Mark Newton (Ratae)</v>
      </c>
      <c r="B20" s="17">
        <v>0</v>
      </c>
      <c r="C20" s="18">
        <v>24</v>
      </c>
      <c r="D20" s="18">
        <v>18</v>
      </c>
      <c r="E20" s="18"/>
      <c r="F20" s="18"/>
      <c r="G20" s="19" t="str">
        <f ca="1">IF($A20="","",IF($I20="X",A20,CONCATENATE(VLOOKUP(A20,Competitors!$A$2:$I$650,3, FALSE)," ",VLOOKUP(A20,Competitors!$A$2:$I$650,2,FALSE))))</f>
        <v>Mark Newton (Ratae)</v>
      </c>
      <c r="H20" s="20">
        <f t="shared" si="1"/>
        <v>1.6875000000000001E-2</v>
      </c>
      <c r="I20" t="str">
        <f t="shared" ca="1" si="2"/>
        <v>X</v>
      </c>
      <c r="J20" s="40" t="s">
        <v>145</v>
      </c>
    </row>
    <row r="21" spans="1:10" ht="14.25" x14ac:dyDescent="0.15">
      <c r="A21" s="17" t="str">
        <f t="shared" ca="1" si="0"/>
        <v>Michael Carter (RFW)</v>
      </c>
      <c r="B21" s="17">
        <v>0</v>
      </c>
      <c r="C21" s="18">
        <v>24</v>
      </c>
      <c r="D21" s="18">
        <v>26</v>
      </c>
      <c r="E21" s="18"/>
      <c r="F21" s="18"/>
      <c r="G21" s="19" t="str">
        <f ca="1">IF($A21="","",IF($I21="X",A21,CONCATENATE(VLOOKUP(A21,Competitors!$A$2:$I$650,3, FALSE)," ",VLOOKUP(A21,Competitors!$A$2:$I$650,2,FALSE))))</f>
        <v>Michael Carter (RFW)</v>
      </c>
      <c r="H21" s="20">
        <f t="shared" si="1"/>
        <v>1.6967592592592593E-2</v>
      </c>
      <c r="I21" t="str">
        <f t="shared" ca="1" si="2"/>
        <v>X</v>
      </c>
      <c r="J21" s="40" t="s">
        <v>156</v>
      </c>
    </row>
    <row r="22" spans="1:10" ht="14.25" x14ac:dyDescent="0.15">
      <c r="A22" s="17" t="str">
        <f t="shared" ca="1" si="0"/>
        <v>M Shaikh</v>
      </c>
      <c r="B22" s="17">
        <v>0</v>
      </c>
      <c r="C22" s="18">
        <v>24</v>
      </c>
      <c r="D22" s="18">
        <v>26</v>
      </c>
      <c r="E22" s="18"/>
      <c r="F22" s="18"/>
      <c r="G22" s="19" t="str">
        <f ca="1">IF($A22="","",IF($I22="X",A22,CONCATENATE(VLOOKUP(A22,Competitors!$A$2:$I$650,3, FALSE)," ",VLOOKUP(A22,Competitors!$A$2:$I$650,2,FALSE))))</f>
        <v>M Shaikh</v>
      </c>
      <c r="H22" s="20">
        <f t="shared" si="1"/>
        <v>1.6967592592592593E-2</v>
      </c>
      <c r="I22" t="str">
        <f t="shared" ca="1" si="2"/>
        <v>X</v>
      </c>
      <c r="J22" s="40" t="s">
        <v>251</v>
      </c>
    </row>
    <row r="23" spans="1:10" ht="14.25" x14ac:dyDescent="0.15">
      <c r="A23" s="17" t="str">
        <f t="shared" ca="1" si="0"/>
        <v>Colin Parkinson (SWRC) (HCRC)</v>
      </c>
      <c r="B23" s="17">
        <v>0</v>
      </c>
      <c r="C23" s="18">
        <v>24</v>
      </c>
      <c r="D23" s="18">
        <v>29</v>
      </c>
      <c r="E23" s="18"/>
      <c r="F23" s="18"/>
      <c r="G23" s="19" t="str">
        <f ca="1">IF($A23="","",IF($I23="X",A23,CONCATENATE(VLOOKUP(A23,Competitors!$A$2:$I$650,3, FALSE)," ",VLOOKUP(A23,Competitors!$A$2:$I$650,2,FALSE))))</f>
        <v>Colin Parkinson (SWRC) (HCRC)</v>
      </c>
      <c r="H23" s="20">
        <f t="shared" si="1"/>
        <v>1.7002314814814814E-2</v>
      </c>
      <c r="I23" t="str">
        <f t="shared" ca="1" si="2"/>
        <v>X</v>
      </c>
      <c r="J23" s="40" t="s">
        <v>665</v>
      </c>
    </row>
    <row r="24" spans="1:10" ht="14.25" x14ac:dyDescent="0.15">
      <c r="A24" s="17" t="str">
        <f t="shared" ca="1" si="0"/>
        <v>Mark Muldon</v>
      </c>
      <c r="B24" s="17">
        <v>0</v>
      </c>
      <c r="C24" s="18">
        <v>24</v>
      </c>
      <c r="D24" s="18">
        <v>35</v>
      </c>
      <c r="E24" s="18"/>
      <c r="F24" s="18"/>
      <c r="G24" s="19" t="str">
        <f ca="1">IF($A24="","",IF($I24="X",A24,CONCATENATE(VLOOKUP(A24,Competitors!$A$2:$I$650,3, FALSE)," ",VLOOKUP(A24,Competitors!$A$2:$I$650,2,FALSE))))</f>
        <v>Mark Muldon</v>
      </c>
      <c r="H24" s="20">
        <f t="shared" si="1"/>
        <v>1.7071759259259259E-2</v>
      </c>
      <c r="I24" t="str">
        <f t="shared" ca="1" si="2"/>
        <v>X</v>
      </c>
      <c r="J24" s="40" t="s">
        <v>252</v>
      </c>
    </row>
    <row r="25" spans="1:10" ht="14.25" x14ac:dyDescent="0.15">
      <c r="A25" s="17" t="str">
        <f t="shared" ca="1" si="0"/>
        <v>Tyler Dyson</v>
      </c>
      <c r="B25" s="17">
        <v>0</v>
      </c>
      <c r="C25" s="18">
        <v>24</v>
      </c>
      <c r="D25" s="18">
        <v>37</v>
      </c>
      <c r="E25" s="18"/>
      <c r="F25" s="18"/>
      <c r="G25" s="19" t="str">
        <f ca="1">IF($A25="","",IF($I25="X",A25,CONCATENATE(VLOOKUP(A25,Competitors!$A$2:$I$650,3, FALSE)," ",VLOOKUP(A25,Competitors!$A$2:$I$650,2,FALSE))))</f>
        <v>Tyler Dyson</v>
      </c>
      <c r="H25" s="20">
        <f t="shared" si="1"/>
        <v>1.7094907407407406E-2</v>
      </c>
      <c r="I25" t="str">
        <f t="shared" ca="1" si="2"/>
        <v>X</v>
      </c>
      <c r="J25" s="40" t="s">
        <v>165</v>
      </c>
    </row>
    <row r="26" spans="1:10" ht="14.25" x14ac:dyDescent="0.15">
      <c r="A26" s="17">
        <f t="shared" ca="1" si="0"/>
        <v>1237</v>
      </c>
      <c r="B26" s="17">
        <v>0</v>
      </c>
      <c r="C26" s="18">
        <v>24</v>
      </c>
      <c r="D26" s="18">
        <v>38</v>
      </c>
      <c r="E26" s="18" t="s">
        <v>170</v>
      </c>
      <c r="F26" s="18"/>
      <c r="G26" s="19" t="str">
        <f ca="1">IF($A26="","",IF($I26="X",A26,CONCATENATE(VLOOKUP(A26,Competitors!$A$2:$I$650,3, FALSE)," ",VLOOKUP(A26,Competitors!$A$2:$I$650,2,FALSE))))</f>
        <v>John Abbott</v>
      </c>
      <c r="H26" s="20">
        <f t="shared" si="1"/>
        <v>1.7106481481481483E-2</v>
      </c>
      <c r="I26" t="str">
        <f t="shared" ca="1" si="2"/>
        <v/>
      </c>
      <c r="J26" s="40" t="s">
        <v>598</v>
      </c>
    </row>
    <row r="27" spans="1:10" ht="14.25" x14ac:dyDescent="0.15">
      <c r="A27" s="17" t="str">
        <f t="shared" ca="1" si="0"/>
        <v>Ed Watson (Ratae)</v>
      </c>
      <c r="B27" s="17">
        <v>0</v>
      </c>
      <c r="C27" s="18">
        <v>24</v>
      </c>
      <c r="D27" s="18">
        <v>41</v>
      </c>
      <c r="E27" s="18"/>
      <c r="F27" s="18"/>
      <c r="G27" s="19" t="str">
        <f ca="1">IF($A27="","",IF($I27="X",A27,CONCATENATE(VLOOKUP(A27,Competitors!$A$2:$I$650,3, FALSE)," ",VLOOKUP(A27,Competitors!$A$2:$I$650,2,FALSE))))</f>
        <v>Ed Watson (Ratae)</v>
      </c>
      <c r="H27" s="20">
        <f t="shared" si="1"/>
        <v>1.7141203703703704E-2</v>
      </c>
      <c r="I27" t="str">
        <f t="shared" ca="1" si="2"/>
        <v>X</v>
      </c>
      <c r="J27" s="40" t="s">
        <v>143</v>
      </c>
    </row>
    <row r="28" spans="1:10" ht="14.25" x14ac:dyDescent="0.15">
      <c r="A28" s="17" t="str">
        <f t="shared" ca="1" si="0"/>
        <v>Andy Thomas (HCRC)</v>
      </c>
      <c r="B28" s="17">
        <v>0</v>
      </c>
      <c r="C28" s="18">
        <v>24</v>
      </c>
      <c r="D28" s="18">
        <v>47</v>
      </c>
      <c r="E28" s="18"/>
      <c r="F28" s="18"/>
      <c r="G28" s="19" t="str">
        <f ca="1">IF($A28="","",IF($I28="X",A28,CONCATENATE(VLOOKUP(A28,Competitors!$A$2:$I$650,3, FALSE)," ",VLOOKUP(A28,Competitors!$A$2:$I$650,2,FALSE))))</f>
        <v>Andy Thomas (HCRC)</v>
      </c>
      <c r="H28" s="20">
        <f t="shared" si="1"/>
        <v>1.7210648148148149E-2</v>
      </c>
      <c r="I28" t="str">
        <f t="shared" ca="1" si="2"/>
        <v>X</v>
      </c>
      <c r="J28" s="40" t="s">
        <v>253</v>
      </c>
    </row>
    <row r="29" spans="1:10" ht="14.25" x14ac:dyDescent="0.15">
      <c r="A29" s="17">
        <f t="shared" ca="1" si="0"/>
        <v>846</v>
      </c>
      <c r="B29" s="17">
        <v>0</v>
      </c>
      <c r="C29" s="18">
        <v>24</v>
      </c>
      <c r="D29" s="18">
        <v>53</v>
      </c>
      <c r="E29" s="18"/>
      <c r="F29" s="18"/>
      <c r="G29" s="19" t="str">
        <f ca="1">IF($A29="","",IF($I29="X",A29,CONCATENATE(VLOOKUP(A29,Competitors!$A$2:$I$650,3, FALSE)," ",VLOOKUP(A29,Competitors!$A$2:$I$650,2,FALSE))))</f>
        <v>Roger Kockelbergh</v>
      </c>
      <c r="H29" s="20">
        <f t="shared" si="1"/>
        <v>1.7280092592592593E-2</v>
      </c>
      <c r="I29" t="str">
        <f t="shared" ca="1" si="2"/>
        <v/>
      </c>
      <c r="J29" s="40" t="s">
        <v>601</v>
      </c>
    </row>
    <row r="30" spans="1:10" ht="14.25" x14ac:dyDescent="0.15">
      <c r="A30" s="17" t="str">
        <f t="shared" ca="1" si="0"/>
        <v>Chris Bonsor (Ratae)</v>
      </c>
      <c r="B30" s="17">
        <v>0</v>
      </c>
      <c r="C30" s="18">
        <v>24</v>
      </c>
      <c r="D30" s="18">
        <v>56</v>
      </c>
      <c r="E30" s="18"/>
      <c r="F30" s="18"/>
      <c r="G30" s="19" t="str">
        <f ca="1">IF($A30="","",IF($I30="X",A30,CONCATENATE(VLOOKUP(A30,Competitors!$A$2:$I$650,3, FALSE)," ",VLOOKUP(A30,Competitors!$A$2:$I$650,2,FALSE))))</f>
        <v>Chris Bonsor (Ratae)</v>
      </c>
      <c r="H30" s="20">
        <f t="shared" si="1"/>
        <v>1.7314814814814814E-2</v>
      </c>
      <c r="I30" t="str">
        <f t="shared" ca="1" si="2"/>
        <v>X</v>
      </c>
      <c r="J30" s="40" t="s">
        <v>141</v>
      </c>
    </row>
    <row r="31" spans="1:10" ht="14.25" x14ac:dyDescent="0.15">
      <c r="A31" s="17" t="str">
        <f t="shared" ca="1" si="0"/>
        <v>Gary Rosewarne</v>
      </c>
      <c r="B31" s="17">
        <v>0</v>
      </c>
      <c r="C31" s="18">
        <v>25</v>
      </c>
      <c r="D31" s="18">
        <v>3</v>
      </c>
      <c r="E31" s="18"/>
      <c r="F31" s="18"/>
      <c r="G31" s="19" t="str">
        <f ca="1">IF($A31="","",IF($I31="X",A31,CONCATENATE(VLOOKUP(A31,Competitors!$A$2:$I$650,3, FALSE)," ",VLOOKUP(A31,Competitors!$A$2:$I$650,2,FALSE))))</f>
        <v>Gary Rosewarne</v>
      </c>
      <c r="H31" s="20">
        <f t="shared" si="1"/>
        <v>1.7395833333333333E-2</v>
      </c>
      <c r="I31" t="str">
        <f t="shared" ca="1" si="2"/>
        <v>X</v>
      </c>
      <c r="J31" s="40" t="s">
        <v>254</v>
      </c>
    </row>
    <row r="32" spans="1:10" ht="14.25" x14ac:dyDescent="0.15">
      <c r="A32" s="17">
        <f t="shared" ca="1" si="0"/>
        <v>23</v>
      </c>
      <c r="B32" s="17">
        <v>0</v>
      </c>
      <c r="C32" s="18">
        <v>25</v>
      </c>
      <c r="D32" s="18">
        <v>12</v>
      </c>
      <c r="E32" s="18"/>
      <c r="F32" s="18"/>
      <c r="G32" s="19" t="str">
        <f ca="1">IF($A32="","",IF($I32="X",A32,CONCATENATE(VLOOKUP(A32,Competitors!$A$2:$I$650,3, FALSE)," ",VLOOKUP(A32,Competitors!$A$2:$I$650,2,FALSE))))</f>
        <v>Chris Hyde</v>
      </c>
      <c r="H32" s="20">
        <f t="shared" si="1"/>
        <v>1.7500000000000002E-2</v>
      </c>
      <c r="I32" t="str">
        <f t="shared" ca="1" si="2"/>
        <v/>
      </c>
      <c r="J32" s="40" t="s">
        <v>606</v>
      </c>
    </row>
    <row r="33" spans="1:10" ht="14.25" x14ac:dyDescent="0.15">
      <c r="A33" s="17" t="str">
        <f t="shared" ca="1" si="0"/>
        <v>John Treacy</v>
      </c>
      <c r="B33" s="17">
        <v>0</v>
      </c>
      <c r="C33" s="18">
        <v>25</v>
      </c>
      <c r="D33" s="18">
        <v>21</v>
      </c>
      <c r="E33" s="18"/>
      <c r="F33" s="18"/>
      <c r="G33" s="19" t="str">
        <f ca="1">IF($A33="","",IF($I33="X",A33,CONCATENATE(VLOOKUP(A33,Competitors!$A$2:$I$650,3, FALSE)," ",VLOOKUP(A33,Competitors!$A$2:$I$650,2,FALSE))))</f>
        <v>John Treacy</v>
      </c>
      <c r="H33" s="20">
        <f t="shared" si="1"/>
        <v>1.7604166666666667E-2</v>
      </c>
      <c r="I33" t="str">
        <f t="shared" ca="1" si="2"/>
        <v>X</v>
      </c>
      <c r="J33" s="40" t="s">
        <v>255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>Richard Watson</v>
      </c>
      <c r="B34" s="17">
        <v>0</v>
      </c>
      <c r="C34" s="18">
        <v>25</v>
      </c>
      <c r="D34" s="18">
        <v>36</v>
      </c>
      <c r="E34" s="18"/>
      <c r="F34" s="18"/>
      <c r="G34" s="19" t="str">
        <f ca="1">IF($A34="","",IF($I34="X",A34,CONCATENATE(VLOOKUP(A34,Competitors!$A$2:$I$650,3, FALSE)," ",VLOOKUP(A34,Competitors!$A$2:$I$650,2,FALSE))))</f>
        <v>Richard Watson</v>
      </c>
      <c r="H34" s="20">
        <f t="shared" si="1"/>
        <v>1.7777777777777778E-2</v>
      </c>
      <c r="I34" t="str">
        <f t="shared" ca="1" si="2"/>
        <v>X</v>
      </c>
      <c r="J34" s="40" t="s">
        <v>256</v>
      </c>
    </row>
    <row r="35" spans="1:10" ht="14.25" x14ac:dyDescent="0.15">
      <c r="A35" s="17">
        <f t="shared" ca="1" si="3"/>
        <v>1109</v>
      </c>
      <c r="B35" s="17">
        <v>0</v>
      </c>
      <c r="C35" s="18">
        <v>25</v>
      </c>
      <c r="D35" s="18">
        <v>41</v>
      </c>
      <c r="E35" s="18"/>
      <c r="F35" s="18"/>
      <c r="G35" s="19" t="str">
        <f ca="1">IF($A35="","",IF($I35="X",A35,CONCATENATE(VLOOKUP(A35,Competitors!$A$2:$I$650,3, FALSE)," ",VLOOKUP(A35,Competitors!$A$2:$I$650,2,FALSE))))</f>
        <v>Stuart Haycox</v>
      </c>
      <c r="H35" s="20">
        <f t="shared" si="1"/>
        <v>1.7835648148148149E-2</v>
      </c>
      <c r="I35" t="str">
        <f t="shared" ca="1" si="2"/>
        <v/>
      </c>
      <c r="J35" s="40" t="s">
        <v>643</v>
      </c>
    </row>
    <row r="36" spans="1:10" ht="14.25" x14ac:dyDescent="0.15">
      <c r="A36" s="17" t="str">
        <f t="shared" ca="1" si="3"/>
        <v>John Capel</v>
      </c>
      <c r="B36" s="17">
        <v>0</v>
      </c>
      <c r="C36" s="18">
        <v>25</v>
      </c>
      <c r="D36" s="18">
        <v>53</v>
      </c>
      <c r="E36" s="18"/>
      <c r="F36" s="18"/>
      <c r="G36" s="19" t="str">
        <f ca="1">IF($A36="","",IF($I36="X",A36,CONCATENATE(VLOOKUP(A36,Competitors!$A$2:$I$650,3, FALSE)," ",VLOOKUP(A36,Competitors!$A$2:$I$650,2,FALSE))))</f>
        <v>John Capel</v>
      </c>
      <c r="H36" s="20">
        <f t="shared" si="1"/>
        <v>1.7974537037037035E-2</v>
      </c>
      <c r="I36" t="str">
        <f t="shared" ca="1" si="2"/>
        <v>X</v>
      </c>
      <c r="J36" s="40" t="s">
        <v>257</v>
      </c>
    </row>
    <row r="37" spans="1:10" ht="14.25" x14ac:dyDescent="0.15">
      <c r="A37" s="17">
        <f t="shared" ca="1" si="3"/>
        <v>704</v>
      </c>
      <c r="B37" s="17">
        <v>0</v>
      </c>
      <c r="C37" s="18">
        <v>25</v>
      </c>
      <c r="D37" s="18">
        <v>53</v>
      </c>
      <c r="E37" s="18"/>
      <c r="F37" s="18"/>
      <c r="G37" s="19" t="str">
        <f ca="1">IF($A37="","",IF($I37="X",A37,CONCATENATE(VLOOKUP(A37,Competitors!$A$2:$I$650,3, FALSE)," ",VLOOKUP(A37,Competitors!$A$2:$I$650,2,FALSE))))</f>
        <v>Chris Dainty</v>
      </c>
      <c r="H37" s="20">
        <f t="shared" si="1"/>
        <v>1.7974537037037035E-2</v>
      </c>
      <c r="I37" t="str">
        <f t="shared" ca="1" si="2"/>
        <v/>
      </c>
      <c r="J37" s="40" t="s">
        <v>605</v>
      </c>
    </row>
    <row r="38" spans="1:10" ht="14.25" x14ac:dyDescent="0.15">
      <c r="A38" s="17">
        <f t="shared" ca="1" si="3"/>
        <v>1112</v>
      </c>
      <c r="B38" s="17">
        <v>0</v>
      </c>
      <c r="C38" s="18">
        <v>25</v>
      </c>
      <c r="D38" s="18">
        <v>59</v>
      </c>
      <c r="E38" s="18"/>
      <c r="F38" s="18"/>
      <c r="G38" s="19" t="str">
        <f ca="1">IF($A38="","",IF($I38="X",A38,CONCATENATE(VLOOKUP(A38,Competitors!$A$2:$I$650,3, FALSE)," ",VLOOKUP(A38,Competitors!$A$2:$I$650,2,FALSE))))</f>
        <v>Gary Ashwell</v>
      </c>
      <c r="H38" s="20">
        <f t="shared" si="1"/>
        <v>1.804398148148148E-2</v>
      </c>
      <c r="I38" t="str">
        <f t="shared" ca="1" si="2"/>
        <v/>
      </c>
      <c r="J38" s="40" t="s">
        <v>607</v>
      </c>
    </row>
    <row r="39" spans="1:10" ht="14.25" x14ac:dyDescent="0.15">
      <c r="A39" s="17">
        <f t="shared" ca="1" si="3"/>
        <v>1193</v>
      </c>
      <c r="B39" s="17">
        <v>0</v>
      </c>
      <c r="C39" s="18">
        <v>25</v>
      </c>
      <c r="D39" s="18">
        <v>59</v>
      </c>
      <c r="E39" s="18" t="s">
        <v>170</v>
      </c>
      <c r="F39" s="18"/>
      <c r="G39" s="19" t="str">
        <f ca="1">IF($A39="","",IF($I39="X",A39,CONCATENATE(VLOOKUP(A39,Competitors!$A$2:$I$650,3, FALSE)," ",VLOOKUP(A39,Competitors!$A$2:$I$650,2,FALSE))))</f>
        <v>Richard Hardwicke</v>
      </c>
      <c r="H39" s="20">
        <f t="shared" si="1"/>
        <v>1.804398148148148E-2</v>
      </c>
      <c r="I39" t="str">
        <f t="shared" ca="1" si="2"/>
        <v/>
      </c>
      <c r="J39" s="40" t="s">
        <v>617</v>
      </c>
    </row>
    <row r="40" spans="1:10" ht="14.25" x14ac:dyDescent="0.15">
      <c r="A40" s="17" t="str">
        <f t="shared" ca="1" si="3"/>
        <v>Steve Pearce (Ratae)</v>
      </c>
      <c r="B40" s="17">
        <v>0</v>
      </c>
      <c r="C40" s="18">
        <v>26</v>
      </c>
      <c r="D40" s="18">
        <v>5</v>
      </c>
      <c r="E40" s="18"/>
      <c r="F40" s="18"/>
      <c r="G40" s="19" t="str">
        <f ca="1">IF($A40="","",IF($I40="X",A40,CONCATENATE(VLOOKUP(A40,Competitors!$A$2:$I$650,3, FALSE)," ",VLOOKUP(A40,Competitors!$A$2:$I$650,2,FALSE))))</f>
        <v>Steve Pearce (Ratae)</v>
      </c>
      <c r="H40" s="20">
        <f t="shared" si="1"/>
        <v>1.8113425925925925E-2</v>
      </c>
      <c r="I40" t="str">
        <f t="shared" ca="1" si="2"/>
        <v>X</v>
      </c>
      <c r="J40" s="40" t="s">
        <v>149</v>
      </c>
    </row>
    <row r="41" spans="1:10" ht="14.25" x14ac:dyDescent="0.15">
      <c r="A41" s="17" t="str">
        <f t="shared" ca="1" si="3"/>
        <v>Gavin Hinxman</v>
      </c>
      <c r="B41" s="17">
        <v>0</v>
      </c>
      <c r="C41" s="18">
        <v>26</v>
      </c>
      <c r="D41" s="18">
        <v>11</v>
      </c>
      <c r="E41" s="18"/>
      <c r="F41" s="18"/>
      <c r="G41" s="19" t="str">
        <f ca="1">IF($A41="","",IF($I41="X",A41,CONCATENATE(VLOOKUP(A41,Competitors!$A$2:$I$650,3, FALSE)," ",VLOOKUP(A41,Competitors!$A$2:$I$650,2,FALSE))))</f>
        <v>Gavin Hinxman</v>
      </c>
      <c r="H41" s="20">
        <f t="shared" si="1"/>
        <v>1.818287037037037E-2</v>
      </c>
      <c r="I41" t="str">
        <f t="shared" ca="1" si="2"/>
        <v>X</v>
      </c>
      <c r="J41" s="40" t="s">
        <v>258</v>
      </c>
    </row>
    <row r="42" spans="1:10" ht="14.25" x14ac:dyDescent="0.15">
      <c r="A42" s="17">
        <f t="shared" ca="1" si="3"/>
        <v>1385</v>
      </c>
      <c r="B42" s="17">
        <v>0</v>
      </c>
      <c r="C42" s="18">
        <v>26</v>
      </c>
      <c r="D42" s="18">
        <v>13</v>
      </c>
      <c r="E42" s="18" t="s">
        <v>170</v>
      </c>
      <c r="F42" s="18"/>
      <c r="G42" s="19" t="str">
        <f ca="1">IF($A42="","",IF($I42="X",A42,CONCATENATE(VLOOKUP(A42,Competitors!$A$2:$I$650,3, FALSE)," ",VLOOKUP(A42,Competitors!$A$2:$I$650,2,FALSE))))</f>
        <v>Miles Marr</v>
      </c>
      <c r="H42" s="20">
        <f t="shared" si="1"/>
        <v>1.8206018518518517E-2</v>
      </c>
      <c r="I42" t="str">
        <f t="shared" ca="1" si="2"/>
        <v/>
      </c>
      <c r="J42" s="40" t="s">
        <v>213</v>
      </c>
    </row>
    <row r="43" spans="1:10" ht="14.25" x14ac:dyDescent="0.15">
      <c r="A43" s="17">
        <v>1348</v>
      </c>
      <c r="B43" s="17">
        <v>0</v>
      </c>
      <c r="C43" s="18">
        <v>26</v>
      </c>
      <c r="D43" s="18">
        <v>16</v>
      </c>
      <c r="E43" s="18" t="s">
        <v>170</v>
      </c>
      <c r="F43" s="18"/>
      <c r="G43" s="19" t="str">
        <f>IF($A43="","",IF($I43="X",A43,CONCATENATE(VLOOKUP(A43,Competitors!$A$2:$I$650,3, FALSE)," ",VLOOKUP(A43,Competitors!$A$2:$I$650,2,FALSE))))</f>
        <v>Lydia Baxter</v>
      </c>
      <c r="H43" s="20">
        <f t="shared" si="1"/>
        <v>1.8240740740740741E-2</v>
      </c>
      <c r="I43" t="str">
        <f t="shared" si="2"/>
        <v/>
      </c>
      <c r="J43" s="40" t="s">
        <v>259</v>
      </c>
    </row>
    <row r="44" spans="1:10" ht="14.25" x14ac:dyDescent="0.15">
      <c r="A44" s="17">
        <f t="shared" ca="1" si="3"/>
        <v>1107</v>
      </c>
      <c r="B44" s="17">
        <v>0</v>
      </c>
      <c r="C44" s="18">
        <v>26</v>
      </c>
      <c r="D44" s="18">
        <v>26</v>
      </c>
      <c r="E44" s="18" t="s">
        <v>170</v>
      </c>
      <c r="F44" s="18"/>
      <c r="G44" s="19" t="str">
        <f ca="1">IF($A44="","",IF($I44="X",A44,CONCATENATE(VLOOKUP(A44,Competitors!$A$2:$I$650,3, FALSE)," ",VLOOKUP(A44,Competitors!$A$2:$I$650,2,FALSE))))</f>
        <v>Milly Pinnock</v>
      </c>
      <c r="H44" s="20">
        <f t="shared" si="1"/>
        <v>1.8356481481481481E-2</v>
      </c>
      <c r="I44" t="str">
        <f t="shared" ca="1" si="2"/>
        <v/>
      </c>
      <c r="J44" s="40" t="s">
        <v>600</v>
      </c>
    </row>
    <row r="45" spans="1:10" ht="14.25" x14ac:dyDescent="0.15">
      <c r="A45" s="17" t="str">
        <f t="shared" ca="1" si="3"/>
        <v>Mark Marmoy (Ratae)</v>
      </c>
      <c r="B45" s="17">
        <v>0</v>
      </c>
      <c r="C45" s="18">
        <v>26</v>
      </c>
      <c r="D45" s="18">
        <v>26</v>
      </c>
      <c r="E45" s="18"/>
      <c r="F45" s="18"/>
      <c r="G45" s="19" t="str">
        <f ca="1">IF($A45="","",IF($I45="X",A45,CONCATENATE(VLOOKUP(A45,Competitors!$A$2:$I$650,3, FALSE)," ",VLOOKUP(A45,Competitors!$A$2:$I$650,2,FALSE))))</f>
        <v>Mark Marmoy (Ratae)</v>
      </c>
      <c r="H45" s="20">
        <f t="shared" si="1"/>
        <v>1.8356481481481481E-2</v>
      </c>
      <c r="I45" t="str">
        <f t="shared" ca="1" si="2"/>
        <v>X</v>
      </c>
      <c r="J45" s="40" t="s">
        <v>144</v>
      </c>
    </row>
    <row r="46" spans="1:10" ht="14.25" x14ac:dyDescent="0.15">
      <c r="A46" s="17">
        <f t="shared" ca="1" si="3"/>
        <v>616</v>
      </c>
      <c r="B46" s="17">
        <v>0</v>
      </c>
      <c r="C46" s="18">
        <v>27</v>
      </c>
      <c r="D46" s="18">
        <v>17</v>
      </c>
      <c r="E46" s="18"/>
      <c r="F46" s="18"/>
      <c r="G46" s="19" t="str">
        <f ca="1">IF($A46="","",IF($I46="X",A46,CONCATENATE(VLOOKUP(A46,Competitors!$A$2:$I$650,3, FALSE)," ",VLOOKUP(A46,Competitors!$A$2:$I$650,2,FALSE))))</f>
        <v>Simon Ward</v>
      </c>
      <c r="H46" s="20">
        <f t="shared" si="1"/>
        <v>1.894675925925926E-2</v>
      </c>
      <c r="I46" t="str">
        <f t="shared" ca="1" si="2"/>
        <v/>
      </c>
      <c r="J46" s="40" t="s">
        <v>610</v>
      </c>
    </row>
    <row r="47" spans="1:10" ht="14.25" x14ac:dyDescent="0.15">
      <c r="A47" s="17" t="str">
        <f t="shared" ca="1" si="3"/>
        <v>Matt Scholes</v>
      </c>
      <c r="B47" s="17">
        <v>0</v>
      </c>
      <c r="C47" s="18">
        <v>27</v>
      </c>
      <c r="D47" s="18">
        <v>25</v>
      </c>
      <c r="E47" s="18"/>
      <c r="F47" s="18"/>
      <c r="G47" s="19" t="str">
        <f ca="1">IF($A47="","",IF($I47="X",A47,CONCATENATE(VLOOKUP(A47,Competitors!$A$2:$I$650,3, FALSE)," ",VLOOKUP(A47,Competitors!$A$2:$I$650,2,FALSE))))</f>
        <v>Matt Scholes</v>
      </c>
      <c r="H47" s="20">
        <f t="shared" si="1"/>
        <v>1.9039351851851852E-2</v>
      </c>
      <c r="I47" t="str">
        <f t="shared" ca="1" si="2"/>
        <v>X</v>
      </c>
      <c r="J47" s="40" t="s">
        <v>260</v>
      </c>
    </row>
    <row r="48" spans="1:10" ht="14.25" x14ac:dyDescent="0.15">
      <c r="A48" s="17" t="str">
        <f t="shared" ca="1" si="3"/>
        <v>Harriet Hughes (LFCC)</v>
      </c>
      <c r="B48" s="17">
        <v>0</v>
      </c>
      <c r="C48" s="18">
        <v>27</v>
      </c>
      <c r="D48" s="18">
        <v>45</v>
      </c>
      <c r="E48" s="18"/>
      <c r="F48" s="18"/>
      <c r="G48" s="19" t="str">
        <f ca="1">IF($A48="","",IF($I48="X",A48,CONCATENATE(VLOOKUP(A48,Competitors!$A$2:$I$650,3, FALSE)," ",VLOOKUP(A48,Competitors!$A$2:$I$650,2,FALSE))))</f>
        <v>Harriet Hughes (LFCC)</v>
      </c>
      <c r="H48" s="20">
        <f t="shared" si="1"/>
        <v>1.9270833333333334E-2</v>
      </c>
      <c r="I48" t="str">
        <f t="shared" ca="1" si="2"/>
        <v>X</v>
      </c>
      <c r="J48" s="40" t="s">
        <v>124</v>
      </c>
    </row>
    <row r="49" spans="1:10" ht="14.25" x14ac:dyDescent="0.15">
      <c r="A49" s="17">
        <f t="shared" ca="1" si="3"/>
        <v>1194</v>
      </c>
      <c r="B49" s="17">
        <v>0</v>
      </c>
      <c r="C49" s="18">
        <v>28</v>
      </c>
      <c r="D49" s="18">
        <v>18</v>
      </c>
      <c r="E49" s="18" t="s">
        <v>170</v>
      </c>
      <c r="F49" s="18"/>
      <c r="G49" s="19" t="str">
        <f ca="1">IF($A49="","",IF($I49="X",A49,CONCATENATE(VLOOKUP(A49,Competitors!$A$2:$I$650,3, FALSE)," ",VLOOKUP(A49,Competitors!$A$2:$I$650,2,FALSE))))</f>
        <v>Alex Hardwicke</v>
      </c>
      <c r="H49" s="20">
        <f t="shared" si="1"/>
        <v>1.9652777777777779E-2</v>
      </c>
      <c r="I49" t="str">
        <f t="shared" ca="1" si="2"/>
        <v/>
      </c>
      <c r="J49" s="40" t="s">
        <v>611</v>
      </c>
    </row>
    <row r="50" spans="1:10" ht="14.25" x14ac:dyDescent="0.15">
      <c r="A50" s="17" t="str">
        <f t="shared" ca="1" si="3"/>
        <v>Steve Walsh</v>
      </c>
      <c r="B50" s="17">
        <v>0</v>
      </c>
      <c r="C50" s="18">
        <v>28</v>
      </c>
      <c r="D50" s="18">
        <v>25</v>
      </c>
      <c r="E50" s="18"/>
      <c r="F50" s="18"/>
      <c r="G50" s="19" t="str">
        <f ca="1">IF($A50="","",IF($I50="X",A50,CONCATENATE(VLOOKUP(A50,Competitors!$A$2:$I$650,3, FALSE)," ",VLOOKUP(A50,Competitors!$A$2:$I$650,2,FALSE))))</f>
        <v>Steve Walsh</v>
      </c>
      <c r="H50" s="20">
        <f t="shared" si="1"/>
        <v>1.9733796296296298E-2</v>
      </c>
      <c r="I50" t="str">
        <f t="shared" ca="1" si="2"/>
        <v>X</v>
      </c>
      <c r="J50" s="40" t="s">
        <v>261</v>
      </c>
    </row>
    <row r="51" spans="1:10" ht="14.25" x14ac:dyDescent="0.15">
      <c r="A51" s="17" t="str">
        <f t="shared" ca="1" si="3"/>
        <v>Lynne Scofield (RFW)</v>
      </c>
      <c r="B51" s="17">
        <v>0</v>
      </c>
      <c r="C51" s="18">
        <v>28</v>
      </c>
      <c r="D51" s="18">
        <v>40</v>
      </c>
      <c r="E51" s="18"/>
      <c r="F51" s="18"/>
      <c r="G51" s="19" t="str">
        <f ca="1">IF($A51="","",IF($I51="X",A51,CONCATENATE(VLOOKUP(A51,Competitors!$A$2:$I$650,3, FALSE)," ",VLOOKUP(A51,Competitors!$A$2:$I$650,2,FALSE))))</f>
        <v>Lynne Scofield (RFW)</v>
      </c>
      <c r="H51" s="20">
        <f t="shared" si="1"/>
        <v>1.9907407407407408E-2</v>
      </c>
      <c r="I51" t="str">
        <f t="shared" ca="1" si="2"/>
        <v>X</v>
      </c>
      <c r="J51" s="40" t="s">
        <v>155</v>
      </c>
    </row>
    <row r="52" spans="1:10" ht="14.25" x14ac:dyDescent="0.15">
      <c r="A52" s="17" t="str">
        <f t="shared" ca="1" si="3"/>
        <v>Cathy Scholes (W)</v>
      </c>
      <c r="B52" s="17">
        <v>0</v>
      </c>
      <c r="C52" s="18">
        <v>30</v>
      </c>
      <c r="D52" s="18">
        <v>5</v>
      </c>
      <c r="E52" s="18"/>
      <c r="F52" s="18"/>
      <c r="G52" s="19" t="str">
        <f ca="1">IF($A52="","",IF($I52="X",A52,CONCATENATE(VLOOKUP(A52,Competitors!$A$2:$I$650,3, FALSE)," ",VLOOKUP(A52,Competitors!$A$2:$I$650,2,FALSE))))</f>
        <v>Cathy Scholes (W)</v>
      </c>
      <c r="H52" s="20">
        <f t="shared" si="1"/>
        <v>2.0891203703703703E-2</v>
      </c>
      <c r="I52" t="str">
        <f t="shared" ca="1" si="2"/>
        <v>X</v>
      </c>
      <c r="J52" s="40" t="s">
        <v>673</v>
      </c>
    </row>
    <row r="53" spans="1:10" ht="14.25" x14ac:dyDescent="0.15">
      <c r="A53" s="17" t="str">
        <f t="shared" ca="1" si="3"/>
        <v>Paul Eden (Ratae)</v>
      </c>
      <c r="B53" s="17">
        <v>0</v>
      </c>
      <c r="C53" s="18">
        <v>30</v>
      </c>
      <c r="D53" s="18">
        <v>7</v>
      </c>
      <c r="E53" s="18"/>
      <c r="F53" s="18"/>
      <c r="G53" s="19" t="str">
        <f ca="1">IF($A53="","",IF($I53="X",A53,CONCATENATE(VLOOKUP(A53,Competitors!$A$2:$I$650,3, FALSE)," ",VLOOKUP(A53,Competitors!$A$2:$I$650,2,FALSE))))</f>
        <v>Paul Eden (Ratae)</v>
      </c>
      <c r="H53" s="20">
        <f t="shared" si="1"/>
        <v>2.0914351851851851E-2</v>
      </c>
      <c r="I53" t="str">
        <f t="shared" ca="1" si="2"/>
        <v>X</v>
      </c>
      <c r="J53" s="40" t="s">
        <v>147</v>
      </c>
    </row>
    <row r="54" spans="1:10" ht="14.25" x14ac:dyDescent="0.15">
      <c r="A54" s="17">
        <f t="shared" ca="1" si="3"/>
        <v>1175</v>
      </c>
      <c r="B54" s="17">
        <v>0</v>
      </c>
      <c r="C54" s="18">
        <v>30</v>
      </c>
      <c r="D54" s="18">
        <v>8</v>
      </c>
      <c r="E54" s="18" t="s">
        <v>170</v>
      </c>
      <c r="F54" s="18"/>
      <c r="G54" s="19" t="str">
        <f ca="1">IF($A54="","",IF($I54="X",A54,CONCATENATE(VLOOKUP(A54,Competitors!$A$2:$I$650,3, FALSE)," ",VLOOKUP(A54,Competitors!$A$2:$I$650,2,FALSE))))</f>
        <v>Richard Harrison</v>
      </c>
      <c r="H54" s="20">
        <f t="shared" si="1"/>
        <v>2.0925925925925924E-2</v>
      </c>
      <c r="I54" t="str">
        <f t="shared" ca="1" si="2"/>
        <v/>
      </c>
      <c r="J54" s="40" t="s">
        <v>650</v>
      </c>
    </row>
    <row r="55" spans="1:10" ht="14.25" x14ac:dyDescent="0.15">
      <c r="A55" s="17" t="str">
        <f t="shared" ca="1" si="3"/>
        <v>David York</v>
      </c>
      <c r="B55" s="17">
        <v>0</v>
      </c>
      <c r="C55" s="18">
        <v>30</v>
      </c>
      <c r="D55" s="18">
        <v>40</v>
      </c>
      <c r="E55" s="18"/>
      <c r="F55" s="18"/>
      <c r="G55" s="19" t="str">
        <f ca="1">IF($A55="","",IF($I55="X",A55,CONCATENATE(VLOOKUP(A55,Competitors!$A$2:$I$650,3, FALSE)," ",VLOOKUP(A55,Competitors!$A$2:$I$650,2,FALSE))))</f>
        <v>David York</v>
      </c>
      <c r="H55" s="20">
        <f t="shared" si="1"/>
        <v>2.1296296296296296E-2</v>
      </c>
      <c r="I55" t="str">
        <f t="shared" ca="1" si="2"/>
        <v>X</v>
      </c>
      <c r="J55" s="40" t="s">
        <v>262</v>
      </c>
    </row>
    <row r="56" spans="1:10" ht="14.25" x14ac:dyDescent="0.15">
      <c r="A56" s="17">
        <f t="shared" ca="1" si="3"/>
        <v>7</v>
      </c>
      <c r="B56" s="17">
        <v>0</v>
      </c>
      <c r="C56" s="18">
        <v>31</v>
      </c>
      <c r="D56" s="18">
        <v>26</v>
      </c>
      <c r="E56" s="18" t="s">
        <v>170</v>
      </c>
      <c r="F56" s="18"/>
      <c r="G56" s="19" t="str">
        <f ca="1">IF($A56="","",IF($I56="X",A56,CONCATENATE(VLOOKUP(A56,Competitors!$A$2:$I$650,3, FALSE)," ",VLOOKUP(A56,Competitors!$A$2:$I$650,2,FALSE))))</f>
        <v>Vic Barnett</v>
      </c>
      <c r="H56" s="20">
        <f t="shared" si="1"/>
        <v>2.1828703703703704E-2</v>
      </c>
      <c r="I56" t="str">
        <f t="shared" ca="1" si="2"/>
        <v/>
      </c>
      <c r="J56" s="40" t="s">
        <v>625</v>
      </c>
    </row>
    <row r="57" spans="1:10" ht="14.25" x14ac:dyDescent="0.15">
      <c r="A57" s="17">
        <f t="shared" ca="1" si="3"/>
        <v>935</v>
      </c>
      <c r="B57" s="17">
        <v>0</v>
      </c>
      <c r="C57" s="18">
        <v>31</v>
      </c>
      <c r="D57" s="18">
        <v>52</v>
      </c>
      <c r="E57" s="18"/>
      <c r="F57" s="18"/>
      <c r="G57" s="19" t="str">
        <f ca="1">IF($A57="","",IF($I57="X",A57,CONCATENATE(VLOOKUP(A57,Competitors!$A$2:$I$650,3, FALSE)," ",VLOOKUP(A57,Competitors!$A$2:$I$650,2,FALSE))))</f>
        <v>Sophie Ward</v>
      </c>
      <c r="H57" s="20">
        <f t="shared" si="1"/>
        <v>2.2129629629629631E-2</v>
      </c>
      <c r="I57" t="str">
        <f t="shared" ca="1" si="2"/>
        <v/>
      </c>
      <c r="J57" s="40" t="s">
        <v>651</v>
      </c>
    </row>
    <row r="58" spans="1:10" ht="14.25" x14ac:dyDescent="0.15">
      <c r="A58" s="17">
        <f t="shared" ca="1" si="3"/>
        <v>581</v>
      </c>
      <c r="B58" s="17">
        <v>0</v>
      </c>
      <c r="C58" s="18">
        <v>32</v>
      </c>
      <c r="D58" s="18">
        <v>7</v>
      </c>
      <c r="E58" s="18" t="s">
        <v>170</v>
      </c>
      <c r="F58" s="18"/>
      <c r="G58" s="19" t="str">
        <f ca="1">IF($A58="","",IF($I58="X",A58,CONCATENATE(VLOOKUP(A58,Competitors!$A$2:$I$650,3, FALSE)," ",VLOOKUP(A58,Competitors!$A$2:$I$650,2,FALSE))))</f>
        <v>Mike Ives</v>
      </c>
      <c r="H58" s="20">
        <f t="shared" si="1"/>
        <v>2.2303240740740742E-2</v>
      </c>
      <c r="I58" t="str">
        <f t="shared" ca="1" si="2"/>
        <v/>
      </c>
      <c r="J58" s="40" t="s">
        <v>0</v>
      </c>
    </row>
    <row r="59" spans="1:10" ht="14.25" x14ac:dyDescent="0.15">
      <c r="A59" s="17" t="str">
        <f t="shared" ca="1" si="3"/>
        <v/>
      </c>
      <c r="B59" s="17"/>
      <c r="C59" s="18"/>
      <c r="D59" s="18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8"/>
      <c r="D60" s="18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8"/>
      <c r="D61" s="18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8"/>
      <c r="D62" s="18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8"/>
      <c r="D63" s="18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8"/>
      <c r="D64" s="18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8"/>
      <c r="D65" s="18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18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8"/>
      <c r="D67" s="18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8"/>
      <c r="D68" s="18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8"/>
      <c r="D69" s="18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8"/>
      <c r="D70" s="18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8"/>
      <c r="D71" s="18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8"/>
      <c r="D72" s="18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8"/>
      <c r="D73" s="18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8"/>
      <c r="D74" s="18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8"/>
      <c r="D75" s="18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8"/>
      <c r="D76" s="18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8"/>
      <c r="D77" s="18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8"/>
      <c r="D78" s="18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8"/>
      <c r="D79" s="18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8"/>
      <c r="D80" s="18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8"/>
      <c r="D81" s="18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8"/>
      <c r="D82" s="18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8"/>
      <c r="D83" s="18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8"/>
      <c r="D84" s="18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8"/>
      <c r="D85" s="18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8"/>
      <c r="D86" s="18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8"/>
      <c r="D87" s="18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8"/>
      <c r="D88" s="18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8"/>
      <c r="D89" s="18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8"/>
      <c r="D90" s="18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8"/>
      <c r="D91" s="18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8"/>
      <c r="D92" s="18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8"/>
      <c r="D93" s="18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8"/>
      <c r="D94" s="18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8"/>
      <c r="D95" s="18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8"/>
      <c r="D96" s="18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8"/>
      <c r="D97" s="18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8"/>
      <c r="D98" s="18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8"/>
      <c r="D99" s="18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8"/>
      <c r="D100" s="18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8"/>
      <c r="D101" s="18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17" priority="1">
      <formula>TEXT($B$104,"@")="Y"</formula>
    </cfRule>
  </conditionalFormatting>
  <conditionalFormatting sqref="G2:H101">
    <cfRule type="expression" dxfId="16" priority="3">
      <formula>$I2="X"</formula>
    </cfRule>
  </conditionalFormatting>
  <conditionalFormatting sqref="H2:H101">
    <cfRule type="expression" dxfId="15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A44F-4AC5-48E7-AFB5-9EB4E9EBC74E}">
  <sheetPr codeName="Sheet44"/>
  <dimension ref="A1:J104"/>
  <sheetViews>
    <sheetView zoomScale="75" zoomScaleNormal="75" workbookViewId="0">
      <selection activeCell="C65" sqref="C65"/>
    </sheetView>
  </sheetViews>
  <sheetFormatPr defaultColWidth="9.16796875" defaultRowHeight="12.75" x14ac:dyDescent="0.15"/>
  <cols>
    <col min="1" max="1" width="25.08203125" bestFit="1" customWidth="1"/>
    <col min="2" max="4" width="4.71875" customWidth="1"/>
    <col min="5" max="6" width="18.203125" customWidth="1"/>
    <col min="7" max="7" width="36.54296875" customWidth="1"/>
    <col min="8" max="8" width="14.6953125" style="23" bestFit="1" customWidth="1"/>
    <col min="9" max="9" width="19.28125" bestFit="1" customWidth="1"/>
    <col min="10" max="10" width="16.31640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28" t="str">
        <f t="shared" ref="A2:A33" ca="1" si="0">IF(J2="","",_xlfn.XLOOKUP(J2,ClubNames,ClubNumbers,_xlfn.XLOOKUP(J2,RoundRobinRiderNames,RoundRobinRiderDecoratedNames,J2)))</f>
        <v>Alex Whitmore (Ratae)</v>
      </c>
      <c r="B2" s="28">
        <v>0</v>
      </c>
      <c r="C2" s="28">
        <v>23</v>
      </c>
      <c r="D2" s="28">
        <v>12</v>
      </c>
      <c r="E2" s="28" t="s">
        <v>170</v>
      </c>
      <c r="F2" s="28"/>
      <c r="G2" s="19" t="str">
        <f ca="1">IF($A2="","",IF($I2="X",A2,CONCATENATE(VLOOKUP(A2,Competitors!$A$2:$I$650,3, FALSE)," ",VLOOKUP(A2,Competitors!$A$2:$I$650,2,FALSE))))</f>
        <v>Alex Whitmore (Ratae)</v>
      </c>
      <c r="H2" s="20">
        <f>IF(LEFT($E2,1)="D",UPPER($E2),(B2*3600+C2*60+D2)/86400)</f>
        <v>1.6111111111111111E-2</v>
      </c>
      <c r="I2" t="str">
        <f ca="1">IF(OR(A2="",ISNUMBER(A2)),"","X")</f>
        <v>X</v>
      </c>
      <c r="J2" s="40" t="s">
        <v>139</v>
      </c>
    </row>
    <row r="3" spans="1:10" ht="14.25" x14ac:dyDescent="0.15">
      <c r="A3" s="28">
        <f t="shared" ca="1" si="0"/>
        <v>407</v>
      </c>
      <c r="B3" s="28">
        <v>0</v>
      </c>
      <c r="C3" s="28">
        <v>23</v>
      </c>
      <c r="D3" s="28">
        <v>30</v>
      </c>
      <c r="E3" s="28"/>
      <c r="F3" s="28"/>
      <c r="G3" s="19" t="str">
        <f ca="1">IF($A3="","",IF($I3="X",A3,CONCATENATE(VLOOKUP(A3,Competitors!$A$2:$I$650,3, FALSE)," ",VLOOKUP(A3,Competitors!$A$2:$I$650,2,FALSE))))</f>
        <v>Hans van Nierop</v>
      </c>
      <c r="H3" s="20">
        <f t="shared" ref="H3:H66" si="1">IF(LEFT($E3,1)="D",UPPER($E3),(B3*3600+C3*60+D3)/86400)</f>
        <v>1.6319444444444445E-2</v>
      </c>
      <c r="I3" t="str">
        <f t="shared" ref="I3:I66" ca="1" si="2">IF(OR(A3="",ISNUMBER(A3)),"","X")</f>
        <v/>
      </c>
      <c r="J3" s="40" t="s">
        <v>583</v>
      </c>
    </row>
    <row r="4" spans="1:10" ht="14.25" x14ac:dyDescent="0.15">
      <c r="A4" s="28">
        <f t="shared" ca="1" si="0"/>
        <v>747</v>
      </c>
      <c r="B4" s="28">
        <v>0</v>
      </c>
      <c r="C4" s="28">
        <v>23</v>
      </c>
      <c r="D4" s="28">
        <v>47</v>
      </c>
      <c r="E4" s="28"/>
      <c r="F4" s="28"/>
      <c r="G4" s="19" t="str">
        <f ca="1">IF($A4="","",IF($I4="X",A4,CONCATENATE(VLOOKUP(A4,Competitors!$A$2:$I$650,3, FALSE)," ",VLOOKUP(A4,Competitors!$A$2:$I$650,2,FALSE))))</f>
        <v>James Moore</v>
      </c>
      <c r="H4" s="20">
        <f t="shared" si="1"/>
        <v>1.6516203703703703E-2</v>
      </c>
      <c r="I4" t="str">
        <f t="shared" ca="1" si="2"/>
        <v/>
      </c>
      <c r="J4" s="40" t="s">
        <v>591</v>
      </c>
    </row>
    <row r="5" spans="1:10" ht="14.25" x14ac:dyDescent="0.15">
      <c r="A5" s="28">
        <f t="shared" ca="1" si="0"/>
        <v>967</v>
      </c>
      <c r="B5" s="28">
        <v>0</v>
      </c>
      <c r="C5" s="28">
        <v>24</v>
      </c>
      <c r="D5" s="28">
        <v>49</v>
      </c>
      <c r="E5" s="28" t="s">
        <v>170</v>
      </c>
      <c r="F5" s="28"/>
      <c r="G5" s="19" t="str">
        <f ca="1">IF($A5="","",IF($I5="X",A5,CONCATENATE(VLOOKUP(A5,Competitors!$A$2:$I$650,3, FALSE)," ",VLOOKUP(A5,Competitors!$A$2:$I$650,2,FALSE))))</f>
        <v>Daniel McDonnell</v>
      </c>
      <c r="H5" s="20">
        <f t="shared" si="1"/>
        <v>1.7233796296296296E-2</v>
      </c>
      <c r="I5" t="str">
        <f t="shared" ca="1" si="2"/>
        <v/>
      </c>
      <c r="J5" s="40" t="s">
        <v>620</v>
      </c>
    </row>
    <row r="6" spans="1:10" ht="14.25" x14ac:dyDescent="0.15">
      <c r="A6" s="28">
        <f t="shared" ca="1" si="0"/>
        <v>989</v>
      </c>
      <c r="B6" s="28">
        <v>0</v>
      </c>
      <c r="C6" s="28">
        <v>25</v>
      </c>
      <c r="D6" s="28">
        <v>30</v>
      </c>
      <c r="E6" s="28" t="s">
        <v>170</v>
      </c>
      <c r="F6" s="28"/>
      <c r="G6" s="19" t="str">
        <f ca="1">IF($A6="","",IF($I6="X",A6,CONCATENATE(VLOOKUP(A6,Competitors!$A$2:$I$650,3, FALSE)," ",VLOOKUP(A6,Competitors!$A$2:$I$650,2,FALSE))))</f>
        <v>Jason Williams</v>
      </c>
      <c r="H6" s="20">
        <f t="shared" si="1"/>
        <v>1.7708333333333333E-2</v>
      </c>
      <c r="I6" t="str">
        <f t="shared" ca="1" si="2"/>
        <v/>
      </c>
      <c r="J6" s="40" t="s">
        <v>585</v>
      </c>
    </row>
    <row r="7" spans="1:10" ht="14.25" x14ac:dyDescent="0.15">
      <c r="A7" s="28">
        <f t="shared" ca="1" si="0"/>
        <v>699</v>
      </c>
      <c r="B7" s="28">
        <v>0</v>
      </c>
      <c r="C7" s="28">
        <v>25</v>
      </c>
      <c r="D7" s="28">
        <v>38</v>
      </c>
      <c r="E7" s="28"/>
      <c r="F7" s="28"/>
      <c r="G7" s="19" t="str">
        <f ca="1">IF($A7="","",IF($I7="X",A7,CONCATENATE(VLOOKUP(A7,Competitors!$A$2:$I$650,3, FALSE)," ",VLOOKUP(A7,Competitors!$A$2:$I$650,2,FALSE))))</f>
        <v>Jonathan Durnin</v>
      </c>
      <c r="H7" s="20">
        <f t="shared" si="1"/>
        <v>1.7800925925925925E-2</v>
      </c>
      <c r="I7" t="str">
        <f t="shared" ca="1" si="2"/>
        <v/>
      </c>
      <c r="J7" s="40" t="s">
        <v>586</v>
      </c>
    </row>
    <row r="8" spans="1:10" ht="14.25" x14ac:dyDescent="0.15">
      <c r="A8" s="28">
        <f t="shared" ca="1" si="0"/>
        <v>1161</v>
      </c>
      <c r="B8" s="28">
        <v>0</v>
      </c>
      <c r="C8" s="28">
        <v>26</v>
      </c>
      <c r="D8" s="28">
        <v>1</v>
      </c>
      <c r="E8" s="28"/>
      <c r="F8" s="28"/>
      <c r="G8" s="19" t="str">
        <f ca="1">IF($A8="","",IF($I8="X",A8,CONCATENATE(VLOOKUP(A8,Competitors!$A$2:$I$650,3, FALSE)," ",VLOOKUP(A8,Competitors!$A$2:$I$650,2,FALSE))))</f>
        <v>Maciej Suchocki</v>
      </c>
      <c r="H8" s="20">
        <f t="shared" si="1"/>
        <v>1.8067129629629631E-2</v>
      </c>
      <c r="I8" t="str">
        <f t="shared" ca="1" si="2"/>
        <v/>
      </c>
      <c r="J8" s="40" t="s">
        <v>587</v>
      </c>
    </row>
    <row r="9" spans="1:10" ht="14.25" x14ac:dyDescent="0.15">
      <c r="A9" s="28" t="str">
        <f t="shared" ca="1" si="0"/>
        <v>Ed Watson (Ratae)</v>
      </c>
      <c r="B9" s="28">
        <v>0</v>
      </c>
      <c r="C9" s="28">
        <v>27</v>
      </c>
      <c r="D9" s="28">
        <v>4</v>
      </c>
      <c r="E9" s="28"/>
      <c r="F9" s="28"/>
      <c r="G9" s="19" t="str">
        <f ca="1">IF($A9="","",IF($I9="X",A9,CONCATENATE(VLOOKUP(A9,Competitors!$A$2:$I$650,3, FALSE)," ",VLOOKUP(A9,Competitors!$A$2:$I$650,2,FALSE))))</f>
        <v>Ed Watson (Ratae)</v>
      </c>
      <c r="H9" s="20">
        <f t="shared" si="1"/>
        <v>1.8796296296296297E-2</v>
      </c>
      <c r="I9" t="str">
        <f t="shared" ca="1" si="2"/>
        <v>X</v>
      </c>
      <c r="J9" s="40" t="s">
        <v>143</v>
      </c>
    </row>
    <row r="10" spans="1:10" ht="14.25" x14ac:dyDescent="0.15">
      <c r="A10" s="28">
        <f t="shared" ca="1" si="0"/>
        <v>1385</v>
      </c>
      <c r="B10" s="28">
        <v>0</v>
      </c>
      <c r="C10" s="28">
        <v>27</v>
      </c>
      <c r="D10" s="28">
        <v>14</v>
      </c>
      <c r="E10" s="28" t="s">
        <v>170</v>
      </c>
      <c r="F10" s="28"/>
      <c r="G10" s="19" t="str">
        <f ca="1">IF($A10="","",IF($I10="X",A10,CONCATENATE(VLOOKUP(A10,Competitors!$A$2:$I$650,3, FALSE)," ",VLOOKUP(A10,Competitors!$A$2:$I$650,2,FALSE))))</f>
        <v>Miles Marr</v>
      </c>
      <c r="H10" s="20">
        <f t="shared" si="1"/>
        <v>1.8912037037037036E-2</v>
      </c>
      <c r="I10" t="str">
        <f t="shared" ca="1" si="2"/>
        <v/>
      </c>
      <c r="J10" s="40" t="s">
        <v>213</v>
      </c>
    </row>
    <row r="11" spans="1:10" ht="14.25" x14ac:dyDescent="0.15">
      <c r="A11" s="28" t="str">
        <f t="shared" ca="1" si="0"/>
        <v>Chris Bonsor (Ratae)</v>
      </c>
      <c r="B11" s="28">
        <v>0</v>
      </c>
      <c r="C11" s="28">
        <v>27</v>
      </c>
      <c r="D11" s="28">
        <v>21</v>
      </c>
      <c r="E11" s="28"/>
      <c r="F11" s="28"/>
      <c r="G11" s="19" t="str">
        <f ca="1">IF($A11="","",IF($I11="X",A11,CONCATENATE(VLOOKUP(A11,Competitors!$A$2:$I$650,3, FALSE)," ",VLOOKUP(A11,Competitors!$A$2:$I$650,2,FALSE))))</f>
        <v>Chris Bonsor (Ratae)</v>
      </c>
      <c r="H11" s="20">
        <f t="shared" si="1"/>
        <v>1.8993055555555555E-2</v>
      </c>
      <c r="I11" t="str">
        <f t="shared" ca="1" si="2"/>
        <v>X</v>
      </c>
      <c r="J11" s="40" t="s">
        <v>141</v>
      </c>
    </row>
    <row r="12" spans="1:10" ht="14.25" x14ac:dyDescent="0.15">
      <c r="A12" s="28">
        <f t="shared" ca="1" si="0"/>
        <v>846</v>
      </c>
      <c r="B12" s="28">
        <v>0</v>
      </c>
      <c r="C12" s="28">
        <v>27</v>
      </c>
      <c r="D12" s="28">
        <v>24</v>
      </c>
      <c r="E12" s="28"/>
      <c r="F12" s="28"/>
      <c r="G12" s="19" t="str">
        <f ca="1">IF($A12="","",IF($I12="X",A12,CONCATENATE(VLOOKUP(A12,Competitors!$A$2:$I$650,3, FALSE)," ",VLOOKUP(A12,Competitors!$A$2:$I$650,2,FALSE))))</f>
        <v>Roger Kockelbergh</v>
      </c>
      <c r="H12" s="20">
        <f t="shared" si="1"/>
        <v>1.9027777777777779E-2</v>
      </c>
      <c r="I12" t="str">
        <f t="shared" ca="1" si="2"/>
        <v/>
      </c>
      <c r="J12" s="40" t="s">
        <v>601</v>
      </c>
    </row>
    <row r="13" spans="1:10" ht="14.25" x14ac:dyDescent="0.15">
      <c r="A13" s="28">
        <f t="shared" ca="1" si="0"/>
        <v>1109</v>
      </c>
      <c r="B13" s="28">
        <v>0</v>
      </c>
      <c r="C13" s="28">
        <v>27</v>
      </c>
      <c r="D13" s="28">
        <v>30</v>
      </c>
      <c r="E13" s="28"/>
      <c r="F13" s="28"/>
      <c r="G13" s="19" t="str">
        <f ca="1">IF($A13="","",IF($I13="X",A13,CONCATENATE(VLOOKUP(A13,Competitors!$A$2:$I$650,3, FALSE)," ",VLOOKUP(A13,Competitors!$A$2:$I$650,2,FALSE))))</f>
        <v>Stuart Haycox</v>
      </c>
      <c r="H13" s="20">
        <f t="shared" si="1"/>
        <v>1.9097222222222224E-2</v>
      </c>
      <c r="I13" t="str">
        <f t="shared" ca="1" si="2"/>
        <v/>
      </c>
      <c r="J13" s="40" t="s">
        <v>643</v>
      </c>
    </row>
    <row r="14" spans="1:10" ht="14.25" x14ac:dyDescent="0.15">
      <c r="A14" s="28" t="str">
        <f t="shared" ca="1" si="0"/>
        <v>Mark Newton (Ratae)</v>
      </c>
      <c r="B14" s="28">
        <v>0</v>
      </c>
      <c r="C14" s="28">
        <v>28</v>
      </c>
      <c r="D14" s="28">
        <v>27</v>
      </c>
      <c r="E14" s="28" t="s">
        <v>170</v>
      </c>
      <c r="F14" s="28"/>
      <c r="G14" s="19" t="str">
        <f ca="1">IF($A14="","",IF($I14="X",A14,CONCATENATE(VLOOKUP(A14,Competitors!$A$2:$I$650,3, FALSE)," ",VLOOKUP(A14,Competitors!$A$2:$I$650,2,FALSE))))</f>
        <v>Mark Newton (Ratae)</v>
      </c>
      <c r="H14" s="20">
        <f t="shared" si="1"/>
        <v>1.9756944444444445E-2</v>
      </c>
      <c r="I14" t="str">
        <f t="shared" ca="1" si="2"/>
        <v>X</v>
      </c>
      <c r="J14" s="40" t="s">
        <v>145</v>
      </c>
    </row>
    <row r="15" spans="1:10" ht="14.25" x14ac:dyDescent="0.15">
      <c r="A15" s="28" t="str">
        <f t="shared" ca="1" si="0"/>
        <v>Marshall Briggs (Ratae)</v>
      </c>
      <c r="B15" s="28">
        <v>0</v>
      </c>
      <c r="C15" s="28">
        <v>28</v>
      </c>
      <c r="D15" s="28">
        <v>30</v>
      </c>
      <c r="E15" s="28" t="s">
        <v>170</v>
      </c>
      <c r="F15" s="28"/>
      <c r="G15" s="19" t="str">
        <f ca="1">IF($A15="","",IF($I15="X",A15,CONCATENATE(VLOOKUP(A15,Competitors!$A$2:$I$650,3, FALSE)," ",VLOOKUP(A15,Competitors!$A$2:$I$650,2,FALSE))))</f>
        <v>Marshall Briggs (Ratae)</v>
      </c>
      <c r="H15" s="20">
        <f t="shared" si="1"/>
        <v>1.9791666666666666E-2</v>
      </c>
      <c r="I15" t="str">
        <f t="shared" ca="1" si="2"/>
        <v>X</v>
      </c>
      <c r="J15" s="40" t="s">
        <v>146</v>
      </c>
    </row>
    <row r="16" spans="1:10" ht="14.25" x14ac:dyDescent="0.15">
      <c r="A16" s="28">
        <f t="shared" ca="1" si="0"/>
        <v>23</v>
      </c>
      <c r="B16" s="28">
        <v>0</v>
      </c>
      <c r="C16" s="28">
        <v>29</v>
      </c>
      <c r="D16" s="28">
        <v>0</v>
      </c>
      <c r="E16" s="28"/>
      <c r="F16" s="28"/>
      <c r="G16" s="19" t="str">
        <f ca="1">IF($A16="","",IF($I16="X",A16,CONCATENATE(VLOOKUP(A16,Competitors!$A$2:$I$650,3, FALSE)," ",VLOOKUP(A16,Competitors!$A$2:$I$650,2,FALSE))))</f>
        <v>Chris Hyde</v>
      </c>
      <c r="H16" s="20">
        <f t="shared" si="1"/>
        <v>2.013888888888889E-2</v>
      </c>
      <c r="I16" t="str">
        <f t="shared" ca="1" si="2"/>
        <v/>
      </c>
      <c r="J16" s="40" t="s">
        <v>606</v>
      </c>
    </row>
    <row r="17" spans="1:10" ht="14.25" x14ac:dyDescent="0.15">
      <c r="A17" s="28">
        <f t="shared" ca="1" si="0"/>
        <v>120</v>
      </c>
      <c r="B17" s="28">
        <v>0</v>
      </c>
      <c r="C17" s="28">
        <v>29</v>
      </c>
      <c r="D17" s="28">
        <v>2</v>
      </c>
      <c r="E17" s="28"/>
      <c r="F17" s="28"/>
      <c r="G17" s="19" t="str">
        <f ca="1">IF($A17="","",IF($I17="X",A17,CONCATENATE(VLOOKUP(A17,Competitors!$A$2:$I$650,3, FALSE)," ",VLOOKUP(A17,Competitors!$A$2:$I$650,2,FALSE))))</f>
        <v>Linda Hubbard</v>
      </c>
      <c r="H17" s="20">
        <f t="shared" si="1"/>
        <v>2.0162037037037037E-2</v>
      </c>
      <c r="I17" t="str">
        <f t="shared" ca="1" si="2"/>
        <v/>
      </c>
      <c r="J17" s="40" t="s">
        <v>649</v>
      </c>
    </row>
    <row r="18" spans="1:10" ht="14.25" x14ac:dyDescent="0.15">
      <c r="A18" s="28">
        <f t="shared" ca="1" si="0"/>
        <v>1193</v>
      </c>
      <c r="B18" s="28">
        <v>0</v>
      </c>
      <c r="C18" s="28">
        <v>29</v>
      </c>
      <c r="D18" s="28">
        <v>8</v>
      </c>
      <c r="E18" s="28" t="s">
        <v>170</v>
      </c>
      <c r="F18" s="28"/>
      <c r="G18" s="19" t="str">
        <f ca="1">IF($A18="","",IF($I18="X",A18,CONCATENATE(VLOOKUP(A18,Competitors!$A$2:$I$650,3, FALSE)," ",VLOOKUP(A18,Competitors!$A$2:$I$650,2,FALSE))))</f>
        <v>Richard Hardwicke</v>
      </c>
      <c r="H18" s="20">
        <f t="shared" si="1"/>
        <v>2.0231481481481482E-2</v>
      </c>
      <c r="I18" t="str">
        <f t="shared" ca="1" si="2"/>
        <v/>
      </c>
      <c r="J18" s="40" t="s">
        <v>617</v>
      </c>
    </row>
    <row r="19" spans="1:10" ht="14.25" x14ac:dyDescent="0.15">
      <c r="A19" s="28" t="str">
        <f t="shared" ca="1" si="0"/>
        <v>Steve Pearce (Ratae)</v>
      </c>
      <c r="B19" s="28">
        <v>0</v>
      </c>
      <c r="C19" s="28">
        <v>29</v>
      </c>
      <c r="D19" s="28">
        <v>13</v>
      </c>
      <c r="E19" s="28"/>
      <c r="F19" s="28"/>
      <c r="G19" s="19" t="str">
        <f ca="1">IF($A19="","",IF($I19="X",A19,CONCATENATE(VLOOKUP(A19,Competitors!$A$2:$I$650,3, FALSE)," ",VLOOKUP(A19,Competitors!$A$2:$I$650,2,FALSE))))</f>
        <v>Steve Pearce (Ratae)</v>
      </c>
      <c r="H19" s="20">
        <f t="shared" si="1"/>
        <v>2.0289351851851854E-2</v>
      </c>
      <c r="I19" t="str">
        <f t="shared" ca="1" si="2"/>
        <v>X</v>
      </c>
      <c r="J19" s="40" t="s">
        <v>149</v>
      </c>
    </row>
    <row r="20" spans="1:10" ht="14.25" x14ac:dyDescent="0.15">
      <c r="A20" s="28">
        <f t="shared" ca="1" si="0"/>
        <v>1242</v>
      </c>
      <c r="B20" s="28">
        <v>0</v>
      </c>
      <c r="C20" s="28">
        <v>29</v>
      </c>
      <c r="D20" s="28">
        <v>16</v>
      </c>
      <c r="E20" s="28" t="s">
        <v>170</v>
      </c>
      <c r="F20" s="28"/>
      <c r="G20" s="19" t="str">
        <f ca="1">IF($A20="","",IF($I20="X",A20,CONCATENATE(VLOOKUP(A20,Competitors!$A$2:$I$650,3, FALSE)," ",VLOOKUP(A20,Competitors!$A$2:$I$650,2,FALSE))))</f>
        <v>Mike Sirett</v>
      </c>
      <c r="H20" s="20">
        <f t="shared" si="1"/>
        <v>2.0324074074074074E-2</v>
      </c>
      <c r="I20" t="str">
        <f t="shared" ca="1" si="2"/>
        <v/>
      </c>
      <c r="J20" s="40" t="s">
        <v>621</v>
      </c>
    </row>
    <row r="21" spans="1:10" ht="14.25" x14ac:dyDescent="0.15">
      <c r="A21" s="28">
        <f t="shared" ca="1" si="0"/>
        <v>1195</v>
      </c>
      <c r="B21" s="28">
        <v>0</v>
      </c>
      <c r="C21" s="28">
        <v>29</v>
      </c>
      <c r="D21" s="28">
        <v>35</v>
      </c>
      <c r="E21" s="28" t="s">
        <v>170</v>
      </c>
      <c r="F21" s="28"/>
      <c r="G21" s="19" t="str">
        <f ca="1">IF($A21="","",IF($I21="X",A21,CONCATENATE(VLOOKUP(A21,Competitors!$A$2:$I$650,3, FALSE)," ",VLOOKUP(A21,Competitors!$A$2:$I$650,2,FALSE))))</f>
        <v>Charlie Hardwicke</v>
      </c>
      <c r="H21" s="20">
        <f t="shared" si="1"/>
        <v>2.0543981481481483E-2</v>
      </c>
      <c r="I21" t="str">
        <f t="shared" ca="1" si="2"/>
        <v/>
      </c>
      <c r="J21" s="40" t="s">
        <v>613</v>
      </c>
    </row>
    <row r="22" spans="1:10" ht="14.25" x14ac:dyDescent="0.15">
      <c r="A22" s="28">
        <f t="shared" ca="1" si="0"/>
        <v>1355</v>
      </c>
      <c r="B22" s="28">
        <v>0</v>
      </c>
      <c r="C22" s="28">
        <v>29</v>
      </c>
      <c r="D22" s="28">
        <v>49</v>
      </c>
      <c r="E22" s="28" t="s">
        <v>170</v>
      </c>
      <c r="F22" s="28"/>
      <c r="G22" s="19" t="str">
        <f ca="1">IF($A22="","",IF($I22="X",A22,CONCATENATE(VLOOKUP(A22,Competitors!$A$2:$I$650,3, FALSE)," ",VLOOKUP(A22,Competitors!$A$2:$I$650,2,FALSE))))</f>
        <v>Aubrey Elmer</v>
      </c>
      <c r="H22" s="20">
        <f t="shared" si="1"/>
        <v>2.0706018518518519E-2</v>
      </c>
      <c r="I22" t="str">
        <f t="shared" ca="1" si="2"/>
        <v/>
      </c>
      <c r="J22" s="40" t="s">
        <v>604</v>
      </c>
    </row>
    <row r="23" spans="1:10" ht="14.25" x14ac:dyDescent="0.15">
      <c r="A23" s="28" t="str">
        <f t="shared" ca="1" si="0"/>
        <v>Lucy Sturgess (Ratae)</v>
      </c>
      <c r="B23" s="28">
        <v>0</v>
      </c>
      <c r="C23" s="28">
        <v>30</v>
      </c>
      <c r="D23" s="28">
        <v>6</v>
      </c>
      <c r="E23" s="28"/>
      <c r="F23" s="28"/>
      <c r="G23" s="19" t="str">
        <f ca="1">IF($A23="","",IF($I23="X",A23,CONCATENATE(VLOOKUP(A23,Competitors!$A$2:$I$650,3, FALSE)," ",VLOOKUP(A23,Competitors!$A$2:$I$650,2,FALSE))))</f>
        <v>Lucy Sturgess (Ratae)</v>
      </c>
      <c r="H23" s="20">
        <f t="shared" si="1"/>
        <v>2.0902777777777777E-2</v>
      </c>
      <c r="I23" t="str">
        <f t="shared" ca="1" si="2"/>
        <v>X</v>
      </c>
      <c r="J23" s="40" t="s">
        <v>263</v>
      </c>
    </row>
    <row r="24" spans="1:10" ht="14.25" x14ac:dyDescent="0.15">
      <c r="A24" s="28" t="str">
        <f t="shared" ca="1" si="0"/>
        <v>Debbie Cooper (Ratae)</v>
      </c>
      <c r="B24" s="28">
        <v>0</v>
      </c>
      <c r="C24" s="28">
        <v>30</v>
      </c>
      <c r="D24" s="28">
        <v>46</v>
      </c>
      <c r="E24" s="28"/>
      <c r="F24" s="28"/>
      <c r="G24" s="19" t="str">
        <f ca="1">IF($A24="","",IF($I24="X",A24,CONCATENATE(VLOOKUP(A24,Competitors!$A$2:$I$650,3, FALSE)," ",VLOOKUP(A24,Competitors!$A$2:$I$650,2,FALSE))))</f>
        <v>Debbie Cooper (Ratae)</v>
      </c>
      <c r="H24" s="20">
        <f t="shared" si="1"/>
        <v>2.1365740740740741E-2</v>
      </c>
      <c r="I24" t="str">
        <f t="shared" ca="1" si="2"/>
        <v>X</v>
      </c>
      <c r="J24" s="40" t="s">
        <v>264</v>
      </c>
    </row>
    <row r="25" spans="1:10" ht="14.25" x14ac:dyDescent="0.15">
      <c r="A25" s="28">
        <f t="shared" ca="1" si="0"/>
        <v>1194</v>
      </c>
      <c r="B25" s="28">
        <v>0</v>
      </c>
      <c r="C25" s="28">
        <v>30</v>
      </c>
      <c r="D25" s="28">
        <v>57</v>
      </c>
      <c r="E25" s="28" t="s">
        <v>170</v>
      </c>
      <c r="F25" s="28"/>
      <c r="G25" s="19" t="str">
        <f ca="1">IF($A25="","",IF($I25="X",A25,CONCATENATE(VLOOKUP(A25,Competitors!$A$2:$I$650,3, FALSE)," ",VLOOKUP(A25,Competitors!$A$2:$I$650,2,FALSE))))</f>
        <v>Alex Hardwicke</v>
      </c>
      <c r="H25" s="20">
        <f t="shared" si="1"/>
        <v>2.1493055555555557E-2</v>
      </c>
      <c r="I25" t="str">
        <f t="shared" ca="1" si="2"/>
        <v/>
      </c>
      <c r="J25" s="40" t="s">
        <v>611</v>
      </c>
    </row>
    <row r="26" spans="1:10" ht="14.25" x14ac:dyDescent="0.15">
      <c r="A26" s="28">
        <f t="shared" ca="1" si="0"/>
        <v>616</v>
      </c>
      <c r="B26" s="28">
        <v>0</v>
      </c>
      <c r="C26" s="28">
        <v>30</v>
      </c>
      <c r="D26" s="28">
        <v>58</v>
      </c>
      <c r="E26" s="28" t="s">
        <v>170</v>
      </c>
      <c r="F26" s="28"/>
      <c r="G26" s="19" t="str">
        <f ca="1">IF($A26="","",IF($I26="X",A26,CONCATENATE(VLOOKUP(A26,Competitors!$A$2:$I$650,3, FALSE)," ",VLOOKUP(A26,Competitors!$A$2:$I$650,2,FALSE))))</f>
        <v>Simon Ward</v>
      </c>
      <c r="H26" s="20">
        <f t="shared" si="1"/>
        <v>2.150462962962963E-2</v>
      </c>
      <c r="I26" t="str">
        <f t="shared" ca="1" si="2"/>
        <v/>
      </c>
      <c r="J26" s="40" t="s">
        <v>610</v>
      </c>
    </row>
    <row r="27" spans="1:10" ht="14.25" x14ac:dyDescent="0.15">
      <c r="A27" s="28" t="str">
        <f t="shared" ca="1" si="0"/>
        <v>Brian Lincoln (Ratae)</v>
      </c>
      <c r="B27" s="28">
        <v>0</v>
      </c>
      <c r="C27" s="28">
        <v>31</v>
      </c>
      <c r="D27" s="28">
        <v>50</v>
      </c>
      <c r="E27" s="28"/>
      <c r="F27" s="28"/>
      <c r="G27" s="19" t="str">
        <f ca="1">IF($A27="","",IF($I27="X",A27,CONCATENATE(VLOOKUP(A27,Competitors!$A$2:$I$650,3, FALSE)," ",VLOOKUP(A27,Competitors!$A$2:$I$650,2,FALSE))))</f>
        <v>Brian Lincoln (Ratae)</v>
      </c>
      <c r="H27" s="20">
        <f t="shared" si="1"/>
        <v>2.210648148148148E-2</v>
      </c>
      <c r="I27" t="str">
        <f t="shared" ca="1" si="2"/>
        <v>X</v>
      </c>
      <c r="J27" s="40" t="s">
        <v>140</v>
      </c>
    </row>
    <row r="28" spans="1:10" ht="14.25" x14ac:dyDescent="0.15">
      <c r="A28" s="28" t="str">
        <f t="shared" ca="1" si="0"/>
        <v>Paul Eden (Ratae)</v>
      </c>
      <c r="B28" s="28">
        <v>0</v>
      </c>
      <c r="C28" s="28">
        <v>33</v>
      </c>
      <c r="D28" s="28">
        <v>15</v>
      </c>
      <c r="E28" s="28" t="s">
        <v>170</v>
      </c>
      <c r="F28" s="28"/>
      <c r="G28" s="19" t="str">
        <f ca="1">IF($A28="","",IF($I28="X",A28,CONCATENATE(VLOOKUP(A28,Competitors!$A$2:$I$650,3, FALSE)," ",VLOOKUP(A28,Competitors!$A$2:$I$650,2,FALSE))))</f>
        <v>Paul Eden (Ratae)</v>
      </c>
      <c r="H28" s="20">
        <f t="shared" si="1"/>
        <v>2.3090277777777779E-2</v>
      </c>
      <c r="I28" t="str">
        <f t="shared" ca="1" si="2"/>
        <v>X</v>
      </c>
      <c r="J28" s="40" t="s">
        <v>147</v>
      </c>
    </row>
    <row r="29" spans="1:10" ht="14.25" x14ac:dyDescent="0.15">
      <c r="A29" s="28" t="str">
        <f t="shared" ca="1" si="0"/>
        <v>Chris Elmer</v>
      </c>
      <c r="B29" s="28">
        <v>0</v>
      </c>
      <c r="C29" s="28">
        <v>41</v>
      </c>
      <c r="D29" s="28">
        <v>24</v>
      </c>
      <c r="E29" s="28" t="s">
        <v>170</v>
      </c>
      <c r="F29" s="28"/>
      <c r="G29" s="19" t="str">
        <f ca="1">IF($A29="","",IF($I29="X",A29,CONCATENATE(VLOOKUP(A29,Competitors!$A$2:$I$650,3, FALSE)," ",VLOOKUP(A29,Competitors!$A$2:$I$650,2,FALSE))))</f>
        <v>Chris Elmer</v>
      </c>
      <c r="H29" s="20">
        <f t="shared" si="1"/>
        <v>2.8750000000000001E-2</v>
      </c>
      <c r="I29" t="str">
        <f t="shared" ca="1" si="2"/>
        <v>X</v>
      </c>
      <c r="J29" s="40" t="s">
        <v>265</v>
      </c>
    </row>
    <row r="30" spans="1:10" ht="14.25" x14ac:dyDescent="0.15">
      <c r="A30" s="28" t="str">
        <f t="shared" ca="1" si="0"/>
        <v/>
      </c>
      <c r="B30" s="28"/>
      <c r="C30" s="28"/>
      <c r="D30" s="28"/>
      <c r="E30" s="28"/>
      <c r="F30" s="28"/>
      <c r="G30" s="19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28" t="str">
        <f t="shared" ca="1" si="0"/>
        <v/>
      </c>
      <c r="B31" s="28"/>
      <c r="C31" s="28"/>
      <c r="D31" s="28"/>
      <c r="E31" s="28"/>
      <c r="F31" s="28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28" t="str">
        <f t="shared" ca="1" si="0"/>
        <v/>
      </c>
      <c r="B32" s="28"/>
      <c r="C32" s="28"/>
      <c r="D32" s="28"/>
      <c r="E32" s="28"/>
      <c r="F32" s="28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28" t="str">
        <f t="shared" ca="1" si="0"/>
        <v/>
      </c>
      <c r="B33" s="28"/>
      <c r="C33" s="28"/>
      <c r="D33" s="28"/>
      <c r="E33" s="28"/>
      <c r="F33" s="28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28" t="str">
        <f t="shared" ref="A34:A65" ca="1" si="3">IF(J34="","",_xlfn.XLOOKUP(J34,ClubNames,ClubNumbers,_xlfn.XLOOKUP(J34,RoundRobinRiderNames,RoundRobinRiderDecoratedNames,J34)))</f>
        <v/>
      </c>
      <c r="B34" s="28"/>
      <c r="C34" s="28"/>
      <c r="D34" s="28"/>
      <c r="E34" s="28"/>
      <c r="F34" s="28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28" t="str">
        <f t="shared" ca="1" si="3"/>
        <v/>
      </c>
      <c r="B35" s="28"/>
      <c r="C35" s="28"/>
      <c r="D35" s="28"/>
      <c r="E35" s="28"/>
      <c r="F35" s="28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28" t="str">
        <f t="shared" ca="1" si="3"/>
        <v/>
      </c>
      <c r="B36" s="28"/>
      <c r="C36" s="28"/>
      <c r="D36" s="28"/>
      <c r="E36" s="28"/>
      <c r="F36" s="28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28" t="str">
        <f t="shared" ca="1" si="3"/>
        <v/>
      </c>
      <c r="B37" s="28"/>
      <c r="C37" s="28"/>
      <c r="D37" s="28"/>
      <c r="E37" s="28"/>
      <c r="F37" s="28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28" t="str">
        <f t="shared" ca="1" si="3"/>
        <v/>
      </c>
      <c r="B38" s="28"/>
      <c r="C38" s="28"/>
      <c r="D38" s="28"/>
      <c r="E38" s="28"/>
      <c r="F38" s="28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28" t="str">
        <f t="shared" ca="1" si="3"/>
        <v/>
      </c>
      <c r="B39" s="28"/>
      <c r="C39" s="28"/>
      <c r="D39" s="28"/>
      <c r="E39" s="28"/>
      <c r="F39" s="28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28" t="str">
        <f t="shared" ca="1" si="3"/>
        <v/>
      </c>
      <c r="B40" s="28"/>
      <c r="C40" s="28"/>
      <c r="D40" s="28"/>
      <c r="E40" s="28"/>
      <c r="F40" s="28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28" t="str">
        <f t="shared" ca="1" si="3"/>
        <v/>
      </c>
      <c r="B41" s="28"/>
      <c r="C41" s="28"/>
      <c r="D41" s="28"/>
      <c r="E41" s="28"/>
      <c r="F41" s="28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28" t="str">
        <f t="shared" ca="1" si="3"/>
        <v/>
      </c>
      <c r="B42" s="28"/>
      <c r="C42" s="28"/>
      <c r="D42" s="28"/>
      <c r="E42" s="28"/>
      <c r="F42" s="28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28" t="str">
        <f t="shared" ca="1" si="3"/>
        <v/>
      </c>
      <c r="B43" s="28"/>
      <c r="C43" s="28"/>
      <c r="D43" s="28"/>
      <c r="E43" s="28"/>
      <c r="F43" s="28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28" t="str">
        <f t="shared" ca="1" si="3"/>
        <v/>
      </c>
      <c r="B44" s="28"/>
      <c r="C44" s="28"/>
      <c r="D44" s="28"/>
      <c r="E44" s="28"/>
      <c r="F44" s="28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28" t="str">
        <f t="shared" ca="1" si="3"/>
        <v/>
      </c>
      <c r="B45" s="28"/>
      <c r="C45" s="28"/>
      <c r="D45" s="28"/>
      <c r="E45" s="28"/>
      <c r="F45" s="28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28" t="str">
        <f t="shared" ca="1" si="3"/>
        <v/>
      </c>
      <c r="B46" s="28"/>
      <c r="C46" s="28"/>
      <c r="D46" s="28"/>
      <c r="E46" s="28"/>
      <c r="F46" s="28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28" t="str">
        <f t="shared" ca="1" si="3"/>
        <v/>
      </c>
      <c r="B47" s="28"/>
      <c r="C47" s="28"/>
      <c r="D47" s="28"/>
      <c r="E47" s="28"/>
      <c r="F47" s="28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28" t="str">
        <f t="shared" ca="1" si="3"/>
        <v/>
      </c>
      <c r="B48" s="28"/>
      <c r="C48" s="28"/>
      <c r="D48" s="28"/>
      <c r="E48" s="28"/>
      <c r="F48" s="28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28" t="str">
        <f t="shared" ca="1" si="3"/>
        <v/>
      </c>
      <c r="B49" s="28"/>
      <c r="C49" s="28"/>
      <c r="D49" s="28"/>
      <c r="E49" s="28"/>
      <c r="F49" s="28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28" t="str">
        <f t="shared" ca="1" si="3"/>
        <v/>
      </c>
      <c r="B50" s="28"/>
      <c r="C50" s="28"/>
      <c r="D50" s="28"/>
      <c r="E50" s="28"/>
      <c r="F50" s="28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28" t="str">
        <f t="shared" ca="1" si="3"/>
        <v/>
      </c>
      <c r="B51" s="28"/>
      <c r="C51" s="28"/>
      <c r="D51" s="28"/>
      <c r="E51" s="28"/>
      <c r="F51" s="28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28" t="str">
        <f t="shared" ca="1" si="3"/>
        <v/>
      </c>
      <c r="B52" s="28"/>
      <c r="C52" s="28"/>
      <c r="D52" s="28"/>
      <c r="E52" s="28"/>
      <c r="F52" s="28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28" t="str">
        <f t="shared" ca="1" si="3"/>
        <v/>
      </c>
      <c r="B53" s="28"/>
      <c r="C53" s="28"/>
      <c r="D53" s="28"/>
      <c r="E53" s="28"/>
      <c r="F53" s="28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28" t="str">
        <f t="shared" ca="1" si="3"/>
        <v/>
      </c>
      <c r="B54" s="28"/>
      <c r="C54" s="28"/>
      <c r="D54" s="28"/>
      <c r="E54" s="28"/>
      <c r="F54" s="28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28" t="str">
        <f t="shared" ca="1" si="3"/>
        <v/>
      </c>
      <c r="B55" s="28"/>
      <c r="C55" s="28"/>
      <c r="D55" s="28"/>
      <c r="E55" s="28"/>
      <c r="F55" s="28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28" t="str">
        <f t="shared" ca="1" si="3"/>
        <v/>
      </c>
      <c r="B56" s="28"/>
      <c r="C56" s="28"/>
      <c r="D56" s="28"/>
      <c r="E56" s="28"/>
      <c r="F56" s="28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28" t="str">
        <f t="shared" ca="1" si="3"/>
        <v/>
      </c>
      <c r="B57" s="28"/>
      <c r="C57" s="28"/>
      <c r="D57" s="28"/>
      <c r="E57" s="28"/>
      <c r="F57" s="28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28" t="str">
        <f t="shared" ca="1" si="3"/>
        <v/>
      </c>
      <c r="B58" s="28"/>
      <c r="C58" s="28"/>
      <c r="D58" s="28"/>
      <c r="E58" s="28"/>
      <c r="F58" s="28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28" t="str">
        <f t="shared" ca="1" si="3"/>
        <v/>
      </c>
      <c r="B59" s="28"/>
      <c r="C59" s="28"/>
      <c r="D59" s="28"/>
      <c r="E59" s="28"/>
      <c r="F59" s="28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28" t="str">
        <f t="shared" ca="1" si="3"/>
        <v/>
      </c>
      <c r="B60" s="28"/>
      <c r="C60" s="28"/>
      <c r="D60" s="28"/>
      <c r="E60" s="28"/>
      <c r="F60" s="28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28" t="str">
        <f t="shared" ca="1" si="3"/>
        <v/>
      </c>
      <c r="B61" s="28"/>
      <c r="C61" s="28"/>
      <c r="D61" s="28"/>
      <c r="E61" s="28"/>
      <c r="F61" s="28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28" t="str">
        <f t="shared" ca="1" si="3"/>
        <v/>
      </c>
      <c r="B62" s="28"/>
      <c r="C62" s="28"/>
      <c r="D62" s="28"/>
      <c r="E62" s="28"/>
      <c r="F62" s="28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28" t="str">
        <f t="shared" ca="1" si="3"/>
        <v/>
      </c>
      <c r="B63" s="28"/>
      <c r="C63" s="28"/>
      <c r="D63" s="28"/>
      <c r="E63" s="28"/>
      <c r="F63" s="28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28" t="str">
        <f t="shared" ca="1" si="3"/>
        <v/>
      </c>
      <c r="B64" s="28"/>
      <c r="C64" s="28"/>
      <c r="D64" s="28"/>
      <c r="E64" s="28"/>
      <c r="F64" s="28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28" t="str">
        <f t="shared" ca="1" si="3"/>
        <v/>
      </c>
      <c r="B65" s="28"/>
      <c r="C65" s="28"/>
      <c r="D65" s="28"/>
      <c r="E65" s="28"/>
      <c r="F65" s="28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28" t="str">
        <f t="shared" ref="A66:A101" ca="1" si="4">IF(J66="","",_xlfn.XLOOKUP(J66,ClubNames,ClubNumbers,_xlfn.XLOOKUP(J66,RoundRobinRiderNames,RoundRobinRiderDecoratedNames,J66)))</f>
        <v/>
      </c>
      <c r="B66" s="28"/>
      <c r="C66" s="28"/>
      <c r="D66" s="28"/>
      <c r="E66" s="28"/>
      <c r="F66" s="28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28" t="str">
        <f t="shared" ca="1" si="4"/>
        <v/>
      </c>
      <c r="B67" s="28"/>
      <c r="C67" s="28"/>
      <c r="D67" s="28"/>
      <c r="E67" s="28"/>
      <c r="F67" s="28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28" t="str">
        <f t="shared" ca="1" si="4"/>
        <v/>
      </c>
      <c r="B68" s="28"/>
      <c r="C68" s="28"/>
      <c r="D68" s="28"/>
      <c r="E68" s="28"/>
      <c r="F68" s="28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28" t="str">
        <f t="shared" ca="1" si="4"/>
        <v/>
      </c>
      <c r="B69" s="28"/>
      <c r="C69" s="28"/>
      <c r="D69" s="28"/>
      <c r="E69" s="28"/>
      <c r="F69" s="28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28" t="str">
        <f t="shared" ca="1" si="4"/>
        <v/>
      </c>
      <c r="B70" s="28"/>
      <c r="C70" s="28"/>
      <c r="D70" s="28"/>
      <c r="E70" s="28"/>
      <c r="F70" s="28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28" t="str">
        <f t="shared" ca="1" si="4"/>
        <v/>
      </c>
      <c r="B71" s="28"/>
      <c r="C71" s="28"/>
      <c r="D71" s="28"/>
      <c r="E71" s="28"/>
      <c r="F71" s="28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28" t="str">
        <f t="shared" ca="1" si="4"/>
        <v/>
      </c>
      <c r="B72" s="28"/>
      <c r="C72" s="28"/>
      <c r="D72" s="28"/>
      <c r="E72" s="28"/>
      <c r="F72" s="28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28" t="str">
        <f t="shared" ca="1" si="4"/>
        <v/>
      </c>
      <c r="B73" s="28"/>
      <c r="C73" s="28"/>
      <c r="D73" s="28"/>
      <c r="E73" s="28"/>
      <c r="F73" s="28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28" t="str">
        <f t="shared" ca="1" si="4"/>
        <v/>
      </c>
      <c r="B74" s="28"/>
      <c r="C74" s="28"/>
      <c r="D74" s="28"/>
      <c r="E74" s="28"/>
      <c r="F74" s="28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28" t="str">
        <f t="shared" ca="1" si="4"/>
        <v/>
      </c>
      <c r="B75" s="28"/>
      <c r="C75" s="28"/>
      <c r="D75" s="28"/>
      <c r="E75" s="28"/>
      <c r="F75" s="28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28" t="str">
        <f t="shared" ca="1" si="4"/>
        <v/>
      </c>
      <c r="B76" s="28"/>
      <c r="C76" s="28"/>
      <c r="D76" s="28"/>
      <c r="E76" s="28"/>
      <c r="F76" s="28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28" t="str">
        <f t="shared" ca="1" si="4"/>
        <v/>
      </c>
      <c r="B77" s="28"/>
      <c r="C77" s="28"/>
      <c r="D77" s="28"/>
      <c r="E77" s="28"/>
      <c r="F77" s="28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28" t="str">
        <f t="shared" ca="1" si="4"/>
        <v/>
      </c>
      <c r="B78" s="28"/>
      <c r="C78" s="28"/>
      <c r="D78" s="28"/>
      <c r="E78" s="28"/>
      <c r="F78" s="28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28" t="str">
        <f t="shared" ca="1" si="4"/>
        <v/>
      </c>
      <c r="B79" s="28"/>
      <c r="C79" s="28"/>
      <c r="D79" s="28"/>
      <c r="E79" s="28"/>
      <c r="F79" s="28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28" t="str">
        <f t="shared" ca="1" si="4"/>
        <v/>
      </c>
      <c r="B80" s="28"/>
      <c r="C80" s="28"/>
      <c r="D80" s="28"/>
      <c r="E80" s="28"/>
      <c r="F80" s="28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28" t="str">
        <f t="shared" ca="1" si="4"/>
        <v/>
      </c>
      <c r="B81" s="28"/>
      <c r="C81" s="28"/>
      <c r="D81" s="28"/>
      <c r="E81" s="28"/>
      <c r="F81" s="28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28" t="str">
        <f t="shared" ca="1" si="4"/>
        <v/>
      </c>
      <c r="B82" s="28"/>
      <c r="C82" s="28"/>
      <c r="D82" s="28"/>
      <c r="E82" s="28"/>
      <c r="F82" s="28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28" t="str">
        <f t="shared" ca="1" si="4"/>
        <v/>
      </c>
      <c r="B83" s="28"/>
      <c r="C83" s="28"/>
      <c r="D83" s="28"/>
      <c r="E83" s="28"/>
      <c r="F83" s="28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28" t="str">
        <f t="shared" ca="1" si="4"/>
        <v/>
      </c>
      <c r="B84" s="28"/>
      <c r="C84" s="28"/>
      <c r="D84" s="28"/>
      <c r="E84" s="28"/>
      <c r="F84" s="28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28" t="str">
        <f t="shared" ca="1" si="4"/>
        <v/>
      </c>
      <c r="B85" s="28"/>
      <c r="C85" s="28"/>
      <c r="D85" s="28"/>
      <c r="E85" s="28"/>
      <c r="F85" s="28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28" t="str">
        <f t="shared" ca="1" si="4"/>
        <v/>
      </c>
      <c r="B86" s="28"/>
      <c r="C86" s="28"/>
      <c r="D86" s="28"/>
      <c r="E86" s="28"/>
      <c r="F86" s="28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28" t="str">
        <f t="shared" ca="1" si="4"/>
        <v/>
      </c>
      <c r="B87" s="28"/>
      <c r="C87" s="28"/>
      <c r="D87" s="28"/>
      <c r="E87" s="28"/>
      <c r="F87" s="28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28" t="str">
        <f t="shared" ca="1" si="4"/>
        <v/>
      </c>
      <c r="B88" s="28"/>
      <c r="C88" s="28"/>
      <c r="D88" s="28"/>
      <c r="E88" s="28"/>
      <c r="F88" s="28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28" t="str">
        <f t="shared" ca="1" si="4"/>
        <v/>
      </c>
      <c r="B89" s="28"/>
      <c r="C89" s="28"/>
      <c r="D89" s="28"/>
      <c r="E89" s="28"/>
      <c r="F89" s="28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28" t="str">
        <f t="shared" ca="1" si="4"/>
        <v/>
      </c>
      <c r="B90" s="28"/>
      <c r="C90" s="28"/>
      <c r="D90" s="28"/>
      <c r="E90" s="28"/>
      <c r="F90" s="28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28" t="str">
        <f t="shared" ca="1" si="4"/>
        <v/>
      </c>
      <c r="B91" s="28"/>
      <c r="C91" s="28"/>
      <c r="D91" s="28"/>
      <c r="E91" s="28"/>
      <c r="F91" s="28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28" t="str">
        <f t="shared" ca="1" si="4"/>
        <v/>
      </c>
      <c r="B92" s="28"/>
      <c r="C92" s="28"/>
      <c r="D92" s="28"/>
      <c r="E92" s="28"/>
      <c r="F92" s="28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28" t="str">
        <f t="shared" ca="1" si="4"/>
        <v/>
      </c>
      <c r="B93" s="28"/>
      <c r="C93" s="28"/>
      <c r="D93" s="28"/>
      <c r="E93" s="28"/>
      <c r="F93" s="28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28" t="str">
        <f t="shared" ca="1" si="4"/>
        <v/>
      </c>
      <c r="B94" s="28"/>
      <c r="C94" s="28"/>
      <c r="D94" s="28"/>
      <c r="E94" s="28"/>
      <c r="F94" s="28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28" t="str">
        <f t="shared" ca="1" si="4"/>
        <v/>
      </c>
      <c r="B95" s="28"/>
      <c r="C95" s="28"/>
      <c r="D95" s="28"/>
      <c r="E95" s="28"/>
      <c r="F95" s="28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28" t="str">
        <f t="shared" ca="1" si="4"/>
        <v/>
      </c>
      <c r="B96" s="28"/>
      <c r="C96" s="28"/>
      <c r="D96" s="28"/>
      <c r="E96" s="28"/>
      <c r="F96" s="28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28" t="str">
        <f t="shared" ca="1" si="4"/>
        <v/>
      </c>
      <c r="B97" s="28"/>
      <c r="C97" s="28"/>
      <c r="D97" s="28"/>
      <c r="E97" s="28"/>
      <c r="F97" s="28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28" t="str">
        <f t="shared" ca="1" si="4"/>
        <v/>
      </c>
      <c r="B98" s="28"/>
      <c r="C98" s="28"/>
      <c r="D98" s="28"/>
      <c r="E98" s="28"/>
      <c r="F98" s="28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28" t="str">
        <f t="shared" ca="1" si="4"/>
        <v/>
      </c>
      <c r="B99" s="28"/>
      <c r="C99" s="28"/>
      <c r="D99" s="28"/>
      <c r="E99" s="28"/>
      <c r="F99" s="28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28" t="str">
        <f t="shared" ca="1" si="4"/>
        <v/>
      </c>
      <c r="B100" s="28"/>
      <c r="C100" s="28"/>
      <c r="D100" s="28"/>
      <c r="E100" s="28"/>
      <c r="F100" s="28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28" t="str">
        <f t="shared" ca="1" si="4"/>
        <v/>
      </c>
      <c r="B101" s="28"/>
      <c r="C101" s="28"/>
      <c r="D101" s="28"/>
      <c r="E101" s="28"/>
      <c r="F101" s="28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14" priority="1">
      <formula>TEXT($B$104,"@")="Y"</formula>
    </cfRule>
  </conditionalFormatting>
  <conditionalFormatting sqref="G2:H101">
    <cfRule type="expression" dxfId="13" priority="3">
      <formula>$I2="X"</formula>
    </cfRule>
  </conditionalFormatting>
  <conditionalFormatting sqref="H2:H101">
    <cfRule type="expression" dxfId="12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6486-8F78-46F2-9A9A-FDFEBEC95B50}">
  <sheetPr codeName="Sheet45"/>
  <dimension ref="A1:J104"/>
  <sheetViews>
    <sheetView zoomScale="75" zoomScaleNormal="75" workbookViewId="0">
      <selection activeCell="J17" sqref="J17"/>
    </sheetView>
  </sheetViews>
  <sheetFormatPr defaultColWidth="9.16796875" defaultRowHeight="12.75" x14ac:dyDescent="0.15"/>
  <cols>
    <col min="1" max="1" width="28.85546875" bestFit="1" customWidth="1"/>
    <col min="2" max="3" width="4.71875" customWidth="1"/>
    <col min="4" max="4" width="12.5390625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  <col min="10" max="10" width="18.2031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34" t="str">
        <f t="shared" ref="A2:A33" ca="1" si="0">IF(J2="","",_xlfn.XLOOKUP(J2,ClubNames,ClubNumbers,_xlfn.XLOOKUP(J2,RoundRobinRiderNames,RoundRobinRiderDecoratedNames,J2)))</f>
        <v>William Deeley</v>
      </c>
      <c r="B2" s="34">
        <v>0</v>
      </c>
      <c r="C2" s="35">
        <v>3</v>
      </c>
      <c r="D2" s="36">
        <v>1.89</v>
      </c>
      <c r="E2" s="35"/>
      <c r="F2" s="35"/>
      <c r="G2" s="19" t="str">
        <f ca="1">IF($A2="","",IF($I2="X",A2,CONCATENATE(VLOOKUP(A2,Competitors!$A$2:$I$650,3, FALSE)," ",VLOOKUP(A2,Competitors!$A$2:$I$650,2,FALSE))))</f>
        <v>William Deeley</v>
      </c>
      <c r="H2" s="26">
        <f>IF(LEFT($E2,1)="D",UPPER($E2),(B2*3600+C2*60+D2)/86400)</f>
        <v>2.1052083333333331E-3</v>
      </c>
      <c r="I2" t="str">
        <f ca="1">IF(OR(A2="",ISNUMBER(A2)),"","X")</f>
        <v>X</v>
      </c>
      <c r="J2" s="40" t="s">
        <v>266</v>
      </c>
    </row>
    <row r="3" spans="1:10" ht="14.25" x14ac:dyDescent="0.15">
      <c r="A3" s="34" t="str">
        <f t="shared" ca="1" si="0"/>
        <v>Josh Brown (KCC)</v>
      </c>
      <c r="B3" s="34">
        <v>0</v>
      </c>
      <c r="C3" s="35">
        <v>3</v>
      </c>
      <c r="D3" s="36">
        <v>11.59</v>
      </c>
      <c r="E3" s="35"/>
      <c r="F3" s="35"/>
      <c r="G3" s="19" t="str">
        <f ca="1">IF($A3="","",IF($I3="X",A3,CONCATENATE(VLOOKUP(A3,Competitors!$A$2:$I$650,3, FALSE)," ",VLOOKUP(A3,Competitors!$A$2:$I$650,2,FALSE))))</f>
        <v>Josh Brown (KCC)</v>
      </c>
      <c r="H3" s="26">
        <f t="shared" ref="H3:H66" si="1">IF(LEFT($E3,1)="D",UPPER($E3),(B3*3600+C3*60+D3)/86400)</f>
        <v>2.217476851851852E-3</v>
      </c>
      <c r="I3" t="str">
        <f t="shared" ref="I3:I66" ca="1" si="2">IF(OR(A3="",ISNUMBER(A3)),"","X")</f>
        <v>X</v>
      </c>
      <c r="J3" s="40" t="s">
        <v>235</v>
      </c>
    </row>
    <row r="4" spans="1:10" ht="14.25" x14ac:dyDescent="0.15">
      <c r="A4" s="34" t="str">
        <f t="shared" ca="1" si="0"/>
        <v>Kobe Godts</v>
      </c>
      <c r="B4" s="34">
        <v>0</v>
      </c>
      <c r="C4" s="35">
        <v>3</v>
      </c>
      <c r="D4" s="36">
        <v>15.4</v>
      </c>
      <c r="E4" s="35"/>
      <c r="F4" s="35"/>
      <c r="G4" s="19" t="str">
        <f ca="1">IF($A4="","",IF($I4="X",A4,CONCATENATE(VLOOKUP(A4,Competitors!$A$2:$I$650,3, FALSE)," ",VLOOKUP(A4,Competitors!$A$2:$I$650,2,FALSE))))</f>
        <v>Kobe Godts</v>
      </c>
      <c r="H4" s="26">
        <f t="shared" si="1"/>
        <v>2.2615740740740743E-3</v>
      </c>
      <c r="I4" t="str">
        <f t="shared" ca="1" si="2"/>
        <v>X</v>
      </c>
      <c r="J4" s="40" t="s">
        <v>267</v>
      </c>
    </row>
    <row r="5" spans="1:10" ht="14.25" x14ac:dyDescent="0.15">
      <c r="A5" s="34" t="str">
        <f t="shared" ca="1" si="0"/>
        <v>Jake Bird</v>
      </c>
      <c r="B5" s="34">
        <v>0</v>
      </c>
      <c r="C5" s="35">
        <v>3</v>
      </c>
      <c r="D5" s="36">
        <v>18.82</v>
      </c>
      <c r="E5" s="35"/>
      <c r="F5" s="35"/>
      <c r="G5" s="19" t="str">
        <f ca="1">IF($A5="","",IF($I5="X",A5,CONCATENATE(VLOOKUP(A5,Competitors!$A$2:$I$650,3, FALSE)," ",VLOOKUP(A5,Competitors!$A$2:$I$650,2,FALSE))))</f>
        <v>Jake Bird</v>
      </c>
      <c r="H5" s="26">
        <f t="shared" si="1"/>
        <v>2.3011574074074071E-3</v>
      </c>
      <c r="I5" t="str">
        <f t="shared" ca="1" si="2"/>
        <v>X</v>
      </c>
      <c r="J5" s="40" t="s">
        <v>268</v>
      </c>
    </row>
    <row r="6" spans="1:10" ht="14.25" x14ac:dyDescent="0.15">
      <c r="A6" s="34" t="str">
        <f t="shared" ca="1" si="0"/>
        <v>Hudson Hendry</v>
      </c>
      <c r="B6" s="34">
        <v>0</v>
      </c>
      <c r="C6" s="35">
        <v>3</v>
      </c>
      <c r="D6" s="36">
        <v>23.11</v>
      </c>
      <c r="E6" s="35"/>
      <c r="F6" s="35"/>
      <c r="G6" s="19" t="str">
        <f ca="1">IF($A6="","",IF($I6="X",A6,CONCATENATE(VLOOKUP(A6,Competitors!$A$2:$I$650,3, FALSE)," ",VLOOKUP(A6,Competitors!$A$2:$I$650,2,FALSE))))</f>
        <v>Hudson Hendry</v>
      </c>
      <c r="H6" s="26">
        <f t="shared" si="1"/>
        <v>2.3508101851851854E-3</v>
      </c>
      <c r="I6" t="str">
        <f t="shared" ca="1" si="2"/>
        <v>X</v>
      </c>
      <c r="J6" s="40" t="s">
        <v>219</v>
      </c>
    </row>
    <row r="7" spans="1:10" ht="14.25" x14ac:dyDescent="0.15">
      <c r="A7" s="34">
        <f t="shared" ca="1" si="0"/>
        <v>747</v>
      </c>
      <c r="B7" s="34">
        <v>0</v>
      </c>
      <c r="C7" s="35">
        <v>3</v>
      </c>
      <c r="D7" s="36">
        <v>31.44</v>
      </c>
      <c r="E7" s="35" t="s">
        <v>170</v>
      </c>
      <c r="F7" s="35"/>
      <c r="G7" s="19" t="str">
        <f ca="1">IF($A7="","",IF($I7="X",A7,CONCATENATE(VLOOKUP(A7,Competitors!$A$2:$I$650,3, FALSE)," ",VLOOKUP(A7,Competitors!$A$2:$I$650,2,FALSE))))</f>
        <v>James Moore</v>
      </c>
      <c r="H7" s="26">
        <f t="shared" si="1"/>
        <v>2.4472222222222222E-3</v>
      </c>
      <c r="I7" t="str">
        <f t="shared" ca="1" si="2"/>
        <v/>
      </c>
      <c r="J7" s="40" t="s">
        <v>591</v>
      </c>
    </row>
    <row r="8" spans="1:10" ht="14.25" x14ac:dyDescent="0.15">
      <c r="A8" s="34">
        <f t="shared" ca="1" si="0"/>
        <v>1144</v>
      </c>
      <c r="B8" s="34">
        <v>0</v>
      </c>
      <c r="C8" s="35">
        <v>3</v>
      </c>
      <c r="D8" s="36">
        <v>35.479999999999997</v>
      </c>
      <c r="E8" s="35" t="s">
        <v>170</v>
      </c>
      <c r="F8" s="35"/>
      <c r="G8" s="19" t="str">
        <f ca="1">IF($A8="","",IF($I8="X",A8,CONCATENATE(VLOOKUP(A8,Competitors!$A$2:$I$650,3, FALSE)," ",VLOOKUP(A8,Competitors!$A$2:$I$650,2,FALSE))))</f>
        <v>Jamie Kershaw</v>
      </c>
      <c r="H8" s="26">
        <f t="shared" si="1"/>
        <v>2.4939814814814816E-3</v>
      </c>
      <c r="I8" t="str">
        <f t="shared" ca="1" si="2"/>
        <v/>
      </c>
      <c r="J8" s="40" t="s">
        <v>584</v>
      </c>
    </row>
    <row r="9" spans="1:10" ht="14.25" x14ac:dyDescent="0.15">
      <c r="A9" s="34" t="str">
        <f t="shared" ca="1" si="0"/>
        <v>Alex Barrowman</v>
      </c>
      <c r="B9" s="34">
        <v>0</v>
      </c>
      <c r="C9" s="35">
        <v>3</v>
      </c>
      <c r="D9" s="36">
        <v>37.69</v>
      </c>
      <c r="E9" s="35"/>
      <c r="F9" s="35"/>
      <c r="G9" s="19" t="str">
        <f ca="1">IF($A9="","",IF($I9="X",A9,CONCATENATE(VLOOKUP(A9,Competitors!$A$2:$I$650,3, FALSE)," ",VLOOKUP(A9,Competitors!$A$2:$I$650,2,FALSE))))</f>
        <v>Alex Barrowman</v>
      </c>
      <c r="H9" s="26">
        <f t="shared" si="1"/>
        <v>2.519560185185185E-3</v>
      </c>
      <c r="I9" t="str">
        <f t="shared" ca="1" si="2"/>
        <v>X</v>
      </c>
      <c r="J9" s="40" t="s">
        <v>180</v>
      </c>
    </row>
    <row r="10" spans="1:10" ht="14.25" x14ac:dyDescent="0.15">
      <c r="A10" s="34" t="str">
        <f t="shared" ca="1" si="0"/>
        <v>Ethan Mitchell-Clarke (RFW)</v>
      </c>
      <c r="B10" s="34">
        <v>0</v>
      </c>
      <c r="C10" s="35">
        <v>3</v>
      </c>
      <c r="D10" s="36">
        <v>49.02</v>
      </c>
      <c r="E10" s="35"/>
      <c r="F10" s="35"/>
      <c r="G10" s="19" t="str">
        <f ca="1">IF($A10="","",IF($I10="X",A10,CONCATENATE(VLOOKUP(A10,Competitors!$A$2:$I$650,3, FALSE)," ",VLOOKUP(A10,Competitors!$A$2:$I$650,2,FALSE))))</f>
        <v>Ethan Mitchell-Clarke (RFW)</v>
      </c>
      <c r="H10" s="26">
        <f t="shared" si="1"/>
        <v>2.6506944444444447E-3</v>
      </c>
      <c r="I10" t="str">
        <f t="shared" ca="1" si="2"/>
        <v>X</v>
      </c>
      <c r="J10" s="40" t="s">
        <v>154</v>
      </c>
    </row>
    <row r="11" spans="1:10" ht="14.25" x14ac:dyDescent="0.15">
      <c r="A11" s="34">
        <f t="shared" ca="1" si="0"/>
        <v>1152</v>
      </c>
      <c r="B11" s="34">
        <v>0</v>
      </c>
      <c r="C11" s="35">
        <v>3</v>
      </c>
      <c r="D11" s="36">
        <v>51.45</v>
      </c>
      <c r="E11" s="35" t="s">
        <v>170</v>
      </c>
      <c r="F11" s="35"/>
      <c r="G11" s="19" t="str">
        <f ca="1">IF($A11="","",IF($I11="X",A11,CONCATENATE(VLOOKUP(A11,Competitors!$A$2:$I$650,3, FALSE)," ",VLOOKUP(A11,Competitors!$A$2:$I$650,2,FALSE))))</f>
        <v>Ruby Isaac</v>
      </c>
      <c r="H11" s="26">
        <f t="shared" si="1"/>
        <v>2.6788194444444442E-3</v>
      </c>
      <c r="I11" t="str">
        <f t="shared" ca="1" si="2"/>
        <v/>
      </c>
      <c r="J11" s="40" t="s">
        <v>602</v>
      </c>
    </row>
    <row r="12" spans="1:10" ht="14.25" x14ac:dyDescent="0.15">
      <c r="A12" s="34" t="str">
        <f t="shared" ca="1" si="0"/>
        <v>Michael Carter (RFW)</v>
      </c>
      <c r="B12" s="34">
        <v>0</v>
      </c>
      <c r="C12" s="35">
        <v>3</v>
      </c>
      <c r="D12" s="36">
        <v>55.82</v>
      </c>
      <c r="E12" s="35"/>
      <c r="F12" s="35"/>
      <c r="G12" s="19" t="str">
        <f ca="1">IF($A12="","",IF($I12="X",A12,CONCATENATE(VLOOKUP(A12,Competitors!$A$2:$I$650,3, FALSE)," ",VLOOKUP(A12,Competitors!$A$2:$I$650,2,FALSE))))</f>
        <v>Michael Carter (RFW)</v>
      </c>
      <c r="H12" s="26">
        <f t="shared" si="1"/>
        <v>2.7293981481481479E-3</v>
      </c>
      <c r="I12" t="str">
        <f t="shared" ca="1" si="2"/>
        <v>X</v>
      </c>
      <c r="J12" s="40" t="s">
        <v>156</v>
      </c>
    </row>
    <row r="13" spans="1:10" ht="14.25" x14ac:dyDescent="0.15">
      <c r="A13" s="34">
        <f t="shared" ca="1" si="0"/>
        <v>1160</v>
      </c>
      <c r="B13" s="34">
        <v>0</v>
      </c>
      <c r="C13" s="35">
        <v>3</v>
      </c>
      <c r="D13" s="36">
        <v>55.9</v>
      </c>
      <c r="E13" s="35" t="s">
        <v>170</v>
      </c>
      <c r="F13" s="35"/>
      <c r="G13" s="19" t="str">
        <f ca="1">IF($A13="","",IF($I13="X",A13,CONCATENATE(VLOOKUP(A13,Competitors!$A$2:$I$650,3, FALSE)," ",VLOOKUP(A13,Competitors!$A$2:$I$650,2,FALSE))))</f>
        <v>Rhys Thomas</v>
      </c>
      <c r="H13" s="26">
        <f t="shared" si="1"/>
        <v>2.7303240740740743E-3</v>
      </c>
      <c r="I13" t="str">
        <f t="shared" ca="1" si="2"/>
        <v/>
      </c>
      <c r="J13" s="40" t="s">
        <v>642</v>
      </c>
    </row>
    <row r="14" spans="1:10" ht="14.25" x14ac:dyDescent="0.15">
      <c r="A14" s="34" t="str">
        <f t="shared" ca="1" si="0"/>
        <v>Chris Cummings</v>
      </c>
      <c r="B14" s="34">
        <v>0</v>
      </c>
      <c r="C14" s="35">
        <v>3</v>
      </c>
      <c r="D14" s="36">
        <v>57.04</v>
      </c>
      <c r="E14" s="35"/>
      <c r="F14" s="35"/>
      <c r="G14" s="19" t="str">
        <f ca="1">IF($A14="","",IF($I14="X",A14,CONCATENATE(VLOOKUP(A14,Competitors!$A$2:$I$650,3, FALSE)," ",VLOOKUP(A14,Competitors!$A$2:$I$650,2,FALSE))))</f>
        <v>Chris Cummings</v>
      </c>
      <c r="H14" s="26">
        <f t="shared" si="1"/>
        <v>2.7435185185185184E-3</v>
      </c>
      <c r="I14" t="str">
        <f t="shared" ca="1" si="2"/>
        <v>X</v>
      </c>
      <c r="J14" s="40" t="s">
        <v>269</v>
      </c>
    </row>
    <row r="15" spans="1:10" ht="14.25" x14ac:dyDescent="0.15">
      <c r="A15" s="34" t="str">
        <f t="shared" ca="1" si="0"/>
        <v>Michael Cowland</v>
      </c>
      <c r="B15" s="34">
        <v>0</v>
      </c>
      <c r="C15" s="35">
        <v>3</v>
      </c>
      <c r="D15" s="36">
        <v>59.15</v>
      </c>
      <c r="E15" s="35"/>
      <c r="F15" s="35"/>
      <c r="G15" s="19" t="str">
        <f ca="1">IF($A15="","",IF($I15="X",A15,CONCATENATE(VLOOKUP(A15,Competitors!$A$2:$I$650,3, FALSE)," ",VLOOKUP(A15,Competitors!$A$2:$I$650,2,FALSE))))</f>
        <v>Michael Cowland</v>
      </c>
      <c r="H15" s="26">
        <f t="shared" si="1"/>
        <v>2.7679398148148151E-3</v>
      </c>
      <c r="I15" t="str">
        <f t="shared" ca="1" si="2"/>
        <v>X</v>
      </c>
      <c r="J15" s="40" t="s">
        <v>270</v>
      </c>
    </row>
    <row r="16" spans="1:10" ht="14.25" x14ac:dyDescent="0.15">
      <c r="A16" s="34" t="str">
        <f t="shared" ca="1" si="0"/>
        <v>Matty Brennan</v>
      </c>
      <c r="B16" s="34">
        <v>0</v>
      </c>
      <c r="C16" s="35">
        <v>4</v>
      </c>
      <c r="D16" s="36">
        <v>3.18</v>
      </c>
      <c r="E16" s="35"/>
      <c r="F16" s="35"/>
      <c r="G16" s="19" t="str">
        <f ca="1">IF($A16="","",IF($I16="X",A16,CONCATENATE(VLOOKUP(A16,Competitors!$A$2:$I$650,3, FALSE)," ",VLOOKUP(A16,Competitors!$A$2:$I$650,2,FALSE))))</f>
        <v>Matty Brennan</v>
      </c>
      <c r="H16" s="26">
        <f t="shared" si="1"/>
        <v>2.8145833333333334E-3</v>
      </c>
      <c r="I16" t="str">
        <f t="shared" ca="1" si="2"/>
        <v>X</v>
      </c>
      <c r="J16" s="40" t="s">
        <v>271</v>
      </c>
    </row>
    <row r="17" spans="1:10" ht="14.25" x14ac:dyDescent="0.15">
      <c r="A17" s="34">
        <v>1348</v>
      </c>
      <c r="B17" s="34">
        <v>0</v>
      </c>
      <c r="C17" s="35">
        <v>4</v>
      </c>
      <c r="D17" s="36">
        <v>4.51</v>
      </c>
      <c r="E17" s="35"/>
      <c r="F17" s="35"/>
      <c r="G17" s="19" t="str">
        <f>IF($A17="","",IF($I17="X",A17,CONCATENATE(VLOOKUP(A17,Competitors!$A$2:$I$650,3, FALSE)," ",VLOOKUP(A17,Competitors!$A$2:$I$650,2,FALSE))))</f>
        <v>Lydia Baxter</v>
      </c>
      <c r="H17" s="26">
        <f t="shared" si="1"/>
        <v>2.8299768518518518E-3</v>
      </c>
      <c r="I17" t="str">
        <f t="shared" si="2"/>
        <v/>
      </c>
      <c r="J17" s="40" t="s">
        <v>259</v>
      </c>
    </row>
    <row r="18" spans="1:10" ht="14.25" x14ac:dyDescent="0.15">
      <c r="A18" s="34">
        <f t="shared" ca="1" si="0"/>
        <v>1237</v>
      </c>
      <c r="B18" s="34">
        <v>0</v>
      </c>
      <c r="C18" s="35">
        <v>4</v>
      </c>
      <c r="D18" s="36">
        <v>9.27</v>
      </c>
      <c r="E18" s="35" t="s">
        <v>170</v>
      </c>
      <c r="F18" s="35"/>
      <c r="G18" s="19" t="str">
        <f ca="1">IF($A18="","",IF($I18="X",A18,CONCATENATE(VLOOKUP(A18,Competitors!$A$2:$I$650,3, FALSE)," ",VLOOKUP(A18,Competitors!$A$2:$I$650,2,FALSE))))</f>
        <v>John Abbott</v>
      </c>
      <c r="H18" s="26">
        <f t="shared" si="1"/>
        <v>2.8850694444444444E-3</v>
      </c>
      <c r="I18" t="str">
        <f t="shared" ca="1" si="2"/>
        <v/>
      </c>
      <c r="J18" s="40" t="s">
        <v>598</v>
      </c>
    </row>
    <row r="19" spans="1:10" ht="14.25" x14ac:dyDescent="0.15">
      <c r="A19" s="34">
        <f t="shared" ca="1" si="0"/>
        <v>1383</v>
      </c>
      <c r="B19" s="34">
        <v>0</v>
      </c>
      <c r="C19" s="35">
        <v>4</v>
      </c>
      <c r="D19" s="36">
        <v>10.11</v>
      </c>
      <c r="E19" s="35" t="s">
        <v>170</v>
      </c>
      <c r="F19" s="35"/>
      <c r="G19" s="19" t="str">
        <f ca="1">IF($A19="","",IF($I19="X",A19,CONCATENATE(VLOOKUP(A19,Competitors!$A$2:$I$650,3, FALSE)," ",VLOOKUP(A19,Competitors!$A$2:$I$650,2,FALSE))))</f>
        <v>Evan Collett</v>
      </c>
      <c r="H19" s="26">
        <f t="shared" si="1"/>
        <v>2.894791666666667E-3</v>
      </c>
      <c r="I19" t="str">
        <f t="shared" ca="1" si="2"/>
        <v/>
      </c>
      <c r="J19" s="40" t="s">
        <v>645</v>
      </c>
    </row>
    <row r="20" spans="1:10" ht="14.25" x14ac:dyDescent="0.15">
      <c r="A20" s="34">
        <f t="shared" ca="1" si="0"/>
        <v>1381</v>
      </c>
      <c r="B20" s="34">
        <v>0</v>
      </c>
      <c r="C20" s="35">
        <v>4</v>
      </c>
      <c r="D20" s="36">
        <v>10.53</v>
      </c>
      <c r="E20" s="35" t="s">
        <v>170</v>
      </c>
      <c r="F20" s="35"/>
      <c r="G20" s="19" t="str">
        <f ca="1">IF($A20="","",IF($I20="X",A20,CONCATENATE(VLOOKUP(A20,Competitors!$A$2:$I$650,3, FALSE)," ",VLOOKUP(A20,Competitors!$A$2:$I$650,2,FALSE))))</f>
        <v>Roland Allen</v>
      </c>
      <c r="H20" s="26">
        <f t="shared" si="1"/>
        <v>2.8996527777777779E-3</v>
      </c>
      <c r="I20" t="str">
        <f t="shared" ca="1" si="2"/>
        <v/>
      </c>
      <c r="J20" s="40" t="s">
        <v>646</v>
      </c>
    </row>
    <row r="21" spans="1:10" ht="14.25" x14ac:dyDescent="0.15">
      <c r="A21" s="34" t="str">
        <f t="shared" ca="1" si="0"/>
        <v>Steve Coombs</v>
      </c>
      <c r="B21" s="34">
        <v>0</v>
      </c>
      <c r="C21" s="35">
        <v>4</v>
      </c>
      <c r="D21" s="36">
        <v>10.73</v>
      </c>
      <c r="E21" s="35"/>
      <c r="F21" s="35"/>
      <c r="G21" s="19" t="str">
        <f ca="1">IF($A21="","",IF($I21="X",A21,CONCATENATE(VLOOKUP(A21,Competitors!$A$2:$I$650,3, FALSE)," ",VLOOKUP(A21,Competitors!$A$2:$I$650,2,FALSE))))</f>
        <v>Steve Coombs</v>
      </c>
      <c r="H21" s="26">
        <f t="shared" si="1"/>
        <v>2.9019675925925923E-3</v>
      </c>
      <c r="I21" t="str">
        <f t="shared" ca="1" si="2"/>
        <v>X</v>
      </c>
      <c r="J21" s="40" t="s">
        <v>272</v>
      </c>
    </row>
    <row r="22" spans="1:10" ht="14.25" x14ac:dyDescent="0.15">
      <c r="A22" s="34">
        <f t="shared" ca="1" si="0"/>
        <v>21</v>
      </c>
      <c r="B22" s="34">
        <v>0</v>
      </c>
      <c r="C22" s="35">
        <v>4</v>
      </c>
      <c r="D22" s="36">
        <v>11.23</v>
      </c>
      <c r="E22" s="35" t="s">
        <v>170</v>
      </c>
      <c r="F22" s="35"/>
      <c r="G22" s="19" t="str">
        <f ca="1">IF($A22="","",IF($I22="X",A22,CONCATENATE(VLOOKUP(A22,Competitors!$A$2:$I$650,3, FALSE)," ",VLOOKUP(A22,Competitors!$A$2:$I$650,2,FALSE))))</f>
        <v>Wayne Holton</v>
      </c>
      <c r="H22" s="26">
        <f t="shared" si="1"/>
        <v>2.9077546296296295E-3</v>
      </c>
      <c r="I22" t="str">
        <f t="shared" ca="1" si="2"/>
        <v/>
      </c>
      <c r="J22" s="40" t="s">
        <v>647</v>
      </c>
    </row>
    <row r="23" spans="1:10" ht="14.25" x14ac:dyDescent="0.15">
      <c r="A23" s="34" t="str">
        <f t="shared" ca="1" si="0"/>
        <v>Scott Barber</v>
      </c>
      <c r="B23" s="34">
        <v>0</v>
      </c>
      <c r="C23" s="35">
        <v>4</v>
      </c>
      <c r="D23" s="36">
        <v>11.93</v>
      </c>
      <c r="E23" s="35"/>
      <c r="F23" s="35"/>
      <c r="G23" s="19" t="str">
        <f ca="1">IF($A23="","",IF($I23="X",A23,CONCATENATE(VLOOKUP(A23,Competitors!$A$2:$I$650,3, FALSE)," ",VLOOKUP(A23,Competitors!$A$2:$I$650,2,FALSE))))</f>
        <v>Scott Barber</v>
      </c>
      <c r="H23" s="26">
        <f t="shared" si="1"/>
        <v>2.9158564814814815E-3</v>
      </c>
      <c r="I23" t="str">
        <f t="shared" ca="1" si="2"/>
        <v>X</v>
      </c>
      <c r="J23" s="40" t="s">
        <v>273</v>
      </c>
    </row>
    <row r="24" spans="1:10" ht="14.25" x14ac:dyDescent="0.15">
      <c r="A24" s="34">
        <f t="shared" ca="1" si="0"/>
        <v>1000</v>
      </c>
      <c r="B24" s="34">
        <v>0</v>
      </c>
      <c r="C24" s="35">
        <v>4</v>
      </c>
      <c r="D24" s="36">
        <v>15.91</v>
      </c>
      <c r="E24" s="35" t="s">
        <v>170</v>
      </c>
      <c r="F24" s="35"/>
      <c r="G24" s="19" t="str">
        <f ca="1">IF($A24="","",IF($I24="X",A24,CONCATENATE(VLOOKUP(A24,Competitors!$A$2:$I$650,3, FALSE)," ",VLOOKUP(A24,Competitors!$A$2:$I$650,2,FALSE))))</f>
        <v>Ashley Easton</v>
      </c>
      <c r="H24" s="26">
        <f t="shared" si="1"/>
        <v>2.9619212962962963E-3</v>
      </c>
      <c r="I24" t="str">
        <f t="shared" ca="1" si="2"/>
        <v/>
      </c>
      <c r="J24" s="40" t="s">
        <v>648</v>
      </c>
    </row>
    <row r="25" spans="1:10" ht="14.25" x14ac:dyDescent="0.15">
      <c r="A25" s="34" t="str">
        <f t="shared" ca="1" si="0"/>
        <v>Ruth Dempsey</v>
      </c>
      <c r="B25" s="34">
        <v>0</v>
      </c>
      <c r="C25" s="35">
        <v>4</v>
      </c>
      <c r="D25" s="36">
        <v>16.73</v>
      </c>
      <c r="E25" s="35"/>
      <c r="F25" s="35"/>
      <c r="G25" s="19" t="str">
        <f ca="1">IF($A25="","",IF($I25="X",A25,CONCATENATE(VLOOKUP(A25,Competitors!$A$2:$I$650,3, FALSE)," ",VLOOKUP(A25,Competitors!$A$2:$I$650,2,FALSE))))</f>
        <v>Ruth Dempsey</v>
      </c>
      <c r="H25" s="26">
        <f t="shared" si="1"/>
        <v>2.9714120370370372E-3</v>
      </c>
      <c r="I25" t="str">
        <f t="shared" ca="1" si="2"/>
        <v>X</v>
      </c>
      <c r="J25" s="40" t="s">
        <v>221</v>
      </c>
    </row>
    <row r="26" spans="1:10" ht="14.25" x14ac:dyDescent="0.15">
      <c r="A26" s="34" t="str">
        <f t="shared" ca="1" si="0"/>
        <v>Gregg Payne (RFW)</v>
      </c>
      <c r="B26" s="34">
        <v>0</v>
      </c>
      <c r="C26" s="35">
        <v>4</v>
      </c>
      <c r="D26" s="36">
        <v>20</v>
      </c>
      <c r="E26" s="35"/>
      <c r="F26" s="35"/>
      <c r="G26" s="19" t="str">
        <f ca="1">IF($A26="","",IF($I26="X",A26,CONCATENATE(VLOOKUP(A26,Competitors!$A$2:$I$650,3, FALSE)," ",VLOOKUP(A26,Competitors!$A$2:$I$650,2,FALSE))))</f>
        <v>Gregg Payne (RFW)</v>
      </c>
      <c r="H26" s="26">
        <f t="shared" si="1"/>
        <v>3.0092592592592593E-3</v>
      </c>
      <c r="I26" t="str">
        <f t="shared" ca="1" si="2"/>
        <v>X</v>
      </c>
      <c r="J26" s="40" t="s">
        <v>241</v>
      </c>
    </row>
    <row r="27" spans="1:10" ht="14.25" x14ac:dyDescent="0.15">
      <c r="A27" s="34">
        <f t="shared" ca="1" si="0"/>
        <v>1385</v>
      </c>
      <c r="B27" s="34">
        <v>0</v>
      </c>
      <c r="C27" s="35">
        <v>4</v>
      </c>
      <c r="D27" s="36">
        <v>27.46</v>
      </c>
      <c r="E27" s="35" t="s">
        <v>170</v>
      </c>
      <c r="F27" s="35"/>
      <c r="G27" s="19" t="str">
        <f ca="1">IF($A27="","",IF($I27="X",A27,CONCATENATE(VLOOKUP(A27,Competitors!$A$2:$I$650,3, FALSE)," ",VLOOKUP(A27,Competitors!$A$2:$I$650,2,FALSE))))</f>
        <v>Miles Marr</v>
      </c>
      <c r="H27" s="26">
        <f t="shared" si="1"/>
        <v>3.0956018518518516E-3</v>
      </c>
      <c r="I27" t="str">
        <f t="shared" ca="1" si="2"/>
        <v/>
      </c>
      <c r="J27" s="40" t="s">
        <v>213</v>
      </c>
    </row>
    <row r="28" spans="1:10" ht="14.25" x14ac:dyDescent="0.15">
      <c r="A28" s="34">
        <f t="shared" ca="1" si="0"/>
        <v>1242</v>
      </c>
      <c r="B28" s="34">
        <v>0</v>
      </c>
      <c r="C28" s="35">
        <v>4</v>
      </c>
      <c r="D28" s="36">
        <v>33.049999999999997</v>
      </c>
      <c r="E28" s="35" t="s">
        <v>170</v>
      </c>
      <c r="F28" s="35"/>
      <c r="G28" s="19" t="str">
        <f ca="1">IF($A28="","",IF($I28="X",A28,CONCATENATE(VLOOKUP(A28,Competitors!$A$2:$I$650,3, FALSE)," ",VLOOKUP(A28,Competitors!$A$2:$I$650,2,FALSE))))</f>
        <v>Mike Sirett</v>
      </c>
      <c r="H28" s="26">
        <f t="shared" si="1"/>
        <v>3.1603009259259262E-3</v>
      </c>
      <c r="I28" t="str">
        <f t="shared" ca="1" si="2"/>
        <v/>
      </c>
      <c r="J28" s="40" t="s">
        <v>621</v>
      </c>
    </row>
    <row r="29" spans="1:10" ht="14.25" x14ac:dyDescent="0.15">
      <c r="A29" s="34" t="str">
        <f t="shared" ca="1" si="0"/>
        <v>Graham Wright</v>
      </c>
      <c r="B29" s="34">
        <v>0</v>
      </c>
      <c r="C29" s="35">
        <v>4</v>
      </c>
      <c r="D29" s="36">
        <v>33.53</v>
      </c>
      <c r="E29" s="35"/>
      <c r="F29" s="35"/>
      <c r="G29" s="19" t="str">
        <f ca="1">IF($A29="","",IF($I29="X",A29,CONCATENATE(VLOOKUP(A29,Competitors!$A$2:$I$650,3, FALSE)," ",VLOOKUP(A29,Competitors!$A$2:$I$650,2,FALSE))))</f>
        <v>Graham Wright</v>
      </c>
      <c r="H29" s="26">
        <f t="shared" si="1"/>
        <v>3.1658564814814813E-3</v>
      </c>
      <c r="I29" t="str">
        <f t="shared" ca="1" si="2"/>
        <v>X</v>
      </c>
      <c r="J29" s="40" t="s">
        <v>274</v>
      </c>
    </row>
    <row r="30" spans="1:10" ht="14.25" x14ac:dyDescent="0.15">
      <c r="A30" s="34">
        <f t="shared" ca="1" si="0"/>
        <v>1107</v>
      </c>
      <c r="B30" s="34">
        <v>0</v>
      </c>
      <c r="C30" s="35">
        <v>4</v>
      </c>
      <c r="D30" s="36">
        <v>34.369999999999997</v>
      </c>
      <c r="E30" s="35" t="s">
        <v>170</v>
      </c>
      <c r="F30" s="35"/>
      <c r="G30" s="19" t="str">
        <f ca="1">IF($A30="","",IF($I30="X",A30,CONCATENATE(VLOOKUP(A30,Competitors!$A$2:$I$650,3, FALSE)," ",VLOOKUP(A30,Competitors!$A$2:$I$650,2,FALSE))))</f>
        <v>Milly Pinnock</v>
      </c>
      <c r="H30" s="26">
        <f t="shared" si="1"/>
        <v>3.1755787037037039E-3</v>
      </c>
      <c r="I30" t="str">
        <f t="shared" ca="1" si="2"/>
        <v/>
      </c>
      <c r="J30" s="40" t="s">
        <v>600</v>
      </c>
    </row>
    <row r="31" spans="1:10" ht="14.25" x14ac:dyDescent="0.15">
      <c r="A31" s="34" t="str">
        <f t="shared" ca="1" si="0"/>
        <v>Adnrew Brown</v>
      </c>
      <c r="B31" s="34">
        <v>0</v>
      </c>
      <c r="C31" s="35">
        <v>4</v>
      </c>
      <c r="D31" s="36">
        <v>42.37</v>
      </c>
      <c r="E31" s="35"/>
      <c r="F31" s="35"/>
      <c r="G31" s="19" t="str">
        <f ca="1">IF($A31="","",IF($I31="X",A31,CONCATENATE(VLOOKUP(A31,Competitors!$A$2:$I$650,3, FALSE)," ",VLOOKUP(A31,Competitors!$A$2:$I$650,2,FALSE))))</f>
        <v>Adnrew Brown</v>
      </c>
      <c r="H31" s="26">
        <f t="shared" si="1"/>
        <v>3.2681712962962964E-3</v>
      </c>
      <c r="I31" t="str">
        <f t="shared" ca="1" si="2"/>
        <v>X</v>
      </c>
      <c r="J31" s="40" t="s">
        <v>275</v>
      </c>
    </row>
    <row r="32" spans="1:10" ht="14.25" x14ac:dyDescent="0.15">
      <c r="A32" s="34" t="str">
        <f t="shared" ca="1" si="0"/>
        <v>Philip Merritt</v>
      </c>
      <c r="B32" s="34">
        <v>0</v>
      </c>
      <c r="C32" s="35">
        <v>4</v>
      </c>
      <c r="D32" s="36">
        <v>44.24</v>
      </c>
      <c r="E32" s="35"/>
      <c r="F32" s="35"/>
      <c r="G32" s="19" t="str">
        <f ca="1">IF($A32="","",IF($I32="X",A32,CONCATENATE(VLOOKUP(A32,Competitors!$A$2:$I$650,3, FALSE)," ",VLOOKUP(A32,Competitors!$A$2:$I$650,2,FALSE))))</f>
        <v>Philip Merritt</v>
      </c>
      <c r="H32" s="26">
        <f t="shared" si="1"/>
        <v>3.2898148148148149E-3</v>
      </c>
      <c r="I32" t="str">
        <f t="shared" ca="1" si="2"/>
        <v>X</v>
      </c>
      <c r="J32" s="40" t="s">
        <v>193</v>
      </c>
    </row>
    <row r="33" spans="1:10" ht="14.25" x14ac:dyDescent="0.15">
      <c r="A33" s="34" t="str">
        <f t="shared" ca="1" si="0"/>
        <v>Shay Dempsey</v>
      </c>
      <c r="B33" s="34">
        <v>0</v>
      </c>
      <c r="C33" s="35">
        <v>4</v>
      </c>
      <c r="D33" s="36">
        <v>44.83</v>
      </c>
      <c r="E33" s="35"/>
      <c r="F33" s="35"/>
      <c r="G33" s="19" t="str">
        <f ca="1">IF($A33="","",IF($I33="X",A33,CONCATENATE(VLOOKUP(A33,Competitors!$A$2:$I$650,3, FALSE)," ",VLOOKUP(A33,Competitors!$A$2:$I$650,2,FALSE))))</f>
        <v>Shay Dempsey</v>
      </c>
      <c r="H33" s="26">
        <f t="shared" si="1"/>
        <v>3.2966435185185182E-3</v>
      </c>
      <c r="I33" t="str">
        <f t="shared" ca="1" si="2"/>
        <v>X</v>
      </c>
      <c r="J33" s="40" t="s">
        <v>223</v>
      </c>
    </row>
    <row r="34" spans="1:10" ht="14.25" x14ac:dyDescent="0.15">
      <c r="A34" s="34" t="str">
        <f t="shared" ref="A34:A65" ca="1" si="3">IF(J34="","",_xlfn.XLOOKUP(J34,ClubNames,ClubNumbers,_xlfn.XLOOKUP(J34,RoundRobinRiderNames,RoundRobinRiderDecoratedNames,J34)))</f>
        <v>Steve Wickham</v>
      </c>
      <c r="B34" s="34">
        <v>0</v>
      </c>
      <c r="C34" s="35">
        <v>4</v>
      </c>
      <c r="D34" s="36">
        <v>45.59</v>
      </c>
      <c r="E34" s="35"/>
      <c r="F34" s="35"/>
      <c r="G34" s="19" t="str">
        <f ca="1">IF($A34="","",IF($I34="X",A34,CONCATENATE(VLOOKUP(A34,Competitors!$A$2:$I$650,3, FALSE)," ",VLOOKUP(A34,Competitors!$A$2:$I$650,2,FALSE))))</f>
        <v>Steve Wickham</v>
      </c>
      <c r="H34" s="26">
        <f t="shared" si="1"/>
        <v>3.3054398148148153E-3</v>
      </c>
      <c r="I34" t="str">
        <f t="shared" ca="1" si="2"/>
        <v>X</v>
      </c>
      <c r="J34" s="40" t="s">
        <v>222</v>
      </c>
    </row>
    <row r="35" spans="1:10" ht="14.25" x14ac:dyDescent="0.15">
      <c r="A35" s="34" t="str">
        <f t="shared" ca="1" si="3"/>
        <v>David Hill (RFW)</v>
      </c>
      <c r="B35" s="34">
        <v>0</v>
      </c>
      <c r="C35" s="35">
        <v>4</v>
      </c>
      <c r="D35" s="36">
        <v>49.79</v>
      </c>
      <c r="E35" s="35"/>
      <c r="F35" s="35"/>
      <c r="G35" s="19" t="str">
        <f ca="1">IF($A35="","",IF($I35="X",A35,CONCATENATE(VLOOKUP(A35,Competitors!$A$2:$I$650,3, FALSE)," ",VLOOKUP(A35,Competitors!$A$2:$I$650,2,FALSE))))</f>
        <v>David Hill (RFW)</v>
      </c>
      <c r="H35" s="26">
        <f t="shared" si="1"/>
        <v>3.3540509259259261E-3</v>
      </c>
      <c r="I35" t="str">
        <f t="shared" ca="1" si="2"/>
        <v>X</v>
      </c>
      <c r="J35" s="40" t="s">
        <v>225</v>
      </c>
    </row>
    <row r="36" spans="1:10" ht="14.25" x14ac:dyDescent="0.15">
      <c r="A36" s="34" t="str">
        <f t="shared" ca="1" si="3"/>
        <v>Mark Tomlinson</v>
      </c>
      <c r="B36" s="34">
        <v>0</v>
      </c>
      <c r="C36" s="35">
        <v>4</v>
      </c>
      <c r="D36" s="36">
        <v>51.83</v>
      </c>
      <c r="E36" s="35"/>
      <c r="F36" s="35"/>
      <c r="G36" s="19" t="str">
        <f ca="1">IF($A36="","",IF($I36="X",A36,CONCATENATE(VLOOKUP(A36,Competitors!$A$2:$I$650,3, FALSE)," ",VLOOKUP(A36,Competitors!$A$2:$I$650,2,FALSE))))</f>
        <v>Mark Tomlinson</v>
      </c>
      <c r="H36" s="26">
        <f t="shared" si="1"/>
        <v>3.3776620370370367E-3</v>
      </c>
      <c r="I36" t="str">
        <f t="shared" ca="1" si="2"/>
        <v>X</v>
      </c>
      <c r="J36" s="40" t="s">
        <v>186</v>
      </c>
    </row>
    <row r="37" spans="1:10" ht="14.25" x14ac:dyDescent="0.15">
      <c r="A37" s="34">
        <f t="shared" ca="1" si="3"/>
        <v>1195</v>
      </c>
      <c r="B37" s="34">
        <v>0</v>
      </c>
      <c r="C37" s="35">
        <v>5</v>
      </c>
      <c r="D37" s="36">
        <v>6.24</v>
      </c>
      <c r="E37" s="35" t="s">
        <v>170</v>
      </c>
      <c r="F37" s="35"/>
      <c r="G37" s="19" t="str">
        <f ca="1">IF($A37="","",IF($I37="X",A37,CONCATENATE(VLOOKUP(A37,Competitors!$A$2:$I$650,3, FALSE)," ",VLOOKUP(A37,Competitors!$A$2:$I$650,2,FALSE))))</f>
        <v>Charlie Hardwicke</v>
      </c>
      <c r="H37" s="26">
        <f t="shared" si="1"/>
        <v>3.5444444444444447E-3</v>
      </c>
      <c r="I37" t="str">
        <f t="shared" ca="1" si="2"/>
        <v/>
      </c>
      <c r="J37" s="40" t="s">
        <v>613</v>
      </c>
    </row>
    <row r="38" spans="1:10" ht="14.25" x14ac:dyDescent="0.15">
      <c r="A38" s="34">
        <f t="shared" ca="1" si="3"/>
        <v>1377</v>
      </c>
      <c r="B38" s="34">
        <v>0</v>
      </c>
      <c r="C38" s="35">
        <v>5</v>
      </c>
      <c r="D38" s="36">
        <v>14.11</v>
      </c>
      <c r="E38" s="35" t="s">
        <v>170</v>
      </c>
      <c r="F38" s="35"/>
      <c r="G38" s="19" t="str">
        <f ca="1">IF($A38="","",IF($I38="X",A38,CONCATENATE(VLOOKUP(A38,Competitors!$A$2:$I$650,3, FALSE)," ",VLOOKUP(A38,Competitors!$A$2:$I$650,2,FALSE))))</f>
        <v>Lucy Fraser</v>
      </c>
      <c r="H38" s="26">
        <f t="shared" si="1"/>
        <v>3.6355324074074076E-3</v>
      </c>
      <c r="I38" t="str">
        <f t="shared" ca="1" si="2"/>
        <v/>
      </c>
      <c r="J38" s="40" t="s">
        <v>616</v>
      </c>
    </row>
    <row r="39" spans="1:10" ht="14.25" x14ac:dyDescent="0.15">
      <c r="A39" s="34" t="str">
        <f t="shared" ca="1" si="3"/>
        <v>David Yarham</v>
      </c>
      <c r="B39" s="34">
        <v>0</v>
      </c>
      <c r="C39" s="35">
        <v>5</v>
      </c>
      <c r="D39" s="36">
        <v>18.600000000000001</v>
      </c>
      <c r="E39" s="35"/>
      <c r="F39" s="35"/>
      <c r="G39" s="19" t="str">
        <f ca="1">IF($A39="","",IF($I39="X",A39,CONCATENATE(VLOOKUP(A39,Competitors!$A$2:$I$650,3, FALSE)," ",VLOOKUP(A39,Competitors!$A$2:$I$650,2,FALSE))))</f>
        <v>David Yarham</v>
      </c>
      <c r="H39" s="26">
        <f t="shared" si="1"/>
        <v>3.6875000000000002E-3</v>
      </c>
      <c r="I39" t="str">
        <f t="shared" ca="1" si="2"/>
        <v>X</v>
      </c>
      <c r="J39" s="40" t="s">
        <v>276</v>
      </c>
    </row>
    <row r="40" spans="1:10" ht="14.25" x14ac:dyDescent="0.15">
      <c r="A40" s="34" t="str">
        <f t="shared" ca="1" si="3"/>
        <v>Noah Marr</v>
      </c>
      <c r="B40" s="34">
        <v>0</v>
      </c>
      <c r="C40" s="35">
        <v>5</v>
      </c>
      <c r="D40" s="36">
        <v>22.96</v>
      </c>
      <c r="E40" s="35"/>
      <c r="F40" s="35"/>
      <c r="G40" s="19" t="str">
        <f ca="1">IF($A40="","",IF($I40="X",A40,CONCATENATE(VLOOKUP(A40,Competitors!$A$2:$I$650,3, FALSE)," ",VLOOKUP(A40,Competitors!$A$2:$I$650,2,FALSE))))</f>
        <v>Noah Marr</v>
      </c>
      <c r="H40" s="26">
        <f t="shared" si="1"/>
        <v>3.7379629629629629E-3</v>
      </c>
      <c r="I40" t="str">
        <f t="shared" ca="1" si="2"/>
        <v>X</v>
      </c>
      <c r="J40" s="40" t="s">
        <v>277</v>
      </c>
    </row>
    <row r="41" spans="1:10" ht="14.25" x14ac:dyDescent="0.15">
      <c r="A41" s="34" t="str">
        <f t="shared" ca="1" si="3"/>
        <v>Graham Waterfield</v>
      </c>
      <c r="B41" s="34">
        <v>0</v>
      </c>
      <c r="C41" s="35">
        <v>5</v>
      </c>
      <c r="D41" s="36">
        <v>31.31</v>
      </c>
      <c r="E41" s="35"/>
      <c r="F41" s="35"/>
      <c r="G41" s="19" t="str">
        <f ca="1">IF($A41="","",IF($I41="X",A41,CONCATENATE(VLOOKUP(A41,Competitors!$A$2:$I$650,3, FALSE)," ",VLOOKUP(A41,Competitors!$A$2:$I$650,2,FALSE))))</f>
        <v>Graham Waterfield</v>
      </c>
      <c r="H41" s="26">
        <f t="shared" si="1"/>
        <v>3.8346064814814814E-3</v>
      </c>
      <c r="I41" t="str">
        <f t="shared" ca="1" si="2"/>
        <v>X</v>
      </c>
      <c r="J41" s="40" t="s">
        <v>278</v>
      </c>
    </row>
    <row r="42" spans="1:10" ht="14.25" x14ac:dyDescent="0.15">
      <c r="A42" s="34">
        <f t="shared" ca="1" si="3"/>
        <v>1194</v>
      </c>
      <c r="B42" s="34">
        <v>0</v>
      </c>
      <c r="C42" s="35">
        <v>5</v>
      </c>
      <c r="D42" s="36">
        <v>38.46</v>
      </c>
      <c r="E42" s="35" t="s">
        <v>170</v>
      </c>
      <c r="F42" s="35"/>
      <c r="G42" s="19" t="str">
        <f ca="1">IF($A42="","",IF($I42="X",A42,CONCATENATE(VLOOKUP(A42,Competitors!$A$2:$I$650,3, FALSE)," ",VLOOKUP(A42,Competitors!$A$2:$I$650,2,FALSE))))</f>
        <v>Alex Hardwicke</v>
      </c>
      <c r="H42" s="26">
        <f t="shared" si="1"/>
        <v>3.917361111111111E-3</v>
      </c>
      <c r="I42" t="str">
        <f t="shared" ca="1" si="2"/>
        <v/>
      </c>
      <c r="J42" s="40" t="s">
        <v>611</v>
      </c>
    </row>
    <row r="43" spans="1:10" ht="14.25" x14ac:dyDescent="0.15">
      <c r="A43" s="34" t="str">
        <f t="shared" ca="1" si="3"/>
        <v>Maria Cayford</v>
      </c>
      <c r="B43" s="34">
        <v>0</v>
      </c>
      <c r="C43" s="35">
        <v>6</v>
      </c>
      <c r="D43" s="36">
        <v>2.37</v>
      </c>
      <c r="E43" s="35" t="s">
        <v>46</v>
      </c>
      <c r="F43" s="35"/>
      <c r="G43" s="19" t="str">
        <f ca="1">IF($A43="","",IF($I43="X",A43,CONCATENATE(VLOOKUP(A43,Competitors!$A$2:$I$650,3, FALSE)," ",VLOOKUP(A43,Competitors!$A$2:$I$650,2,FALSE))))</f>
        <v>Maria Cayford</v>
      </c>
      <c r="H43" s="26">
        <f t="shared" si="1"/>
        <v>4.1940972222222223E-3</v>
      </c>
      <c r="I43" t="str">
        <f t="shared" ca="1" si="2"/>
        <v>X</v>
      </c>
      <c r="J43" s="40" t="s">
        <v>200</v>
      </c>
    </row>
    <row r="44" spans="1:10" ht="14.25" x14ac:dyDescent="0.15">
      <c r="A44" s="34" t="str">
        <f t="shared" ca="1" si="3"/>
        <v>Chris Barratt</v>
      </c>
      <c r="B44" s="34">
        <v>0</v>
      </c>
      <c r="C44" s="35">
        <v>6</v>
      </c>
      <c r="D44" s="36">
        <v>49.91</v>
      </c>
      <c r="E44" s="35"/>
      <c r="F44" s="35"/>
      <c r="G44" s="19" t="str">
        <f ca="1">IF($A44="","",IF($I44="X",A44,CONCATENATE(VLOOKUP(A44,Competitors!$A$2:$I$650,3, FALSE)," ",VLOOKUP(A44,Competitors!$A$2:$I$650,2,FALSE))))</f>
        <v>Chris Barratt</v>
      </c>
      <c r="H44" s="26">
        <f t="shared" si="1"/>
        <v>4.7443287037037037E-3</v>
      </c>
      <c r="I44" t="str">
        <f t="shared" ca="1" si="2"/>
        <v>X</v>
      </c>
      <c r="J44" s="40" t="s">
        <v>279</v>
      </c>
    </row>
    <row r="45" spans="1:10" ht="14.25" x14ac:dyDescent="0.15">
      <c r="A45" s="34" t="str">
        <f t="shared" ca="1" si="3"/>
        <v/>
      </c>
      <c r="B45" s="34"/>
      <c r="C45" s="35"/>
      <c r="D45" s="36"/>
      <c r="E45" s="35"/>
      <c r="F45" s="35"/>
      <c r="G45" s="19" t="str">
        <f ca="1">IF($A45="","",IF($I45="X",A45,CONCATENATE(VLOOKUP(A45,Competitors!$A$2:$I$650,3, FALSE)," ",VLOOKUP(A45,Competitors!$A$2:$I$650,2,FALSE))))</f>
        <v/>
      </c>
      <c r="H45" s="26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34" t="str">
        <f t="shared" ca="1" si="3"/>
        <v/>
      </c>
      <c r="B46" s="34"/>
      <c r="C46" s="35"/>
      <c r="D46" s="36"/>
      <c r="E46" s="35"/>
      <c r="F46" s="35"/>
      <c r="G46" s="19" t="str">
        <f ca="1">IF($A46="","",IF($I46="X",A46,CONCATENATE(VLOOKUP(A46,Competitors!$A$2:$I$650,3, FALSE)," ",VLOOKUP(A46,Competitors!$A$2:$I$650,2,FALSE))))</f>
        <v/>
      </c>
      <c r="H46" s="26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34" t="str">
        <f t="shared" ca="1" si="3"/>
        <v/>
      </c>
      <c r="B47" s="34"/>
      <c r="C47" s="35"/>
      <c r="D47" s="36"/>
      <c r="E47" s="35"/>
      <c r="F47" s="35"/>
      <c r="G47" s="19" t="str">
        <f ca="1">IF($A47="","",IF($I47="X",A47,CONCATENATE(VLOOKUP(A47,Competitors!$A$2:$I$650,3, FALSE)," ",VLOOKUP(A47,Competitors!$A$2:$I$650,2,FALSE))))</f>
        <v/>
      </c>
      <c r="H47" s="26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34" t="str">
        <f t="shared" ca="1" si="3"/>
        <v/>
      </c>
      <c r="B48" s="34"/>
      <c r="C48" s="35"/>
      <c r="D48" s="36"/>
      <c r="E48" s="35"/>
      <c r="F48" s="35"/>
      <c r="G48" s="19" t="str">
        <f ca="1">IF($A48="","",IF($I48="X",A48,CONCATENATE(VLOOKUP(A48,Competitors!$A$2:$I$650,3, FALSE)," ",VLOOKUP(A48,Competitors!$A$2:$I$650,2,FALSE))))</f>
        <v/>
      </c>
      <c r="H48" s="26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34" t="str">
        <f t="shared" ca="1" si="3"/>
        <v/>
      </c>
      <c r="B49" s="34"/>
      <c r="C49" s="35"/>
      <c r="D49" s="36"/>
      <c r="E49" s="35"/>
      <c r="F49" s="35"/>
      <c r="G49" s="19" t="str">
        <f ca="1">IF($A49="","",IF($I49="X",A49,CONCATENATE(VLOOKUP(A49,Competitors!$A$2:$I$650,3, FALSE)," ",VLOOKUP(A49,Competitors!$A$2:$I$650,2,FALSE))))</f>
        <v/>
      </c>
      <c r="H49" s="26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34" t="str">
        <f t="shared" ca="1" si="3"/>
        <v/>
      </c>
      <c r="B50" s="34"/>
      <c r="C50" s="35"/>
      <c r="D50" s="36"/>
      <c r="E50" s="35"/>
      <c r="F50" s="35"/>
      <c r="G50" s="19" t="str">
        <f ca="1">IF($A50="","",IF($I50="X",A50,CONCATENATE(VLOOKUP(A50,Competitors!$A$2:$I$650,3, FALSE)," ",VLOOKUP(A50,Competitors!$A$2:$I$650,2,FALSE))))</f>
        <v/>
      </c>
      <c r="H50" s="26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34" t="str">
        <f t="shared" ca="1" si="3"/>
        <v/>
      </c>
      <c r="B51" s="34"/>
      <c r="C51" s="35"/>
      <c r="D51" s="36"/>
      <c r="E51" s="35"/>
      <c r="F51" s="35"/>
      <c r="G51" s="19" t="str">
        <f ca="1">IF($A51="","",IF($I51="X",A51,CONCATENATE(VLOOKUP(A51,Competitors!$A$2:$I$650,3, FALSE)," ",VLOOKUP(A51,Competitors!$A$2:$I$650,2,FALSE))))</f>
        <v/>
      </c>
      <c r="H51" s="26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34" t="str">
        <f t="shared" ca="1" si="3"/>
        <v/>
      </c>
      <c r="B52" s="34"/>
      <c r="C52" s="35"/>
      <c r="D52" s="36"/>
      <c r="E52" s="35"/>
      <c r="F52" s="35"/>
      <c r="G52" s="19" t="str">
        <f ca="1">IF($A52="","",IF($I52="X",A52,CONCATENATE(VLOOKUP(A52,Competitors!$A$2:$I$650,3, FALSE)," ",VLOOKUP(A52,Competitors!$A$2:$I$650,2,FALSE))))</f>
        <v/>
      </c>
      <c r="H52" s="26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34" t="str">
        <f t="shared" ca="1" si="3"/>
        <v/>
      </c>
      <c r="B53" s="34"/>
      <c r="C53" s="35"/>
      <c r="D53" s="36"/>
      <c r="E53" s="35"/>
      <c r="F53" s="35"/>
      <c r="G53" s="19" t="str">
        <f ca="1">IF($A53="","",IF($I53="X",A53,CONCATENATE(VLOOKUP(A53,Competitors!$A$2:$I$650,3, FALSE)," ",VLOOKUP(A53,Competitors!$A$2:$I$650,2,FALSE))))</f>
        <v/>
      </c>
      <c r="H53" s="26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34" t="str">
        <f t="shared" ca="1" si="3"/>
        <v/>
      </c>
      <c r="B54" s="34"/>
      <c r="C54" s="35"/>
      <c r="D54" s="36"/>
      <c r="E54" s="35"/>
      <c r="F54" s="35"/>
      <c r="G54" s="19" t="str">
        <f ca="1">IF($A54="","",IF($I54="X",A54,CONCATENATE(VLOOKUP(A54,Competitors!$A$2:$I$650,3, FALSE)," ",VLOOKUP(A54,Competitors!$A$2:$I$650,2,FALSE))))</f>
        <v/>
      </c>
      <c r="H54" s="26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34" t="str">
        <f t="shared" ca="1" si="3"/>
        <v/>
      </c>
      <c r="B55" s="34"/>
      <c r="C55" s="35"/>
      <c r="D55" s="36"/>
      <c r="E55" s="35"/>
      <c r="F55" s="35"/>
      <c r="G55" s="19" t="str">
        <f ca="1">IF($A55="","",IF($I55="X",A55,CONCATENATE(VLOOKUP(A55,Competitors!$A$2:$I$650,3, FALSE)," ",VLOOKUP(A55,Competitors!$A$2:$I$650,2,FALSE))))</f>
        <v/>
      </c>
      <c r="H55" s="26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34" t="str">
        <f t="shared" ca="1" si="3"/>
        <v/>
      </c>
      <c r="B56" s="34"/>
      <c r="C56" s="35"/>
      <c r="D56" s="36"/>
      <c r="E56" s="35"/>
      <c r="F56" s="35"/>
      <c r="G56" s="19" t="str">
        <f ca="1">IF($A56="","",IF($I56="X",A56,CONCATENATE(VLOOKUP(A56,Competitors!$A$2:$I$650,3, FALSE)," ",VLOOKUP(A56,Competitors!$A$2:$I$650,2,FALSE))))</f>
        <v/>
      </c>
      <c r="H56" s="26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34" t="str">
        <f t="shared" ca="1" si="3"/>
        <v/>
      </c>
      <c r="B57" s="34"/>
      <c r="C57" s="35"/>
      <c r="D57" s="36"/>
      <c r="E57" s="35"/>
      <c r="F57" s="35"/>
      <c r="G57" s="19" t="str">
        <f ca="1">IF($A57="","",IF($I57="X",A57,CONCATENATE(VLOOKUP(A57,Competitors!$A$2:$I$650,3, FALSE)," ",VLOOKUP(A57,Competitors!$A$2:$I$650,2,FALSE))))</f>
        <v/>
      </c>
      <c r="H57" s="26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34" t="str">
        <f t="shared" ca="1" si="3"/>
        <v/>
      </c>
      <c r="B58" s="34"/>
      <c r="C58" s="35"/>
      <c r="D58" s="36"/>
      <c r="E58" s="35"/>
      <c r="F58" s="35"/>
      <c r="G58" s="19" t="str">
        <f ca="1">IF($A58="","",IF($I58="X",A58,CONCATENATE(VLOOKUP(A58,Competitors!$A$2:$I$650,3, FALSE)," ",VLOOKUP(A58,Competitors!$A$2:$I$650,2,FALSE))))</f>
        <v/>
      </c>
      <c r="H58" s="26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34" t="str">
        <f t="shared" ca="1" si="3"/>
        <v/>
      </c>
      <c r="B59" s="34"/>
      <c r="C59" s="35"/>
      <c r="D59" s="36"/>
      <c r="E59" s="35"/>
      <c r="F59" s="35"/>
      <c r="G59" s="19" t="str">
        <f ca="1">IF($A59="","",IF($I59="X",A59,CONCATENATE(VLOOKUP(A59,Competitors!$A$2:$I$650,3, FALSE)," ",VLOOKUP(A59,Competitors!$A$2:$I$650,2,FALSE))))</f>
        <v/>
      </c>
      <c r="H59" s="26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34" t="str">
        <f t="shared" ca="1" si="3"/>
        <v/>
      </c>
      <c r="B60" s="34"/>
      <c r="C60" s="35"/>
      <c r="D60" s="36"/>
      <c r="E60" s="35"/>
      <c r="F60" s="35"/>
      <c r="G60" s="19" t="str">
        <f ca="1">IF($A60="","",IF($I60="X",A60,CONCATENATE(VLOOKUP(A60,Competitors!$A$2:$I$650,3, FALSE)," ",VLOOKUP(A60,Competitors!$A$2:$I$650,2,FALSE))))</f>
        <v/>
      </c>
      <c r="H60" s="26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34" t="str">
        <f t="shared" ca="1" si="3"/>
        <v/>
      </c>
      <c r="B61" s="34"/>
      <c r="C61" s="35"/>
      <c r="D61" s="36"/>
      <c r="E61" s="35"/>
      <c r="F61" s="35"/>
      <c r="G61" s="19" t="str">
        <f ca="1">IF($A61="","",IF($I61="X",A61,CONCATENATE(VLOOKUP(A61,Competitors!$A$2:$I$650,3, FALSE)," ",VLOOKUP(A61,Competitors!$A$2:$I$650,2,FALSE))))</f>
        <v/>
      </c>
      <c r="H61" s="26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34" t="str">
        <f t="shared" ca="1" si="3"/>
        <v/>
      </c>
      <c r="B62" s="34"/>
      <c r="C62" s="35"/>
      <c r="D62" s="36"/>
      <c r="E62" s="35"/>
      <c r="F62" s="35"/>
      <c r="G62" s="19" t="str">
        <f ca="1">IF($A62="","",IF($I62="X",A62,CONCATENATE(VLOOKUP(A62,Competitors!$A$2:$I$650,3, FALSE)," ",VLOOKUP(A62,Competitors!$A$2:$I$650,2,FALSE))))</f>
        <v/>
      </c>
      <c r="H62" s="26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34" t="str">
        <f t="shared" ca="1" si="3"/>
        <v/>
      </c>
      <c r="B63" s="34"/>
      <c r="C63" s="35"/>
      <c r="D63" s="36"/>
      <c r="E63" s="35"/>
      <c r="F63" s="35"/>
      <c r="G63" s="19" t="str">
        <f ca="1">IF($A63="","",IF($I63="X",A63,CONCATENATE(VLOOKUP(A63,Competitors!$A$2:$I$650,3, FALSE)," ",VLOOKUP(A63,Competitors!$A$2:$I$650,2,FALSE))))</f>
        <v/>
      </c>
      <c r="H63" s="26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34" t="str">
        <f t="shared" ca="1" si="3"/>
        <v/>
      </c>
      <c r="B64" s="34"/>
      <c r="C64" s="35"/>
      <c r="D64" s="36"/>
      <c r="E64" s="35"/>
      <c r="F64" s="35"/>
      <c r="G64" s="19" t="str">
        <f ca="1">IF($A64="","",IF($I64="X",A64,CONCATENATE(VLOOKUP(A64,Competitors!$A$2:$I$650,3, FALSE)," ",VLOOKUP(A64,Competitors!$A$2:$I$650,2,FALSE))))</f>
        <v/>
      </c>
      <c r="H64" s="26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34" t="str">
        <f t="shared" ca="1" si="3"/>
        <v/>
      </c>
      <c r="B65" s="34"/>
      <c r="C65" s="35"/>
      <c r="D65" s="36"/>
      <c r="E65" s="35"/>
      <c r="F65" s="35"/>
      <c r="G65" s="19" t="str">
        <f ca="1">IF($A65="","",IF($I65="X",A65,CONCATENATE(VLOOKUP(A65,Competitors!$A$2:$I$650,3, FALSE)," ",VLOOKUP(A65,Competitors!$A$2:$I$650,2,FALSE))))</f>
        <v/>
      </c>
      <c r="H65" s="26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34" t="str">
        <f t="shared" ref="A66:A101" ca="1" si="4">IF(J66="","",_xlfn.XLOOKUP(J66,ClubNames,ClubNumbers,_xlfn.XLOOKUP(J66,RoundRobinRiderNames,RoundRobinRiderDecoratedNames,J66)))</f>
        <v/>
      </c>
      <c r="B66" s="34"/>
      <c r="C66" s="35"/>
      <c r="D66" s="36"/>
      <c r="E66" s="35"/>
      <c r="F66" s="35"/>
      <c r="G66" s="19" t="str">
        <f ca="1">IF($A66="","",IF($I66="X",A66,CONCATENATE(VLOOKUP(A66,Competitors!$A$2:$I$650,3, FALSE)," ",VLOOKUP(A66,Competitors!$A$2:$I$650,2,FALSE))))</f>
        <v/>
      </c>
      <c r="H66" s="26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34" t="str">
        <f t="shared" ca="1" si="4"/>
        <v/>
      </c>
      <c r="B67" s="34"/>
      <c r="C67" s="35"/>
      <c r="D67" s="36"/>
      <c r="E67" s="35"/>
      <c r="F67" s="35"/>
      <c r="G67" s="19" t="str">
        <f ca="1">IF($A67="","",IF($I67="X",A67,CONCATENATE(VLOOKUP(A67,Competitors!$A$2:$I$650,3, FALSE)," ",VLOOKUP(A67,Competitors!$A$2:$I$650,2,FALSE))))</f>
        <v/>
      </c>
      <c r="H67" s="26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34" t="str">
        <f t="shared" ca="1" si="4"/>
        <v/>
      </c>
      <c r="B68" s="34"/>
      <c r="C68" s="35"/>
      <c r="D68" s="36"/>
      <c r="E68" s="35"/>
      <c r="F68" s="35"/>
      <c r="G68" s="19" t="str">
        <f ca="1">IF($A68="","",IF($I68="X",A68,CONCATENATE(VLOOKUP(A68,Competitors!$A$2:$I$650,3, FALSE)," ",VLOOKUP(A68,Competitors!$A$2:$I$650,2,FALSE))))</f>
        <v/>
      </c>
      <c r="H68" s="26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34" t="str">
        <f t="shared" ca="1" si="4"/>
        <v/>
      </c>
      <c r="B69" s="34"/>
      <c r="C69" s="35"/>
      <c r="D69" s="36"/>
      <c r="E69" s="35"/>
      <c r="F69" s="35"/>
      <c r="G69" s="19" t="str">
        <f ca="1">IF($A69="","",IF($I69="X",A69,CONCATENATE(VLOOKUP(A69,Competitors!$A$2:$I$650,3, FALSE)," ",VLOOKUP(A69,Competitors!$A$2:$I$650,2,FALSE))))</f>
        <v/>
      </c>
      <c r="H69" s="26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34" t="str">
        <f t="shared" ca="1" si="4"/>
        <v/>
      </c>
      <c r="B70" s="34"/>
      <c r="C70" s="35"/>
      <c r="D70" s="36"/>
      <c r="E70" s="35"/>
      <c r="F70" s="35"/>
      <c r="G70" s="19" t="str">
        <f ca="1">IF($A70="","",IF($I70="X",A70,CONCATENATE(VLOOKUP(A70,Competitors!$A$2:$I$650,3, FALSE)," ",VLOOKUP(A70,Competitors!$A$2:$I$650,2,FALSE))))</f>
        <v/>
      </c>
      <c r="H70" s="26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34" t="str">
        <f t="shared" ca="1" si="4"/>
        <v/>
      </c>
      <c r="B71" s="34"/>
      <c r="C71" s="35"/>
      <c r="D71" s="36"/>
      <c r="E71" s="35"/>
      <c r="F71" s="35"/>
      <c r="G71" s="19" t="str">
        <f ca="1">IF($A71="","",IF($I71="X",A71,CONCATENATE(VLOOKUP(A71,Competitors!$A$2:$I$650,3, FALSE)," ",VLOOKUP(A71,Competitors!$A$2:$I$650,2,FALSE))))</f>
        <v/>
      </c>
      <c r="H71" s="26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34" t="str">
        <f t="shared" ca="1" si="4"/>
        <v/>
      </c>
      <c r="B72" s="34"/>
      <c r="C72" s="35"/>
      <c r="D72" s="36"/>
      <c r="E72" s="35"/>
      <c r="F72" s="35"/>
      <c r="G72" s="19" t="str">
        <f ca="1">IF($A72="","",IF($I72="X",A72,CONCATENATE(VLOOKUP(A72,Competitors!$A$2:$I$650,3, FALSE)," ",VLOOKUP(A72,Competitors!$A$2:$I$650,2,FALSE))))</f>
        <v/>
      </c>
      <c r="H72" s="26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34" t="str">
        <f t="shared" ca="1" si="4"/>
        <v/>
      </c>
      <c r="B73" s="34"/>
      <c r="C73" s="35"/>
      <c r="D73" s="36"/>
      <c r="E73" s="35"/>
      <c r="F73" s="35"/>
      <c r="G73" s="19" t="str">
        <f ca="1">IF($A73="","",IF($I73="X",A73,CONCATENATE(VLOOKUP(A73,Competitors!$A$2:$I$650,3, FALSE)," ",VLOOKUP(A73,Competitors!$A$2:$I$650,2,FALSE))))</f>
        <v/>
      </c>
      <c r="H73" s="26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34" t="str">
        <f t="shared" ca="1" si="4"/>
        <v/>
      </c>
      <c r="B74" s="34"/>
      <c r="C74" s="35"/>
      <c r="D74" s="36"/>
      <c r="E74" s="35"/>
      <c r="F74" s="35"/>
      <c r="G74" s="19" t="str">
        <f ca="1">IF($A74="","",IF($I74="X",A74,CONCATENATE(VLOOKUP(A74,Competitors!$A$2:$I$650,3, FALSE)," ",VLOOKUP(A74,Competitors!$A$2:$I$650,2,FALSE))))</f>
        <v/>
      </c>
      <c r="H74" s="26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34" t="str">
        <f t="shared" ca="1" si="4"/>
        <v/>
      </c>
      <c r="B75" s="34"/>
      <c r="C75" s="35"/>
      <c r="D75" s="36"/>
      <c r="E75" s="35"/>
      <c r="F75" s="35"/>
      <c r="G75" s="19" t="str">
        <f ca="1">IF($A75="","",IF($I75="X",A75,CONCATENATE(VLOOKUP(A75,Competitors!$A$2:$I$650,3, FALSE)," ",VLOOKUP(A75,Competitors!$A$2:$I$650,2,FALSE))))</f>
        <v/>
      </c>
      <c r="H75" s="26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34" t="str">
        <f t="shared" ca="1" si="4"/>
        <v/>
      </c>
      <c r="B76" s="34"/>
      <c r="C76" s="35"/>
      <c r="D76" s="36"/>
      <c r="E76" s="35"/>
      <c r="F76" s="35"/>
      <c r="G76" s="19" t="str">
        <f ca="1">IF($A76="","",IF($I76="X",A76,CONCATENATE(VLOOKUP(A76,Competitors!$A$2:$I$650,3, FALSE)," ",VLOOKUP(A76,Competitors!$A$2:$I$650,2,FALSE))))</f>
        <v/>
      </c>
      <c r="H76" s="26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34" t="str">
        <f t="shared" ca="1" si="4"/>
        <v/>
      </c>
      <c r="B77" s="34"/>
      <c r="C77" s="35"/>
      <c r="D77" s="36"/>
      <c r="E77" s="35"/>
      <c r="F77" s="35"/>
      <c r="G77" s="19" t="str">
        <f ca="1">IF($A77="","",IF($I77="X",A77,CONCATENATE(VLOOKUP(A77,Competitors!$A$2:$I$650,3, FALSE)," ",VLOOKUP(A77,Competitors!$A$2:$I$650,2,FALSE))))</f>
        <v/>
      </c>
      <c r="H77" s="26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34" t="str">
        <f t="shared" ca="1" si="4"/>
        <v/>
      </c>
      <c r="B78" s="34"/>
      <c r="C78" s="35"/>
      <c r="D78" s="36"/>
      <c r="E78" s="35"/>
      <c r="F78" s="35"/>
      <c r="G78" s="19" t="str">
        <f ca="1">IF($A78="","",IF($I78="X",A78,CONCATENATE(VLOOKUP(A78,Competitors!$A$2:$I$650,3, FALSE)," ",VLOOKUP(A78,Competitors!$A$2:$I$650,2,FALSE))))</f>
        <v/>
      </c>
      <c r="H78" s="26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34" t="str">
        <f t="shared" ca="1" si="4"/>
        <v/>
      </c>
      <c r="B79" s="34"/>
      <c r="C79" s="35"/>
      <c r="D79" s="36"/>
      <c r="E79" s="35"/>
      <c r="F79" s="35"/>
      <c r="G79" s="19" t="str">
        <f ca="1">IF($A79="","",IF($I79="X",A79,CONCATENATE(VLOOKUP(A79,Competitors!$A$2:$I$650,3, FALSE)," ",VLOOKUP(A79,Competitors!$A$2:$I$650,2,FALSE))))</f>
        <v/>
      </c>
      <c r="H79" s="26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34" t="str">
        <f t="shared" ca="1" si="4"/>
        <v/>
      </c>
      <c r="B80" s="34"/>
      <c r="C80" s="35"/>
      <c r="D80" s="36"/>
      <c r="E80" s="35"/>
      <c r="F80" s="35"/>
      <c r="G80" s="19" t="str">
        <f ca="1">IF($A80="","",IF($I80="X",A80,CONCATENATE(VLOOKUP(A80,Competitors!$A$2:$I$650,3, FALSE)," ",VLOOKUP(A80,Competitors!$A$2:$I$650,2,FALSE))))</f>
        <v/>
      </c>
      <c r="H80" s="26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34" t="str">
        <f t="shared" ca="1" si="4"/>
        <v/>
      </c>
      <c r="B81" s="34"/>
      <c r="C81" s="35"/>
      <c r="D81" s="36"/>
      <c r="E81" s="35"/>
      <c r="F81" s="35"/>
      <c r="G81" s="19" t="str">
        <f ca="1">IF($A81="","",IF($I81="X",A81,CONCATENATE(VLOOKUP(A81,Competitors!$A$2:$I$650,3, FALSE)," ",VLOOKUP(A81,Competitors!$A$2:$I$650,2,FALSE))))</f>
        <v/>
      </c>
      <c r="H81" s="26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34" t="str">
        <f t="shared" ca="1" si="4"/>
        <v/>
      </c>
      <c r="B82" s="34"/>
      <c r="C82" s="35"/>
      <c r="D82" s="36"/>
      <c r="E82" s="35"/>
      <c r="F82" s="35"/>
      <c r="G82" s="19" t="str">
        <f ca="1">IF($A82="","",IF($I82="X",A82,CONCATENATE(VLOOKUP(A82,Competitors!$A$2:$I$650,3, FALSE)," ",VLOOKUP(A82,Competitors!$A$2:$I$650,2,FALSE))))</f>
        <v/>
      </c>
      <c r="H82" s="26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34" t="str">
        <f t="shared" ca="1" si="4"/>
        <v/>
      </c>
      <c r="B83" s="34"/>
      <c r="C83" s="35"/>
      <c r="D83" s="36"/>
      <c r="E83" s="35"/>
      <c r="F83" s="35"/>
      <c r="G83" s="19" t="str">
        <f ca="1">IF($A83="","",IF($I83="X",A83,CONCATENATE(VLOOKUP(A83,Competitors!$A$2:$I$650,3, FALSE)," ",VLOOKUP(A83,Competitors!$A$2:$I$650,2,FALSE))))</f>
        <v/>
      </c>
      <c r="H83" s="26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34" t="str">
        <f t="shared" ca="1" si="4"/>
        <v/>
      </c>
      <c r="B84" s="34"/>
      <c r="C84" s="35"/>
      <c r="D84" s="36"/>
      <c r="E84" s="35"/>
      <c r="F84" s="35"/>
      <c r="G84" s="19" t="str">
        <f ca="1">IF($A84="","",IF($I84="X",A84,CONCATENATE(VLOOKUP(A84,Competitors!$A$2:$I$650,3, FALSE)," ",VLOOKUP(A84,Competitors!$A$2:$I$650,2,FALSE))))</f>
        <v/>
      </c>
      <c r="H84" s="26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34" t="str">
        <f t="shared" ca="1" si="4"/>
        <v/>
      </c>
      <c r="B85" s="34"/>
      <c r="C85" s="35"/>
      <c r="D85" s="36"/>
      <c r="E85" s="35"/>
      <c r="F85" s="35"/>
      <c r="G85" s="19" t="str">
        <f ca="1">IF($A85="","",IF($I85="X",A85,CONCATENATE(VLOOKUP(A85,Competitors!$A$2:$I$650,3, FALSE)," ",VLOOKUP(A85,Competitors!$A$2:$I$650,2,FALSE))))</f>
        <v/>
      </c>
      <c r="H85" s="26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34" t="str">
        <f t="shared" ca="1" si="4"/>
        <v/>
      </c>
      <c r="B86" s="34"/>
      <c r="C86" s="35"/>
      <c r="D86" s="36"/>
      <c r="E86" s="35"/>
      <c r="F86" s="35"/>
      <c r="G86" s="19" t="str">
        <f ca="1">IF($A86="","",IF($I86="X",A86,CONCATENATE(VLOOKUP(A86,Competitors!$A$2:$I$650,3, FALSE)," ",VLOOKUP(A86,Competitors!$A$2:$I$650,2,FALSE))))</f>
        <v/>
      </c>
      <c r="H86" s="26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34" t="str">
        <f t="shared" ca="1" si="4"/>
        <v/>
      </c>
      <c r="B87" s="34"/>
      <c r="C87" s="35"/>
      <c r="D87" s="36"/>
      <c r="E87" s="35"/>
      <c r="F87" s="35"/>
      <c r="G87" s="19" t="str">
        <f ca="1">IF($A87="","",IF($I87="X",A87,CONCATENATE(VLOOKUP(A87,Competitors!$A$2:$I$650,3, FALSE)," ",VLOOKUP(A87,Competitors!$A$2:$I$650,2,FALSE))))</f>
        <v/>
      </c>
      <c r="H87" s="26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34" t="str">
        <f t="shared" ca="1" si="4"/>
        <v/>
      </c>
      <c r="B88" s="34"/>
      <c r="C88" s="35"/>
      <c r="D88" s="36"/>
      <c r="E88" s="35"/>
      <c r="F88" s="35"/>
      <c r="G88" s="19" t="str">
        <f ca="1">IF($A88="","",IF($I88="X",A88,CONCATENATE(VLOOKUP(A88,Competitors!$A$2:$I$650,3, FALSE)," ",VLOOKUP(A88,Competitors!$A$2:$I$650,2,FALSE))))</f>
        <v/>
      </c>
      <c r="H88" s="26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34" t="str">
        <f t="shared" ca="1" si="4"/>
        <v/>
      </c>
      <c r="B89" s="34"/>
      <c r="C89" s="35"/>
      <c r="D89" s="36"/>
      <c r="E89" s="35"/>
      <c r="F89" s="35"/>
      <c r="G89" s="19" t="str">
        <f ca="1">IF($A89="","",IF($I89="X",A89,CONCATENATE(VLOOKUP(A89,Competitors!$A$2:$I$650,3, FALSE)," ",VLOOKUP(A89,Competitors!$A$2:$I$650,2,FALSE))))</f>
        <v/>
      </c>
      <c r="H89" s="26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34" t="str">
        <f t="shared" ca="1" si="4"/>
        <v/>
      </c>
      <c r="B90" s="34"/>
      <c r="C90" s="35"/>
      <c r="D90" s="36"/>
      <c r="E90" s="35"/>
      <c r="F90" s="35"/>
      <c r="G90" s="19" t="str">
        <f ca="1">IF($A90="","",IF($I90="X",A90,CONCATENATE(VLOOKUP(A90,Competitors!$A$2:$I$650,3, FALSE)," ",VLOOKUP(A90,Competitors!$A$2:$I$650,2,FALSE))))</f>
        <v/>
      </c>
      <c r="H90" s="26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34" t="str">
        <f t="shared" ca="1" si="4"/>
        <v/>
      </c>
      <c r="B91" s="34"/>
      <c r="C91" s="35"/>
      <c r="D91" s="36"/>
      <c r="E91" s="35"/>
      <c r="F91" s="35"/>
      <c r="G91" s="19" t="str">
        <f ca="1">IF($A91="","",IF($I91="X",A91,CONCATENATE(VLOOKUP(A91,Competitors!$A$2:$I$650,3, FALSE)," ",VLOOKUP(A91,Competitors!$A$2:$I$650,2,FALSE))))</f>
        <v/>
      </c>
      <c r="H91" s="26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34" t="str">
        <f t="shared" ca="1" si="4"/>
        <v/>
      </c>
      <c r="B92" s="34"/>
      <c r="C92" s="35"/>
      <c r="D92" s="36"/>
      <c r="E92" s="35"/>
      <c r="F92" s="35"/>
      <c r="G92" s="19" t="str">
        <f ca="1">IF($A92="","",IF($I92="X",A92,CONCATENATE(VLOOKUP(A92,Competitors!$A$2:$I$650,3, FALSE)," ",VLOOKUP(A92,Competitors!$A$2:$I$650,2,FALSE))))</f>
        <v/>
      </c>
      <c r="H92" s="26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34" t="str">
        <f t="shared" ca="1" si="4"/>
        <v/>
      </c>
      <c r="B93" s="34"/>
      <c r="C93" s="35"/>
      <c r="D93" s="36"/>
      <c r="E93" s="35"/>
      <c r="F93" s="35"/>
      <c r="G93" s="19" t="str">
        <f ca="1">IF($A93="","",IF($I93="X",A93,CONCATENATE(VLOOKUP(A93,Competitors!$A$2:$I$650,3, FALSE)," ",VLOOKUP(A93,Competitors!$A$2:$I$650,2,FALSE))))</f>
        <v/>
      </c>
      <c r="H93" s="26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34" t="str">
        <f t="shared" ca="1" si="4"/>
        <v/>
      </c>
      <c r="B94" s="34"/>
      <c r="C94" s="35"/>
      <c r="D94" s="36"/>
      <c r="E94" s="35"/>
      <c r="F94" s="35"/>
      <c r="G94" s="19" t="str">
        <f ca="1">IF($A94="","",IF($I94="X",A94,CONCATENATE(VLOOKUP(A94,Competitors!$A$2:$I$650,3, FALSE)," ",VLOOKUP(A94,Competitors!$A$2:$I$650,2,FALSE))))</f>
        <v/>
      </c>
      <c r="H94" s="26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34" t="str">
        <f t="shared" ca="1" si="4"/>
        <v/>
      </c>
      <c r="B95" s="34"/>
      <c r="C95" s="35"/>
      <c r="D95" s="36"/>
      <c r="E95" s="35"/>
      <c r="F95" s="35"/>
      <c r="G95" s="19" t="str">
        <f ca="1">IF($A95="","",IF($I95="X",A95,CONCATENATE(VLOOKUP(A95,Competitors!$A$2:$I$650,3, FALSE)," ",VLOOKUP(A95,Competitors!$A$2:$I$650,2,FALSE))))</f>
        <v/>
      </c>
      <c r="H95" s="26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34" t="str">
        <f t="shared" ca="1" si="4"/>
        <v/>
      </c>
      <c r="B96" s="34"/>
      <c r="C96" s="35"/>
      <c r="D96" s="36"/>
      <c r="E96" s="35"/>
      <c r="F96" s="35"/>
      <c r="G96" s="19" t="str">
        <f ca="1">IF($A96="","",IF($I96="X",A96,CONCATENATE(VLOOKUP(A96,Competitors!$A$2:$I$650,3, FALSE)," ",VLOOKUP(A96,Competitors!$A$2:$I$650,2,FALSE))))</f>
        <v/>
      </c>
      <c r="H96" s="26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34" t="str">
        <f t="shared" ca="1" si="4"/>
        <v/>
      </c>
      <c r="B97" s="34"/>
      <c r="C97" s="35"/>
      <c r="D97" s="36"/>
      <c r="E97" s="35"/>
      <c r="F97" s="35"/>
      <c r="G97" s="19" t="str">
        <f ca="1">IF($A97="","",IF($I97="X",A97,CONCATENATE(VLOOKUP(A97,Competitors!$A$2:$I$650,3, FALSE)," ",VLOOKUP(A97,Competitors!$A$2:$I$650,2,FALSE))))</f>
        <v/>
      </c>
      <c r="H97" s="26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34" t="str">
        <f t="shared" ca="1" si="4"/>
        <v/>
      </c>
      <c r="B98" s="34"/>
      <c r="C98" s="35"/>
      <c r="D98" s="36"/>
      <c r="E98" s="35"/>
      <c r="F98" s="35"/>
      <c r="G98" s="19" t="str">
        <f ca="1">IF($A98="","",IF($I98="X",A98,CONCATENATE(VLOOKUP(A98,Competitors!$A$2:$I$650,3, FALSE)," ",VLOOKUP(A98,Competitors!$A$2:$I$650,2,FALSE))))</f>
        <v/>
      </c>
      <c r="H98" s="26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34" t="str">
        <f t="shared" ca="1" si="4"/>
        <v/>
      </c>
      <c r="B99" s="34"/>
      <c r="C99" s="35"/>
      <c r="D99" s="36"/>
      <c r="E99" s="35"/>
      <c r="F99" s="35"/>
      <c r="G99" s="19" t="str">
        <f ca="1">IF($A99="","",IF($I99="X",A99,CONCATENATE(VLOOKUP(A99,Competitors!$A$2:$I$650,3, FALSE)," ",VLOOKUP(A99,Competitors!$A$2:$I$650,2,FALSE))))</f>
        <v/>
      </c>
      <c r="H99" s="26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34" t="str">
        <f t="shared" ca="1" si="4"/>
        <v/>
      </c>
      <c r="B100" s="34"/>
      <c r="C100" s="35"/>
      <c r="D100" s="36"/>
      <c r="E100" s="35"/>
      <c r="F100" s="35"/>
      <c r="G100" s="19" t="str">
        <f ca="1">IF($A100="","",IF($I100="X",A100,CONCATENATE(VLOOKUP(A100,Competitors!$A$2:$I$650,3, FALSE)," ",VLOOKUP(A100,Competitors!$A$2:$I$650,2,FALSE))))</f>
        <v/>
      </c>
      <c r="H100" s="26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34" t="str">
        <f t="shared" ca="1" si="4"/>
        <v/>
      </c>
      <c r="B101" s="34"/>
      <c r="C101" s="35"/>
      <c r="D101" s="36"/>
      <c r="E101" s="35"/>
      <c r="F101" s="35"/>
      <c r="G101" s="19" t="str">
        <f ca="1">IF($A101="","",IF($I101="X",A101,CONCATENATE(VLOOKUP(A101,Competitors!$A$2:$I$650,3, FALSE)," ",VLOOKUP(A101,Competitors!$A$2:$I$650,2,FALSE))))</f>
        <v/>
      </c>
      <c r="H101" s="26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11" priority="1">
      <formula>TEXT($B$104,"@")="Y"</formula>
    </cfRule>
  </conditionalFormatting>
  <conditionalFormatting sqref="G2:H101">
    <cfRule type="expression" dxfId="10" priority="3">
      <formula>$I2="X"</formula>
    </cfRule>
  </conditionalFormatting>
  <conditionalFormatting sqref="H2:H101">
    <cfRule type="expression" dxfId="9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415A-C483-4BA6-A21A-6112551C16EE}">
  <sheetPr codeName="Sheet46"/>
  <dimension ref="A1:J104"/>
  <sheetViews>
    <sheetView zoomScale="75" zoomScaleNormal="75" workbookViewId="0">
      <selection activeCell="O11" sqref="O11"/>
    </sheetView>
  </sheetViews>
  <sheetFormatPr defaultColWidth="9.16796875" defaultRowHeight="12.75" x14ac:dyDescent="0.15"/>
  <cols>
    <col min="1" max="1" width="25.08203125" bestFit="1" customWidth="1"/>
    <col min="2" max="4" width="4.71875" customWidth="1"/>
    <col min="5" max="6" width="11.0546875" customWidth="1"/>
    <col min="7" max="7" width="27.9140625" customWidth="1"/>
    <col min="8" max="8" width="14.6953125" style="23" bestFit="1" customWidth="1"/>
    <col min="9" max="9" width="19.28125" bestFit="1" customWidth="1"/>
    <col min="10" max="10" width="16.316406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>
        <f t="shared" ref="A2:A33" ca="1" si="0">IF(J2="","",_xlfn.XLOOKUP(J2,ClubNames,ClubNumbers,_xlfn.XLOOKUP(J2,RoundRobinRiderNames,RoundRobinRiderDecoratedNames,J2)))</f>
        <v>747</v>
      </c>
      <c r="B2" s="17">
        <v>0</v>
      </c>
      <c r="C2" s="18">
        <v>24</v>
      </c>
      <c r="D2" s="18">
        <v>17</v>
      </c>
      <c r="E2" s="18"/>
      <c r="F2" s="18"/>
      <c r="G2" s="19" t="str">
        <f ca="1">IF($A2="","",IF($I2="X",A2,CONCATENATE(VLOOKUP(A2,Competitors!$A$2:$I$650,3, FALSE)," ",VLOOKUP(A2,Competitors!$A$2:$I$650,2,FALSE))))</f>
        <v>James Moore</v>
      </c>
      <c r="H2" s="20">
        <f>IF(LEFT($E2,1)="D",UPPER($E2),(B2*3600+C2*60+D2)/86400)</f>
        <v>1.6863425925925928E-2</v>
      </c>
      <c r="I2" t="str">
        <f ca="1">IF(OR(A2="",ISNUMBER(A2)),"","X")</f>
        <v/>
      </c>
      <c r="J2" s="40" t="s">
        <v>591</v>
      </c>
    </row>
    <row r="3" spans="1:10" ht="14.25" x14ac:dyDescent="0.15">
      <c r="A3" s="17">
        <f t="shared" ca="1" si="0"/>
        <v>1144</v>
      </c>
      <c r="B3" s="17">
        <v>0</v>
      </c>
      <c r="C3" s="18">
        <v>24</v>
      </c>
      <c r="D3" s="18">
        <v>20</v>
      </c>
      <c r="E3" s="18" t="s">
        <v>170</v>
      </c>
      <c r="F3" s="18"/>
      <c r="G3" s="19" t="str">
        <f ca="1">IF($A3="","",IF($I3="X",A3,CONCATENATE(VLOOKUP(A3,Competitors!$A$2:$I$650,3, FALSE)," ",VLOOKUP(A3,Competitors!$A$2:$I$650,2,FALSE))))</f>
        <v>Jamie Kershaw</v>
      </c>
      <c r="H3" s="20">
        <f t="shared" ref="H3:H66" si="1">IF(LEFT($E3,1)="D",UPPER($E3),(B3*3600+C3*60+D3)/86400)</f>
        <v>1.6898148148148148E-2</v>
      </c>
      <c r="I3" t="str">
        <f t="shared" ref="I3:I66" ca="1" si="2">IF(OR(A3="",ISNUMBER(A3)),"","X")</f>
        <v/>
      </c>
      <c r="J3" s="40" t="s">
        <v>584</v>
      </c>
    </row>
    <row r="4" spans="1:10" ht="14.25" x14ac:dyDescent="0.15">
      <c r="A4" s="17">
        <f t="shared" ca="1" si="0"/>
        <v>699</v>
      </c>
      <c r="B4" s="17">
        <v>0</v>
      </c>
      <c r="C4" s="18">
        <v>24</v>
      </c>
      <c r="D4" s="18">
        <v>50</v>
      </c>
      <c r="E4" s="18"/>
      <c r="F4" s="18"/>
      <c r="G4" s="19" t="str">
        <f ca="1">IF($A4="","",IF($I4="X",A4,CONCATENATE(VLOOKUP(A4,Competitors!$A$2:$I$650,3, FALSE)," ",VLOOKUP(A4,Competitors!$A$2:$I$650,2,FALSE))))</f>
        <v>Jonathan Durnin</v>
      </c>
      <c r="H4" s="20">
        <f t="shared" si="1"/>
        <v>1.7245370370370369E-2</v>
      </c>
      <c r="I4" t="str">
        <f t="shared" ca="1" si="2"/>
        <v/>
      </c>
      <c r="J4" s="40" t="s">
        <v>586</v>
      </c>
    </row>
    <row r="5" spans="1:10" ht="14.25" x14ac:dyDescent="0.15">
      <c r="A5" s="17">
        <f t="shared" ca="1" si="0"/>
        <v>989</v>
      </c>
      <c r="B5" s="17">
        <v>0</v>
      </c>
      <c r="C5" s="18">
        <v>25</v>
      </c>
      <c r="D5" s="18">
        <v>2</v>
      </c>
      <c r="E5" s="18" t="s">
        <v>170</v>
      </c>
      <c r="F5" s="18"/>
      <c r="G5" s="19" t="str">
        <f ca="1">IF($A5="","",IF($I5="X",A5,CONCATENATE(VLOOKUP(A5,Competitors!$A$2:$I$650,3, FALSE)," ",VLOOKUP(A5,Competitors!$A$2:$I$650,2,FALSE))))</f>
        <v>Jason Williams</v>
      </c>
      <c r="H5" s="20">
        <f t="shared" si="1"/>
        <v>1.7384259259259259E-2</v>
      </c>
      <c r="I5" t="str">
        <f t="shared" ca="1" si="2"/>
        <v/>
      </c>
      <c r="J5" s="40" t="s">
        <v>585</v>
      </c>
    </row>
    <row r="6" spans="1:10" ht="14.25" x14ac:dyDescent="0.15">
      <c r="A6" s="17">
        <f t="shared" ca="1" si="0"/>
        <v>1161</v>
      </c>
      <c r="B6" s="17">
        <v>0</v>
      </c>
      <c r="C6" s="18">
        <v>25</v>
      </c>
      <c r="D6" s="18">
        <v>45</v>
      </c>
      <c r="E6" s="18"/>
      <c r="F6" s="18"/>
      <c r="G6" s="19" t="str">
        <f ca="1">IF($A6="","",IF($I6="X",A6,CONCATENATE(VLOOKUP(A6,Competitors!$A$2:$I$650,3, FALSE)," ",VLOOKUP(A6,Competitors!$A$2:$I$650,2,FALSE))))</f>
        <v>Maciej Suchocki</v>
      </c>
      <c r="H6" s="20">
        <f t="shared" si="1"/>
        <v>1.7881944444444443E-2</v>
      </c>
      <c r="I6" t="str">
        <f t="shared" ca="1" si="2"/>
        <v/>
      </c>
      <c r="J6" s="40" t="s">
        <v>587</v>
      </c>
    </row>
    <row r="7" spans="1:10" ht="14.25" x14ac:dyDescent="0.15">
      <c r="A7" s="17">
        <f t="shared" ca="1" si="0"/>
        <v>1160</v>
      </c>
      <c r="B7" s="17">
        <v>0</v>
      </c>
      <c r="C7" s="18">
        <v>25</v>
      </c>
      <c r="D7" s="18">
        <v>57</v>
      </c>
      <c r="E7" s="18" t="s">
        <v>170</v>
      </c>
      <c r="F7" s="18"/>
      <c r="G7" s="19" t="str">
        <f ca="1">IF($A7="","",IF($I7="X",A7,CONCATENATE(VLOOKUP(A7,Competitors!$A$2:$I$650,3, FALSE)," ",VLOOKUP(A7,Competitors!$A$2:$I$650,2,FALSE))))</f>
        <v>Rhys Thomas</v>
      </c>
      <c r="H7" s="20">
        <f t="shared" si="1"/>
        <v>1.8020833333333333E-2</v>
      </c>
      <c r="I7" t="str">
        <f t="shared" ca="1" si="2"/>
        <v/>
      </c>
      <c r="J7" s="40" t="s">
        <v>642</v>
      </c>
    </row>
    <row r="8" spans="1:10" ht="14.25" x14ac:dyDescent="0.15">
      <c r="A8" s="17">
        <f t="shared" ca="1" si="0"/>
        <v>415</v>
      </c>
      <c r="B8" s="17">
        <v>0</v>
      </c>
      <c r="C8" s="18">
        <v>26</v>
      </c>
      <c r="D8" s="18">
        <v>10</v>
      </c>
      <c r="E8" s="18" t="s">
        <v>170</v>
      </c>
      <c r="F8" s="18"/>
      <c r="G8" s="19" t="str">
        <f ca="1">IF($A8="","",IF($I8="X",A8,CONCATENATE(VLOOKUP(A8,Competitors!$A$2:$I$650,3, FALSE)," ",VLOOKUP(A8,Competitors!$A$2:$I$650,2,FALSE))))</f>
        <v>Nik Kershaw</v>
      </c>
      <c r="H8" s="20">
        <f t="shared" si="1"/>
        <v>1.8171296296296297E-2</v>
      </c>
      <c r="I8" t="str">
        <f t="shared" ca="1" si="2"/>
        <v/>
      </c>
      <c r="J8" s="40" t="s">
        <v>594</v>
      </c>
    </row>
    <row r="9" spans="1:10" ht="14.25" x14ac:dyDescent="0.15">
      <c r="A9" s="17">
        <f t="shared" ca="1" si="0"/>
        <v>1237</v>
      </c>
      <c r="B9" s="17">
        <v>0</v>
      </c>
      <c r="C9" s="18">
        <v>26</v>
      </c>
      <c r="D9" s="18">
        <v>22</v>
      </c>
      <c r="E9" s="18" t="s">
        <v>170</v>
      </c>
      <c r="F9" s="18"/>
      <c r="G9" s="19" t="str">
        <f ca="1">IF($A9="","",IF($I9="X",A9,CONCATENATE(VLOOKUP(A9,Competitors!$A$2:$I$650,3, FALSE)," ",VLOOKUP(A9,Competitors!$A$2:$I$650,2,FALSE))))</f>
        <v>John Abbott</v>
      </c>
      <c r="H9" s="20">
        <f t="shared" si="1"/>
        <v>1.8310185185185186E-2</v>
      </c>
      <c r="I9" t="str">
        <f t="shared" ca="1" si="2"/>
        <v/>
      </c>
      <c r="J9" s="40" t="s">
        <v>598</v>
      </c>
    </row>
    <row r="10" spans="1:10" ht="14.25" x14ac:dyDescent="0.15">
      <c r="A10" s="17">
        <f t="shared" ca="1" si="0"/>
        <v>1107</v>
      </c>
      <c r="B10" s="17">
        <v>0</v>
      </c>
      <c r="C10" s="18">
        <v>26</v>
      </c>
      <c r="D10" s="18">
        <v>43</v>
      </c>
      <c r="E10" s="18"/>
      <c r="F10" s="18"/>
      <c r="G10" s="19" t="str">
        <f ca="1">IF($A10="","",IF($I10="X",A10,CONCATENATE(VLOOKUP(A10,Competitors!$A$2:$I$650,3, FALSE)," ",VLOOKUP(A10,Competitors!$A$2:$I$650,2,FALSE))))</f>
        <v>Milly Pinnock</v>
      </c>
      <c r="H10" s="20">
        <f t="shared" si="1"/>
        <v>1.8553240740740742E-2</v>
      </c>
      <c r="I10" t="str">
        <f t="shared" ca="1" si="2"/>
        <v/>
      </c>
      <c r="J10" s="40" t="s">
        <v>600</v>
      </c>
    </row>
    <row r="11" spans="1:10" ht="14.25" x14ac:dyDescent="0.15">
      <c r="A11" s="17">
        <f t="shared" ca="1" si="0"/>
        <v>203</v>
      </c>
      <c r="B11" s="17">
        <v>0</v>
      </c>
      <c r="C11" s="18">
        <v>26</v>
      </c>
      <c r="D11" s="18">
        <v>47</v>
      </c>
      <c r="E11" s="18"/>
      <c r="F11" s="18"/>
      <c r="G11" s="19" t="str">
        <f ca="1">IF($A11="","",IF($I11="X",A11,CONCATENATE(VLOOKUP(A11,Competitors!$A$2:$I$650,3, FALSE)," ",VLOOKUP(A11,Competitors!$A$2:$I$650,2,FALSE))))</f>
        <v>Adrian Killworth</v>
      </c>
      <c r="H11" s="20">
        <f t="shared" si="1"/>
        <v>1.8599537037037036E-2</v>
      </c>
      <c r="I11" t="str">
        <f t="shared" ca="1" si="2"/>
        <v/>
      </c>
      <c r="J11" s="40" t="s">
        <v>603</v>
      </c>
    </row>
    <row r="12" spans="1:10" ht="14.25" x14ac:dyDescent="0.15">
      <c r="A12" s="17">
        <f t="shared" ca="1" si="0"/>
        <v>1385</v>
      </c>
      <c r="B12" s="17">
        <v>0</v>
      </c>
      <c r="C12" s="18">
        <v>26</v>
      </c>
      <c r="D12" s="18">
        <v>50</v>
      </c>
      <c r="E12" s="18" t="s">
        <v>170</v>
      </c>
      <c r="F12" s="18"/>
      <c r="G12" s="19" t="str">
        <f ca="1">IF($A12="","",IF($I12="X",A12,CONCATENATE(VLOOKUP(A12,Competitors!$A$2:$I$650,3, FALSE)," ",VLOOKUP(A12,Competitors!$A$2:$I$650,2,FALSE))))</f>
        <v>Miles Marr</v>
      </c>
      <c r="H12" s="20">
        <f t="shared" si="1"/>
        <v>1.863425925925926E-2</v>
      </c>
      <c r="I12" t="str">
        <f t="shared" ca="1" si="2"/>
        <v/>
      </c>
      <c r="J12" s="40" t="s">
        <v>213</v>
      </c>
    </row>
    <row r="13" spans="1:10" ht="14.25" x14ac:dyDescent="0.15">
      <c r="A13" s="17">
        <f t="shared" ca="1" si="0"/>
        <v>1055</v>
      </c>
      <c r="B13" s="17">
        <v>0</v>
      </c>
      <c r="C13" s="18">
        <v>26</v>
      </c>
      <c r="D13" s="18">
        <v>50</v>
      </c>
      <c r="E13" s="18" t="s">
        <v>170</v>
      </c>
      <c r="F13" s="18"/>
      <c r="G13" s="19" t="str">
        <f ca="1">IF($A13="","",IF($I13="X",A13,CONCATENATE(VLOOKUP(A13,Competitors!$A$2:$I$650,3, FALSE)," ",VLOOKUP(A13,Competitors!$A$2:$I$650,2,FALSE))))</f>
        <v>Austin Smith</v>
      </c>
      <c r="H13" s="20">
        <f t="shared" si="1"/>
        <v>1.863425925925926E-2</v>
      </c>
      <c r="I13" t="str">
        <f t="shared" ca="1" si="2"/>
        <v/>
      </c>
      <c r="J13" s="40" t="s">
        <v>589</v>
      </c>
    </row>
    <row r="14" spans="1:10" ht="14.25" x14ac:dyDescent="0.15">
      <c r="A14" s="17">
        <f t="shared" ca="1" si="0"/>
        <v>1152</v>
      </c>
      <c r="B14" s="17">
        <v>0</v>
      </c>
      <c r="C14" s="18">
        <v>26</v>
      </c>
      <c r="D14" s="18">
        <v>54</v>
      </c>
      <c r="E14" s="18" t="s">
        <v>170</v>
      </c>
      <c r="F14" s="18"/>
      <c r="G14" s="19" t="str">
        <f ca="1">IF($A14="","",IF($I14="X",A14,CONCATENATE(VLOOKUP(A14,Competitors!$A$2:$I$650,3, FALSE)," ",VLOOKUP(A14,Competitors!$A$2:$I$650,2,FALSE))))</f>
        <v>Ruby Isaac</v>
      </c>
      <c r="H14" s="20">
        <f t="shared" si="1"/>
        <v>1.8680555555555554E-2</v>
      </c>
      <c r="I14" t="str">
        <f t="shared" ca="1" si="2"/>
        <v/>
      </c>
      <c r="J14" s="40" t="s">
        <v>602</v>
      </c>
    </row>
    <row r="15" spans="1:10" ht="14.25" x14ac:dyDescent="0.15">
      <c r="A15" s="17">
        <f t="shared" ca="1" si="0"/>
        <v>846</v>
      </c>
      <c r="B15" s="17">
        <v>0</v>
      </c>
      <c r="C15" s="18">
        <v>27</v>
      </c>
      <c r="D15" s="18">
        <v>9</v>
      </c>
      <c r="E15" s="18"/>
      <c r="F15" s="18"/>
      <c r="G15" s="19" t="str">
        <f ca="1">IF($A15="","",IF($I15="X",A15,CONCATENATE(VLOOKUP(A15,Competitors!$A$2:$I$650,3, FALSE)," ",VLOOKUP(A15,Competitors!$A$2:$I$650,2,FALSE))))</f>
        <v>Roger Kockelbergh</v>
      </c>
      <c r="H15" s="20">
        <f t="shared" si="1"/>
        <v>1.8854166666666668E-2</v>
      </c>
      <c r="I15" t="str">
        <f t="shared" ca="1" si="2"/>
        <v/>
      </c>
      <c r="J15" s="40" t="s">
        <v>601</v>
      </c>
    </row>
    <row r="16" spans="1:10" ht="14.25" x14ac:dyDescent="0.15">
      <c r="A16" s="17" t="str">
        <f t="shared" ca="1" si="0"/>
        <v>Marshall Briggs (Ratae)</v>
      </c>
      <c r="B16" s="17">
        <v>0</v>
      </c>
      <c r="C16" s="18">
        <v>27</v>
      </c>
      <c r="D16" s="18">
        <v>23</v>
      </c>
      <c r="E16" s="18"/>
      <c r="F16" s="18"/>
      <c r="G16" s="19" t="str">
        <f ca="1">IF($A16="","",IF($I16="X",A16,CONCATENATE(VLOOKUP(A16,Competitors!$A$2:$I$650,3, FALSE)," ",VLOOKUP(A16,Competitors!$A$2:$I$650,2,FALSE))))</f>
        <v>Marshall Briggs (Ratae)</v>
      </c>
      <c r="H16" s="20">
        <f t="shared" si="1"/>
        <v>1.9016203703703705E-2</v>
      </c>
      <c r="I16" t="str">
        <f t="shared" ca="1" si="2"/>
        <v>X</v>
      </c>
      <c r="J16" s="40" t="s">
        <v>146</v>
      </c>
    </row>
    <row r="17" spans="1:10" ht="14.25" x14ac:dyDescent="0.15">
      <c r="A17" s="17">
        <f t="shared" ca="1" si="0"/>
        <v>1254</v>
      </c>
      <c r="B17" s="17">
        <v>0</v>
      </c>
      <c r="C17" s="18">
        <v>27</v>
      </c>
      <c r="D17" s="18">
        <v>29</v>
      </c>
      <c r="E17" s="18"/>
      <c r="F17" s="18"/>
      <c r="G17" s="19" t="str">
        <f ca="1">IF($A17="","",IF($I17="X",A17,CONCATENATE(VLOOKUP(A17,Competitors!$A$2:$I$650,3, FALSE)," ",VLOOKUP(A17,Competitors!$A$2:$I$650,2,FALSE))))</f>
        <v>Paul White</v>
      </c>
      <c r="H17" s="20">
        <f t="shared" si="1"/>
        <v>1.9085648148148147E-2</v>
      </c>
      <c r="I17" t="str">
        <f t="shared" ca="1" si="2"/>
        <v/>
      </c>
      <c r="J17" s="40" t="s">
        <v>624</v>
      </c>
    </row>
    <row r="18" spans="1:10" ht="14.25" x14ac:dyDescent="0.15">
      <c r="A18" s="17">
        <f t="shared" ca="1" si="0"/>
        <v>1109</v>
      </c>
      <c r="B18" s="17">
        <v>0</v>
      </c>
      <c r="C18" s="18">
        <v>27</v>
      </c>
      <c r="D18" s="18">
        <v>57</v>
      </c>
      <c r="E18" s="18"/>
      <c r="F18" s="18"/>
      <c r="G18" s="19" t="str">
        <f ca="1">IF($A18="","",IF($I18="X",A18,CONCATENATE(VLOOKUP(A18,Competitors!$A$2:$I$650,3, FALSE)," ",VLOOKUP(A18,Competitors!$A$2:$I$650,2,FALSE))))</f>
        <v>Stuart Haycox</v>
      </c>
      <c r="H18" s="20">
        <f t="shared" si="1"/>
        <v>1.9409722222222221E-2</v>
      </c>
      <c r="I18" t="str">
        <f t="shared" ca="1" si="2"/>
        <v/>
      </c>
      <c r="J18" s="40" t="s">
        <v>643</v>
      </c>
    </row>
    <row r="19" spans="1:10" ht="14.25" x14ac:dyDescent="0.15">
      <c r="A19" s="17">
        <f t="shared" ca="1" si="0"/>
        <v>616</v>
      </c>
      <c r="B19" s="17">
        <v>0</v>
      </c>
      <c r="C19" s="18">
        <v>29</v>
      </c>
      <c r="D19" s="18">
        <v>16</v>
      </c>
      <c r="E19" s="18"/>
      <c r="F19" s="18"/>
      <c r="G19" s="19" t="str">
        <f ca="1">IF($A19="","",IF($I19="X",A19,CONCATENATE(VLOOKUP(A19,Competitors!$A$2:$I$650,3, FALSE)," ",VLOOKUP(A19,Competitors!$A$2:$I$650,2,FALSE))))</f>
        <v>Simon Ward</v>
      </c>
      <c r="H19" s="20">
        <f t="shared" si="1"/>
        <v>2.0324074074074074E-2</v>
      </c>
      <c r="I19" t="str">
        <f t="shared" ca="1" si="2"/>
        <v/>
      </c>
      <c r="J19" s="40" t="s">
        <v>610</v>
      </c>
    </row>
    <row r="20" spans="1:10" ht="14.25" x14ac:dyDescent="0.15">
      <c r="A20" s="17">
        <f t="shared" ca="1" si="0"/>
        <v>1195</v>
      </c>
      <c r="B20" s="17">
        <v>0</v>
      </c>
      <c r="C20" s="18">
        <v>29</v>
      </c>
      <c r="D20" s="18">
        <v>23</v>
      </c>
      <c r="E20" s="18" t="s">
        <v>170</v>
      </c>
      <c r="F20" s="18"/>
      <c r="G20" s="19" t="str">
        <f ca="1">IF($A20="","",IF($I20="X",A20,CONCATENATE(VLOOKUP(A20,Competitors!$A$2:$I$650,3, FALSE)," ",VLOOKUP(A20,Competitors!$A$2:$I$650,2,FALSE))))</f>
        <v>Charlie Hardwicke</v>
      </c>
      <c r="H20" s="20">
        <f t="shared" si="1"/>
        <v>2.0405092592592593E-2</v>
      </c>
      <c r="I20" t="str">
        <f t="shared" ca="1" si="2"/>
        <v/>
      </c>
      <c r="J20" s="40" t="s">
        <v>613</v>
      </c>
    </row>
    <row r="21" spans="1:10" ht="14.25" x14ac:dyDescent="0.15">
      <c r="A21" s="17" t="str">
        <f t="shared" ca="1" si="0"/>
        <v>Steve Pearce (Ratae)</v>
      </c>
      <c r="B21" s="17">
        <v>0</v>
      </c>
      <c r="C21" s="18">
        <v>29</v>
      </c>
      <c r="D21" s="18">
        <v>54</v>
      </c>
      <c r="E21" s="18" t="s">
        <v>170</v>
      </c>
      <c r="F21" s="18"/>
      <c r="G21" s="19" t="str">
        <f ca="1">IF($A21="","",IF($I21="X",A21,CONCATENATE(VLOOKUP(A21,Competitors!$A$2:$I$650,3, FALSE)," ",VLOOKUP(A21,Competitors!$A$2:$I$650,2,FALSE))))</f>
        <v>Steve Pearce (Ratae)</v>
      </c>
      <c r="H21" s="20">
        <f t="shared" si="1"/>
        <v>2.0763888888888887E-2</v>
      </c>
      <c r="I21" t="str">
        <f t="shared" ca="1" si="2"/>
        <v>X</v>
      </c>
      <c r="J21" s="40" t="s">
        <v>149</v>
      </c>
    </row>
    <row r="22" spans="1:10" ht="14.25" x14ac:dyDescent="0.15">
      <c r="A22" s="17">
        <f t="shared" ca="1" si="0"/>
        <v>1048</v>
      </c>
      <c r="B22" s="17">
        <v>0</v>
      </c>
      <c r="C22" s="18">
        <v>30</v>
      </c>
      <c r="D22" s="18">
        <v>25</v>
      </c>
      <c r="E22" s="18" t="s">
        <v>170</v>
      </c>
      <c r="F22" s="18"/>
      <c r="G22" s="19" t="str">
        <f ca="1">IF($A22="","",IF($I22="X",A22,CONCATENATE(VLOOKUP(A22,Competitors!$A$2:$I$650,3, FALSE)," ",VLOOKUP(A22,Competitors!$A$2:$I$650,2,FALSE))))</f>
        <v>Andy Smith</v>
      </c>
      <c r="H22" s="20">
        <f t="shared" si="1"/>
        <v>2.1122685185185185E-2</v>
      </c>
      <c r="I22" t="str">
        <f t="shared" ca="1" si="2"/>
        <v/>
      </c>
      <c r="J22" s="40" t="s">
        <v>612</v>
      </c>
    </row>
    <row r="23" spans="1:10" ht="14.25" x14ac:dyDescent="0.15">
      <c r="A23" s="17">
        <f t="shared" ca="1" si="0"/>
        <v>1194</v>
      </c>
      <c r="B23" s="17">
        <v>0</v>
      </c>
      <c r="C23" s="18">
        <v>30</v>
      </c>
      <c r="D23" s="18">
        <v>51</v>
      </c>
      <c r="E23" s="18" t="s">
        <v>170</v>
      </c>
      <c r="F23" s="18"/>
      <c r="G23" s="19" t="str">
        <f ca="1">IF($A23="","",IF($I23="X",A23,CONCATENATE(VLOOKUP(A23,Competitors!$A$2:$I$650,3, FALSE)," ",VLOOKUP(A23,Competitors!$A$2:$I$650,2,FALSE))))</f>
        <v>Alex Hardwicke</v>
      </c>
      <c r="H23" s="20">
        <f t="shared" si="1"/>
        <v>2.1423611111111112E-2</v>
      </c>
      <c r="I23" t="str">
        <f t="shared" ca="1" si="2"/>
        <v/>
      </c>
      <c r="J23" s="40" t="s">
        <v>611</v>
      </c>
    </row>
    <row r="24" spans="1:10" ht="14.25" x14ac:dyDescent="0.15">
      <c r="A24" s="17">
        <f t="shared" ca="1" si="0"/>
        <v>1377</v>
      </c>
      <c r="B24" s="17">
        <v>0</v>
      </c>
      <c r="C24" s="18">
        <v>30</v>
      </c>
      <c r="D24" s="18">
        <v>52</v>
      </c>
      <c r="E24" s="18" t="s">
        <v>170</v>
      </c>
      <c r="F24" s="18"/>
      <c r="G24" s="19" t="str">
        <f ca="1">IF($A24="","",IF($I24="X",A24,CONCATENATE(VLOOKUP(A24,Competitors!$A$2:$I$650,3, FALSE)," ",VLOOKUP(A24,Competitors!$A$2:$I$650,2,FALSE))))</f>
        <v>Lucy Fraser</v>
      </c>
      <c r="H24" s="20">
        <f t="shared" si="1"/>
        <v>2.1435185185185186E-2</v>
      </c>
      <c r="I24" t="str">
        <f t="shared" ca="1" si="2"/>
        <v/>
      </c>
      <c r="J24" s="40" t="s">
        <v>616</v>
      </c>
    </row>
    <row r="25" spans="1:10" ht="14.25" x14ac:dyDescent="0.15">
      <c r="A25" s="17">
        <f t="shared" ca="1" si="0"/>
        <v>1332</v>
      </c>
      <c r="B25" s="17">
        <v>0</v>
      </c>
      <c r="C25" s="18">
        <v>31</v>
      </c>
      <c r="D25" s="18">
        <v>10</v>
      </c>
      <c r="E25" s="18" t="s">
        <v>170</v>
      </c>
      <c r="F25" s="18"/>
      <c r="G25" s="19" t="str">
        <f ca="1">IF($A25="","",IF($I25="X",A25,CONCATENATE(VLOOKUP(A25,Competitors!$A$2:$I$650,3, FALSE)," ",VLOOKUP(A25,Competitors!$A$2:$I$650,2,FALSE))))</f>
        <v>Jo Eaton</v>
      </c>
      <c r="H25" s="20">
        <f t="shared" si="1"/>
        <v>2.1643518518518517E-2</v>
      </c>
      <c r="I25" t="str">
        <f t="shared" ca="1" si="2"/>
        <v/>
      </c>
      <c r="J25" s="40" t="s">
        <v>615</v>
      </c>
    </row>
    <row r="26" spans="1:10" ht="14.25" x14ac:dyDescent="0.15">
      <c r="A26" s="17" t="str">
        <f t="shared" ca="1" si="0"/>
        <v>Brian Lincoln (Ratae)</v>
      </c>
      <c r="B26" s="17">
        <v>0</v>
      </c>
      <c r="C26" s="18">
        <v>31</v>
      </c>
      <c r="D26" s="18">
        <v>28</v>
      </c>
      <c r="E26" s="18" t="s">
        <v>170</v>
      </c>
      <c r="F26" s="18"/>
      <c r="G26" s="19" t="str">
        <f ca="1">IF($A26="","",IF($I26="X",A26,CONCATENATE(VLOOKUP(A26,Competitors!$A$2:$I$650,3, FALSE)," ",VLOOKUP(A26,Competitors!$A$2:$I$650,2,FALSE))))</f>
        <v>Brian Lincoln (Ratae)</v>
      </c>
      <c r="H26" s="20">
        <f t="shared" si="1"/>
        <v>2.1851851851851851E-2</v>
      </c>
      <c r="I26" t="str">
        <f t="shared" ca="1" si="2"/>
        <v>X</v>
      </c>
      <c r="J26" s="40" t="s">
        <v>140</v>
      </c>
    </row>
    <row r="27" spans="1:10" ht="14.25" x14ac:dyDescent="0.15">
      <c r="A27" s="17">
        <f t="shared" ca="1" si="0"/>
        <v>1386</v>
      </c>
      <c r="B27" s="17">
        <v>0</v>
      </c>
      <c r="C27" s="18">
        <v>31</v>
      </c>
      <c r="D27" s="18">
        <v>51</v>
      </c>
      <c r="E27" s="18" t="s">
        <v>170</v>
      </c>
      <c r="F27" s="18"/>
      <c r="G27" s="19" t="str">
        <f ca="1">IF($A27="","",IF($I27="X",A27,CONCATENATE(VLOOKUP(A27,Competitors!$A$2:$I$650,3, FALSE)," ",VLOOKUP(A27,Competitors!$A$2:$I$650,2,FALSE))))</f>
        <v>Mea Moore</v>
      </c>
      <c r="H27" s="20">
        <f t="shared" si="1"/>
        <v>2.2118055555555554E-2</v>
      </c>
      <c r="I27" t="str">
        <f t="shared" ca="1" si="2"/>
        <v/>
      </c>
      <c r="J27" s="40" t="s">
        <v>644</v>
      </c>
    </row>
    <row r="28" spans="1:10" ht="14.25" x14ac:dyDescent="0.15">
      <c r="A28" s="17">
        <f t="shared" ca="1" si="0"/>
        <v>7</v>
      </c>
      <c r="B28" s="17">
        <v>0</v>
      </c>
      <c r="C28" s="18">
        <v>35</v>
      </c>
      <c r="D28" s="18">
        <v>8</v>
      </c>
      <c r="E28" s="18" t="s">
        <v>170</v>
      </c>
      <c r="F28" s="18"/>
      <c r="G28" s="19" t="str">
        <f ca="1">IF($A28="","",IF($I28="X",A28,CONCATENATE(VLOOKUP(A28,Competitors!$A$2:$I$650,3, FALSE)," ",VLOOKUP(A28,Competitors!$A$2:$I$650,2,FALSE))))</f>
        <v>Vic Barnett</v>
      </c>
      <c r="H28" s="20">
        <f t="shared" si="1"/>
        <v>2.4398148148148148E-2</v>
      </c>
      <c r="I28" t="str">
        <f t="shared" ca="1" si="2"/>
        <v/>
      </c>
      <c r="J28" s="40" t="s">
        <v>625</v>
      </c>
    </row>
    <row r="29" spans="1:10" ht="14.25" x14ac:dyDescent="0.15">
      <c r="A29" s="17" t="str">
        <f t="shared" ca="1" si="0"/>
        <v/>
      </c>
      <c r="B29" s="17"/>
      <c r="C29" s="18"/>
      <c r="D29" s="18"/>
      <c r="E29" s="18"/>
      <c r="F29" s="18"/>
      <c r="G29" s="19" t="str">
        <f ca="1">IF($A29="","",IF($I29="X",A29,CONCATENATE(VLOOKUP(A29,Competitors!$A$2:$I$650,3, FALSE)," ",VLOOKUP(A29,Competitors!$A$2:$I$650,2,FALSE))))</f>
        <v/>
      </c>
      <c r="H29" s="20">
        <f t="shared" si="1"/>
        <v>0</v>
      </c>
      <c r="I29" t="str">
        <f t="shared" ca="1" si="2"/>
        <v/>
      </c>
      <c r="J29" s="40" t="s">
        <v>173</v>
      </c>
    </row>
    <row r="30" spans="1:10" ht="14.25" x14ac:dyDescent="0.15">
      <c r="A30" s="17" t="str">
        <f t="shared" ca="1" si="0"/>
        <v/>
      </c>
      <c r="B30" s="17"/>
      <c r="C30" s="18"/>
      <c r="D30" s="18"/>
      <c r="E30" s="18"/>
      <c r="F30" s="18"/>
      <c r="G30" s="19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17" t="str">
        <f t="shared" ca="1" si="0"/>
        <v/>
      </c>
      <c r="B31" s="17"/>
      <c r="C31" s="18"/>
      <c r="D31" s="18"/>
      <c r="E31" s="18"/>
      <c r="F31" s="18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8"/>
      <c r="D32" s="18"/>
      <c r="E32" s="18"/>
      <c r="F32" s="18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8"/>
      <c r="D33" s="18"/>
      <c r="E33" s="18"/>
      <c r="F33" s="18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8"/>
      <c r="D34" s="18"/>
      <c r="E34" s="18"/>
      <c r="F34" s="18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8"/>
      <c r="D35" s="18"/>
      <c r="E35" s="18"/>
      <c r="F35" s="18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8"/>
      <c r="D36" s="18"/>
      <c r="E36" s="18"/>
      <c r="F36" s="18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8"/>
      <c r="D37" s="18"/>
      <c r="E37" s="18"/>
      <c r="F37" s="18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8"/>
      <c r="D38" s="18"/>
      <c r="E38" s="18"/>
      <c r="F38" s="18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8"/>
      <c r="D39" s="18"/>
      <c r="E39" s="18"/>
      <c r="F39" s="18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8"/>
      <c r="D40" s="18"/>
      <c r="E40" s="18"/>
      <c r="F40" s="18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8"/>
      <c r="D41" s="18"/>
      <c r="E41" s="18"/>
      <c r="F41" s="18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8"/>
      <c r="D42" s="18"/>
      <c r="E42" s="18"/>
      <c r="F42" s="18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8"/>
      <c r="D43" s="18"/>
      <c r="E43" s="18"/>
      <c r="F43" s="18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8"/>
      <c r="D44" s="18"/>
      <c r="E44" s="18"/>
      <c r="F44" s="18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8"/>
      <c r="D45" s="18"/>
      <c r="E45" s="18"/>
      <c r="F45" s="18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8"/>
      <c r="D46" s="18"/>
      <c r="E46" s="18"/>
      <c r="F46" s="18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8"/>
      <c r="D47" s="18"/>
      <c r="E47" s="18"/>
      <c r="F47" s="18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8"/>
      <c r="D48" s="18"/>
      <c r="E48" s="18"/>
      <c r="F48" s="18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8"/>
      <c r="D49" s="18"/>
      <c r="E49" s="18"/>
      <c r="F49" s="18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8"/>
      <c r="D50" s="18"/>
      <c r="E50" s="18"/>
      <c r="F50" s="18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8"/>
      <c r="D51" s="18"/>
      <c r="E51" s="18"/>
      <c r="F51" s="18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8"/>
      <c r="D52" s="18"/>
      <c r="E52" s="18"/>
      <c r="F52" s="18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8"/>
      <c r="D53" s="18"/>
      <c r="E53" s="18"/>
      <c r="F53" s="18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8"/>
      <c r="D54" s="18"/>
      <c r="E54" s="18"/>
      <c r="F54" s="18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8"/>
      <c r="D55" s="18"/>
      <c r="E55" s="18"/>
      <c r="F55" s="18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8"/>
      <c r="D56" s="18"/>
      <c r="E56" s="18"/>
      <c r="F56" s="18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8"/>
      <c r="D57" s="18"/>
      <c r="E57" s="18"/>
      <c r="F57" s="18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8"/>
      <c r="D58" s="18"/>
      <c r="E58" s="18"/>
      <c r="F58" s="18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8"/>
      <c r="D59" s="18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8"/>
      <c r="D60" s="18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8"/>
      <c r="D61" s="18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8"/>
      <c r="D62" s="18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8"/>
      <c r="D63" s="18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8"/>
      <c r="D64" s="18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8"/>
      <c r="D65" s="18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18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8"/>
      <c r="D67" s="18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8"/>
      <c r="D68" s="18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8"/>
      <c r="D69" s="18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8"/>
      <c r="D70" s="18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8"/>
      <c r="D71" s="18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8"/>
      <c r="D72" s="18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8"/>
      <c r="D73" s="18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8"/>
      <c r="D74" s="18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8"/>
      <c r="D75" s="18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8"/>
      <c r="D76" s="18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8"/>
      <c r="D77" s="18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8"/>
      <c r="D78" s="18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8"/>
      <c r="D79" s="18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8"/>
      <c r="D80" s="18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8"/>
      <c r="D81" s="18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8"/>
      <c r="D82" s="18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8"/>
      <c r="D83" s="18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8"/>
      <c r="D84" s="18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8"/>
      <c r="D85" s="18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8"/>
      <c r="D86" s="18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8"/>
      <c r="D87" s="18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8"/>
      <c r="D88" s="18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8"/>
      <c r="D89" s="18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8"/>
      <c r="D90" s="18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8"/>
      <c r="D91" s="18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8"/>
      <c r="D92" s="18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8"/>
      <c r="D93" s="18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8"/>
      <c r="D94" s="18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8"/>
      <c r="D95" s="18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8"/>
      <c r="D96" s="18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8"/>
      <c r="D97" s="18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8"/>
      <c r="D98" s="18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8"/>
      <c r="D99" s="18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8"/>
      <c r="D100" s="18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8"/>
      <c r="D101" s="18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8" priority="1">
      <formula>TEXT($B$104,"@")="Y"</formula>
    </cfRule>
  </conditionalFormatting>
  <conditionalFormatting sqref="G2:H101">
    <cfRule type="expression" dxfId="7" priority="3">
      <formula>$I2="X"</formula>
    </cfRule>
  </conditionalFormatting>
  <conditionalFormatting sqref="H2:H101">
    <cfRule type="expression" dxfId="6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84B8-5857-4484-B87C-9746AC671D9E}">
  <sheetPr codeName="Sheet47"/>
  <dimension ref="A1:J104"/>
  <sheetViews>
    <sheetView zoomScale="75" zoomScaleNormal="75" workbookViewId="0">
      <selection activeCell="O11" sqref="O11"/>
    </sheetView>
  </sheetViews>
  <sheetFormatPr defaultColWidth="9.16796875" defaultRowHeight="12.75" x14ac:dyDescent="0.15"/>
  <cols>
    <col min="1" max="1" width="15.37109375" bestFit="1" customWidth="1"/>
    <col min="2" max="4" width="4.71875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 t="str">
        <f t="shared" ref="A2:A33" ca="1" si="0">IF(J2="","",_xlfn.XLOOKUP(J2,ClubNames,ClubNumbers,_xlfn.XLOOKUP(J2,RoundRobinRiderNames,RoundRobinRiderDecoratedNames,J2)))</f>
        <v/>
      </c>
      <c r="B2" s="17"/>
      <c r="C2" s="18"/>
      <c r="D2" s="18"/>
      <c r="E2" s="18"/>
      <c r="F2" s="18"/>
      <c r="G2" s="19" t="str">
        <f ca="1">IF($A2="","",IF($I2="X",A2,CONCATENATE(VLOOKUP(A2,Competitors!$A$2:$I$650,3, FALSE)," ",VLOOKUP(A2,Competitors!$A$2:$I$650,2,FALSE))))</f>
        <v/>
      </c>
      <c r="H2" s="20">
        <f>IF(LEFT($E2,1)="D",UPPER($E2),(B2*3600+C2*60+D2)/86400)</f>
        <v>0</v>
      </c>
      <c r="I2" t="str">
        <f ca="1">IF(OR(A2="",ISNUMBER(A2)),"","X")</f>
        <v/>
      </c>
      <c r="J2" s="40" t="s">
        <v>173</v>
      </c>
    </row>
    <row r="3" spans="1:10" ht="14.25" x14ac:dyDescent="0.15">
      <c r="A3" s="17" t="str">
        <f t="shared" ca="1" si="0"/>
        <v/>
      </c>
      <c r="B3" s="17"/>
      <c r="C3" s="18"/>
      <c r="D3" s="18"/>
      <c r="E3" s="18"/>
      <c r="F3" s="18"/>
      <c r="G3" s="19" t="str">
        <f ca="1">IF($A3="","",IF($I3="X",A3,CONCATENATE(VLOOKUP(A3,Competitors!$A$2:$I$650,3, FALSE)," ",VLOOKUP(A3,Competitors!$A$2:$I$650,2,FALSE))))</f>
        <v/>
      </c>
      <c r="H3" s="20">
        <f t="shared" ref="H3:H66" si="1">IF(LEFT($E3,1)="D",UPPER($E3),(B3*3600+C3*60+D3)/86400)</f>
        <v>0</v>
      </c>
      <c r="I3" t="str">
        <f t="shared" ref="I3:I66" ca="1" si="2">IF(OR(A3="",ISNUMBER(A3)),"","X")</f>
        <v/>
      </c>
      <c r="J3" s="40" t="s">
        <v>173</v>
      </c>
    </row>
    <row r="4" spans="1:10" ht="14.25" x14ac:dyDescent="0.15">
      <c r="A4" s="17" t="str">
        <f t="shared" ca="1" si="0"/>
        <v/>
      </c>
      <c r="B4" s="17"/>
      <c r="C4" s="18"/>
      <c r="D4" s="18"/>
      <c r="E4" s="18"/>
      <c r="F4" s="18"/>
      <c r="G4" s="19" t="str">
        <f ca="1">IF($A4="","",IF($I4="X",A4,CONCATENATE(VLOOKUP(A4,Competitors!$A$2:$I$650,3, FALSE)," ",VLOOKUP(A4,Competitors!$A$2:$I$650,2,FALSE))))</f>
        <v/>
      </c>
      <c r="H4" s="20">
        <f t="shared" si="1"/>
        <v>0</v>
      </c>
      <c r="I4" t="str">
        <f t="shared" ca="1" si="2"/>
        <v/>
      </c>
      <c r="J4" s="40" t="s">
        <v>173</v>
      </c>
    </row>
    <row r="5" spans="1:10" ht="14.25" x14ac:dyDescent="0.15">
      <c r="A5" s="17" t="str">
        <f t="shared" ca="1" si="0"/>
        <v/>
      </c>
      <c r="B5" s="17"/>
      <c r="C5" s="18"/>
      <c r="D5" s="18"/>
      <c r="E5" s="18"/>
      <c r="F5" s="18"/>
      <c r="G5" s="19" t="str">
        <f ca="1">IF($A5="","",IF($I5="X",A5,CONCATENATE(VLOOKUP(A5,Competitors!$A$2:$I$650,3, FALSE)," ",VLOOKUP(A5,Competitors!$A$2:$I$650,2,FALSE))))</f>
        <v/>
      </c>
      <c r="H5" s="20">
        <f t="shared" si="1"/>
        <v>0</v>
      </c>
      <c r="I5" t="str">
        <f t="shared" ca="1" si="2"/>
        <v/>
      </c>
      <c r="J5" s="40" t="s">
        <v>173</v>
      </c>
    </row>
    <row r="6" spans="1:10" ht="14.25" x14ac:dyDescent="0.15">
      <c r="A6" s="17" t="str">
        <f t="shared" ca="1" si="0"/>
        <v/>
      </c>
      <c r="B6" s="17"/>
      <c r="C6" s="18"/>
      <c r="D6" s="18"/>
      <c r="E6" s="18"/>
      <c r="F6" s="18"/>
      <c r="G6" s="19" t="str">
        <f ca="1">IF($A6="","",IF($I6="X",A6,CONCATENATE(VLOOKUP(A6,Competitors!$A$2:$I$650,3, FALSE)," ",VLOOKUP(A6,Competitors!$A$2:$I$650,2,FALSE))))</f>
        <v/>
      </c>
      <c r="H6" s="20">
        <f t="shared" si="1"/>
        <v>0</v>
      </c>
      <c r="I6" t="str">
        <f t="shared" ca="1" si="2"/>
        <v/>
      </c>
      <c r="J6" s="40" t="s">
        <v>173</v>
      </c>
    </row>
    <row r="7" spans="1:10" ht="14.25" x14ac:dyDescent="0.15">
      <c r="A7" s="17" t="str">
        <f t="shared" ca="1" si="0"/>
        <v/>
      </c>
      <c r="B7" s="17"/>
      <c r="C7" s="18"/>
      <c r="D7" s="18"/>
      <c r="E7" s="18"/>
      <c r="F7" s="18"/>
      <c r="G7" s="19" t="str">
        <f ca="1">IF($A7="","",IF($I7="X",A7,CONCATENATE(VLOOKUP(A7,Competitors!$A$2:$I$650,3, FALSE)," ",VLOOKUP(A7,Competitors!$A$2:$I$650,2,FALSE))))</f>
        <v/>
      </c>
      <c r="H7" s="20">
        <f t="shared" si="1"/>
        <v>0</v>
      </c>
      <c r="I7" t="str">
        <f t="shared" ca="1" si="2"/>
        <v/>
      </c>
      <c r="J7" s="40" t="s">
        <v>173</v>
      </c>
    </row>
    <row r="8" spans="1:10" ht="14.25" x14ac:dyDescent="0.15">
      <c r="A8" s="17" t="str">
        <f t="shared" ca="1" si="0"/>
        <v/>
      </c>
      <c r="B8" s="17"/>
      <c r="C8" s="18"/>
      <c r="D8" s="18"/>
      <c r="E8" s="18"/>
      <c r="F8" s="18"/>
      <c r="G8" s="19" t="str">
        <f ca="1">IF($A8="","",IF($I8="X",A8,CONCATENATE(VLOOKUP(A8,Competitors!$A$2:$I$650,3, FALSE)," ",VLOOKUP(A8,Competitors!$A$2:$I$650,2,FALSE))))</f>
        <v/>
      </c>
      <c r="H8" s="20">
        <f t="shared" si="1"/>
        <v>0</v>
      </c>
      <c r="I8" t="str">
        <f t="shared" ca="1" si="2"/>
        <v/>
      </c>
      <c r="J8" s="40" t="s">
        <v>173</v>
      </c>
    </row>
    <row r="9" spans="1:10" ht="14.25" x14ac:dyDescent="0.15">
      <c r="A9" s="17" t="str">
        <f t="shared" ca="1" si="0"/>
        <v/>
      </c>
      <c r="B9" s="17"/>
      <c r="C9" s="18"/>
      <c r="D9" s="18"/>
      <c r="E9" s="18"/>
      <c r="F9" s="18"/>
      <c r="G9" s="19" t="str">
        <f ca="1">IF($A9="","",IF($I9="X",A9,CONCATENATE(VLOOKUP(A9,Competitors!$A$2:$I$650,3, FALSE)," ",VLOOKUP(A9,Competitors!$A$2:$I$650,2,FALSE))))</f>
        <v/>
      </c>
      <c r="H9" s="20">
        <f t="shared" si="1"/>
        <v>0</v>
      </c>
      <c r="I9" t="str">
        <f t="shared" ca="1" si="2"/>
        <v/>
      </c>
      <c r="J9" s="40" t="s">
        <v>173</v>
      </c>
    </row>
    <row r="10" spans="1:10" ht="14.25" x14ac:dyDescent="0.15">
      <c r="A10" s="17" t="str">
        <f t="shared" ca="1" si="0"/>
        <v/>
      </c>
      <c r="B10" s="17"/>
      <c r="C10" s="18"/>
      <c r="D10" s="18"/>
      <c r="E10" s="18"/>
      <c r="F10" s="18"/>
      <c r="G10" s="19" t="str">
        <f ca="1">IF($A10="","",IF($I10="X",A10,CONCATENATE(VLOOKUP(A10,Competitors!$A$2:$I$650,3, FALSE)," ",VLOOKUP(A10,Competitors!$A$2:$I$650,2,FALSE))))</f>
        <v/>
      </c>
      <c r="H10" s="20">
        <f t="shared" si="1"/>
        <v>0</v>
      </c>
      <c r="I10" t="str">
        <f t="shared" ca="1" si="2"/>
        <v/>
      </c>
      <c r="J10" s="40" t="s">
        <v>173</v>
      </c>
    </row>
    <row r="11" spans="1:10" ht="14.25" x14ac:dyDescent="0.15">
      <c r="A11" s="17" t="str">
        <f t="shared" ca="1" si="0"/>
        <v/>
      </c>
      <c r="B11" s="17"/>
      <c r="C11" s="18"/>
      <c r="D11" s="18"/>
      <c r="E11" s="18"/>
      <c r="F11" s="18"/>
      <c r="G11" s="19" t="str">
        <f ca="1">IF($A11="","",IF($I11="X",A11,CONCATENATE(VLOOKUP(A11,Competitors!$A$2:$I$650,3, FALSE)," ",VLOOKUP(A11,Competitors!$A$2:$I$650,2,FALSE))))</f>
        <v/>
      </c>
      <c r="H11" s="20">
        <f t="shared" si="1"/>
        <v>0</v>
      </c>
      <c r="I11" t="str">
        <f t="shared" ca="1" si="2"/>
        <v/>
      </c>
      <c r="J11" s="40" t="s">
        <v>173</v>
      </c>
    </row>
    <row r="12" spans="1:10" ht="14.25" x14ac:dyDescent="0.15">
      <c r="A12" s="17" t="str">
        <f t="shared" ca="1" si="0"/>
        <v/>
      </c>
      <c r="B12" s="17"/>
      <c r="C12" s="18"/>
      <c r="D12" s="18"/>
      <c r="E12" s="18"/>
      <c r="F12" s="18"/>
      <c r="G12" s="19" t="str">
        <f ca="1">IF($A12="","",IF($I12="X",A12,CONCATENATE(VLOOKUP(A12,Competitors!$A$2:$I$650,3, FALSE)," ",VLOOKUP(A12,Competitors!$A$2:$I$650,2,FALSE))))</f>
        <v/>
      </c>
      <c r="H12" s="20">
        <f t="shared" si="1"/>
        <v>0</v>
      </c>
      <c r="I12" t="str">
        <f t="shared" ca="1" si="2"/>
        <v/>
      </c>
      <c r="J12" s="40" t="s">
        <v>173</v>
      </c>
    </row>
    <row r="13" spans="1:10" ht="14.25" x14ac:dyDescent="0.15">
      <c r="A13" s="17" t="str">
        <f t="shared" ca="1" si="0"/>
        <v/>
      </c>
      <c r="B13" s="17"/>
      <c r="C13" s="18"/>
      <c r="D13" s="18"/>
      <c r="E13" s="18"/>
      <c r="F13" s="18"/>
      <c r="G13" s="19" t="str">
        <f ca="1">IF($A13="","",IF($I13="X",A13,CONCATENATE(VLOOKUP(A13,Competitors!$A$2:$I$650,3, FALSE)," ",VLOOKUP(A13,Competitors!$A$2:$I$650,2,FALSE))))</f>
        <v/>
      </c>
      <c r="H13" s="20">
        <f t="shared" si="1"/>
        <v>0</v>
      </c>
      <c r="I13" t="str">
        <f t="shared" ca="1" si="2"/>
        <v/>
      </c>
      <c r="J13" s="40" t="s">
        <v>173</v>
      </c>
    </row>
    <row r="14" spans="1:10" ht="14.25" x14ac:dyDescent="0.15">
      <c r="A14" s="17" t="str">
        <f t="shared" ca="1" si="0"/>
        <v/>
      </c>
      <c r="B14" s="17"/>
      <c r="C14" s="18"/>
      <c r="D14" s="18"/>
      <c r="E14" s="18"/>
      <c r="F14" s="18"/>
      <c r="G14" s="19" t="str">
        <f ca="1">IF($A14="","",IF($I14="X",A14,CONCATENATE(VLOOKUP(A14,Competitors!$A$2:$I$650,3, FALSE)," ",VLOOKUP(A14,Competitors!$A$2:$I$650,2,FALSE))))</f>
        <v/>
      </c>
      <c r="H14" s="20">
        <f t="shared" si="1"/>
        <v>0</v>
      </c>
      <c r="I14" t="str">
        <f t="shared" ca="1" si="2"/>
        <v/>
      </c>
      <c r="J14" s="40" t="s">
        <v>173</v>
      </c>
    </row>
    <row r="15" spans="1:10" ht="14.25" x14ac:dyDescent="0.15">
      <c r="A15" s="17" t="str">
        <f t="shared" ca="1" si="0"/>
        <v/>
      </c>
      <c r="B15" s="17"/>
      <c r="C15" s="18"/>
      <c r="D15" s="18"/>
      <c r="E15" s="18"/>
      <c r="F15" s="18"/>
      <c r="G15" s="19" t="str">
        <f ca="1">IF($A15="","",IF($I15="X",A15,CONCATENATE(VLOOKUP(A15,Competitors!$A$2:$I$650,3, FALSE)," ",VLOOKUP(A15,Competitors!$A$2:$I$650,2,FALSE))))</f>
        <v/>
      </c>
      <c r="H15" s="20">
        <f t="shared" si="1"/>
        <v>0</v>
      </c>
      <c r="I15" t="str">
        <f t="shared" ca="1" si="2"/>
        <v/>
      </c>
      <c r="J15" s="40" t="s">
        <v>173</v>
      </c>
    </row>
    <row r="16" spans="1:10" ht="14.25" x14ac:dyDescent="0.15">
      <c r="A16" s="17" t="str">
        <f t="shared" ca="1" si="0"/>
        <v/>
      </c>
      <c r="B16" s="17"/>
      <c r="C16" s="18"/>
      <c r="D16" s="18"/>
      <c r="E16" s="18"/>
      <c r="F16" s="18"/>
      <c r="G16" s="19" t="str">
        <f ca="1">IF($A16="","",IF($I16="X",A16,CONCATENATE(VLOOKUP(A16,Competitors!$A$2:$I$650,3, FALSE)," ",VLOOKUP(A16,Competitors!$A$2:$I$650,2,FALSE))))</f>
        <v/>
      </c>
      <c r="H16" s="20">
        <f t="shared" si="1"/>
        <v>0</v>
      </c>
      <c r="I16" t="str">
        <f t="shared" ca="1" si="2"/>
        <v/>
      </c>
      <c r="J16" s="40" t="s">
        <v>173</v>
      </c>
    </row>
    <row r="17" spans="1:10" ht="14.25" x14ac:dyDescent="0.15">
      <c r="A17" s="17" t="str">
        <f t="shared" ca="1" si="0"/>
        <v/>
      </c>
      <c r="B17" s="17"/>
      <c r="C17" s="18"/>
      <c r="D17" s="18"/>
      <c r="E17" s="18"/>
      <c r="F17" s="18"/>
      <c r="G17" s="19" t="str">
        <f ca="1">IF($A17="","",IF($I17="X",A17,CONCATENATE(VLOOKUP(A17,Competitors!$A$2:$I$650,3, FALSE)," ",VLOOKUP(A17,Competitors!$A$2:$I$650,2,FALSE))))</f>
        <v/>
      </c>
      <c r="H17" s="20">
        <f t="shared" si="1"/>
        <v>0</v>
      </c>
      <c r="I17" t="str">
        <f t="shared" ca="1" si="2"/>
        <v/>
      </c>
      <c r="J17" s="40" t="s">
        <v>173</v>
      </c>
    </row>
    <row r="18" spans="1:10" ht="14.25" x14ac:dyDescent="0.15">
      <c r="A18" s="17" t="str">
        <f t="shared" ca="1" si="0"/>
        <v/>
      </c>
      <c r="B18" s="17"/>
      <c r="C18" s="18"/>
      <c r="D18" s="18"/>
      <c r="E18" s="18"/>
      <c r="F18" s="18"/>
      <c r="G18" s="19" t="str">
        <f ca="1">IF($A18="","",IF($I18="X",A18,CONCATENATE(VLOOKUP(A18,Competitors!$A$2:$I$650,3, FALSE)," ",VLOOKUP(A18,Competitors!$A$2:$I$650,2,FALSE))))</f>
        <v/>
      </c>
      <c r="H18" s="20">
        <f t="shared" si="1"/>
        <v>0</v>
      </c>
      <c r="I18" t="str">
        <f t="shared" ca="1" si="2"/>
        <v/>
      </c>
      <c r="J18" s="40" t="s">
        <v>173</v>
      </c>
    </row>
    <row r="19" spans="1:10" ht="14.25" x14ac:dyDescent="0.15">
      <c r="A19" s="17" t="str">
        <f t="shared" ca="1" si="0"/>
        <v/>
      </c>
      <c r="B19" s="17"/>
      <c r="C19" s="18"/>
      <c r="D19" s="18"/>
      <c r="E19" s="18"/>
      <c r="F19" s="18"/>
      <c r="G19" s="19" t="str">
        <f ca="1">IF($A19="","",IF($I19="X",A19,CONCATENATE(VLOOKUP(A19,Competitors!$A$2:$I$650,3, FALSE)," ",VLOOKUP(A19,Competitors!$A$2:$I$650,2,FALSE))))</f>
        <v/>
      </c>
      <c r="H19" s="20">
        <f t="shared" si="1"/>
        <v>0</v>
      </c>
      <c r="I19" t="str">
        <f t="shared" ca="1" si="2"/>
        <v/>
      </c>
      <c r="J19" s="40" t="s">
        <v>173</v>
      </c>
    </row>
    <row r="20" spans="1:10" ht="14.25" x14ac:dyDescent="0.15">
      <c r="A20" s="17" t="str">
        <f t="shared" ca="1" si="0"/>
        <v/>
      </c>
      <c r="B20" s="17"/>
      <c r="C20" s="18"/>
      <c r="D20" s="18"/>
      <c r="E20" s="18"/>
      <c r="F20" s="18"/>
      <c r="G20" s="19" t="str">
        <f ca="1">IF($A20="","",IF($I20="X",A20,CONCATENATE(VLOOKUP(A20,Competitors!$A$2:$I$650,3, FALSE)," ",VLOOKUP(A20,Competitors!$A$2:$I$650,2,FALSE))))</f>
        <v/>
      </c>
      <c r="H20" s="20">
        <f t="shared" si="1"/>
        <v>0</v>
      </c>
      <c r="I20" t="str">
        <f t="shared" ca="1" si="2"/>
        <v/>
      </c>
      <c r="J20" s="40" t="s">
        <v>173</v>
      </c>
    </row>
    <row r="21" spans="1:10" ht="14.25" x14ac:dyDescent="0.15">
      <c r="A21" s="17" t="str">
        <f t="shared" ca="1" si="0"/>
        <v/>
      </c>
      <c r="B21" s="17"/>
      <c r="C21" s="18"/>
      <c r="D21" s="18"/>
      <c r="E21" s="18"/>
      <c r="F21" s="18"/>
      <c r="G21" s="19" t="str">
        <f ca="1">IF($A21="","",IF($I21="X",A21,CONCATENATE(VLOOKUP(A21,Competitors!$A$2:$I$650,3, FALSE)," ",VLOOKUP(A21,Competitors!$A$2:$I$650,2,FALSE))))</f>
        <v/>
      </c>
      <c r="H21" s="20">
        <f t="shared" si="1"/>
        <v>0</v>
      </c>
      <c r="I21" t="str">
        <f t="shared" ca="1" si="2"/>
        <v/>
      </c>
      <c r="J21" s="40" t="s">
        <v>173</v>
      </c>
    </row>
    <row r="22" spans="1:10" ht="14.25" x14ac:dyDescent="0.15">
      <c r="A22" s="17" t="str">
        <f t="shared" ca="1" si="0"/>
        <v/>
      </c>
      <c r="B22" s="17"/>
      <c r="C22" s="18"/>
      <c r="D22" s="18"/>
      <c r="E22" s="18"/>
      <c r="F22" s="18"/>
      <c r="G22" s="19" t="str">
        <f ca="1">IF($A22="","",IF($I22="X",A22,CONCATENATE(VLOOKUP(A22,Competitors!$A$2:$I$650,3, FALSE)," ",VLOOKUP(A22,Competitors!$A$2:$I$650,2,FALSE))))</f>
        <v/>
      </c>
      <c r="H22" s="20">
        <f t="shared" si="1"/>
        <v>0</v>
      </c>
      <c r="I22" t="str">
        <f t="shared" ca="1" si="2"/>
        <v/>
      </c>
      <c r="J22" s="40" t="s">
        <v>173</v>
      </c>
    </row>
    <row r="23" spans="1:10" ht="14.25" x14ac:dyDescent="0.15">
      <c r="A23" s="17" t="str">
        <f t="shared" ca="1" si="0"/>
        <v/>
      </c>
      <c r="B23" s="17"/>
      <c r="C23" s="18"/>
      <c r="D23" s="18"/>
      <c r="E23" s="18"/>
      <c r="F23" s="18"/>
      <c r="G23" s="19" t="str">
        <f ca="1">IF($A23="","",IF($I23="X",A23,CONCATENATE(VLOOKUP(A23,Competitors!$A$2:$I$650,3, FALSE)," ",VLOOKUP(A23,Competitors!$A$2:$I$650,2,FALSE))))</f>
        <v/>
      </c>
      <c r="H23" s="20">
        <f t="shared" si="1"/>
        <v>0</v>
      </c>
      <c r="I23" t="str">
        <f t="shared" ca="1" si="2"/>
        <v/>
      </c>
      <c r="J23" s="40" t="s">
        <v>173</v>
      </c>
    </row>
    <row r="24" spans="1:10" ht="14.25" x14ac:dyDescent="0.15">
      <c r="A24" s="17" t="str">
        <f t="shared" ca="1" si="0"/>
        <v/>
      </c>
      <c r="B24" s="17"/>
      <c r="C24" s="18"/>
      <c r="D24" s="18"/>
      <c r="E24" s="18"/>
      <c r="F24" s="18"/>
      <c r="G24" s="19" t="str">
        <f ca="1">IF($A24="","",IF($I24="X",A24,CONCATENATE(VLOOKUP(A24,Competitors!$A$2:$I$650,3, FALSE)," ",VLOOKUP(A24,Competitors!$A$2:$I$650,2,FALSE))))</f>
        <v/>
      </c>
      <c r="H24" s="20">
        <f t="shared" si="1"/>
        <v>0</v>
      </c>
      <c r="I24" t="str">
        <f t="shared" ca="1" si="2"/>
        <v/>
      </c>
      <c r="J24" s="40" t="s">
        <v>173</v>
      </c>
    </row>
    <row r="25" spans="1:10" ht="14.25" x14ac:dyDescent="0.15">
      <c r="A25" s="17" t="str">
        <f t="shared" ca="1" si="0"/>
        <v/>
      </c>
      <c r="B25" s="17"/>
      <c r="C25" s="18"/>
      <c r="D25" s="18"/>
      <c r="E25" s="18"/>
      <c r="F25" s="18"/>
      <c r="G25" s="19" t="str">
        <f ca="1">IF($A25="","",IF($I25="X",A25,CONCATENATE(VLOOKUP(A25,Competitors!$A$2:$I$650,3, FALSE)," ",VLOOKUP(A25,Competitors!$A$2:$I$650,2,FALSE))))</f>
        <v/>
      </c>
      <c r="H25" s="20">
        <f t="shared" si="1"/>
        <v>0</v>
      </c>
      <c r="I25" t="str">
        <f t="shared" ca="1" si="2"/>
        <v/>
      </c>
      <c r="J25" s="40" t="s">
        <v>173</v>
      </c>
    </row>
    <row r="26" spans="1:10" ht="14.25" x14ac:dyDescent="0.15">
      <c r="A26" s="17" t="str">
        <f t="shared" ca="1" si="0"/>
        <v/>
      </c>
      <c r="B26" s="17"/>
      <c r="C26" s="18"/>
      <c r="D26" s="18"/>
      <c r="E26" s="18"/>
      <c r="F26" s="18"/>
      <c r="G26" s="19" t="str">
        <f ca="1">IF($A26="","",IF($I26="X",A26,CONCATENATE(VLOOKUP(A26,Competitors!$A$2:$I$650,3, FALSE)," ",VLOOKUP(A26,Competitors!$A$2:$I$650,2,FALSE))))</f>
        <v/>
      </c>
      <c r="H26" s="20">
        <f t="shared" si="1"/>
        <v>0</v>
      </c>
      <c r="I26" t="str">
        <f t="shared" ca="1" si="2"/>
        <v/>
      </c>
      <c r="J26" s="40" t="s">
        <v>173</v>
      </c>
    </row>
    <row r="27" spans="1:10" ht="14.25" x14ac:dyDescent="0.15">
      <c r="A27" s="17" t="str">
        <f t="shared" ca="1" si="0"/>
        <v/>
      </c>
      <c r="B27" s="17"/>
      <c r="C27" s="18"/>
      <c r="D27" s="18"/>
      <c r="E27" s="18"/>
      <c r="F27" s="18"/>
      <c r="G27" s="19" t="str">
        <f ca="1">IF($A27="","",IF($I27="X",A27,CONCATENATE(VLOOKUP(A27,Competitors!$A$2:$I$650,3, FALSE)," ",VLOOKUP(A27,Competitors!$A$2:$I$650,2,FALSE))))</f>
        <v/>
      </c>
      <c r="H27" s="20">
        <f t="shared" si="1"/>
        <v>0</v>
      </c>
      <c r="I27" t="str">
        <f t="shared" ca="1" si="2"/>
        <v/>
      </c>
      <c r="J27" s="40" t="s">
        <v>173</v>
      </c>
    </row>
    <row r="28" spans="1:10" ht="14.25" x14ac:dyDescent="0.15">
      <c r="A28" s="17" t="str">
        <f t="shared" ca="1" si="0"/>
        <v/>
      </c>
      <c r="B28" s="17"/>
      <c r="C28" s="18"/>
      <c r="D28" s="18"/>
      <c r="E28" s="18"/>
      <c r="F28" s="18"/>
      <c r="G28" s="19" t="str">
        <f ca="1">IF($A28="","",IF($I28="X",A28,CONCATENATE(VLOOKUP(A28,Competitors!$A$2:$I$650,3, FALSE)," ",VLOOKUP(A28,Competitors!$A$2:$I$650,2,FALSE))))</f>
        <v/>
      </c>
      <c r="H28" s="20">
        <f t="shared" si="1"/>
        <v>0</v>
      </c>
      <c r="I28" t="str">
        <f t="shared" ca="1" si="2"/>
        <v/>
      </c>
      <c r="J28" s="40" t="s">
        <v>173</v>
      </c>
    </row>
    <row r="29" spans="1:10" ht="14.25" x14ac:dyDescent="0.15">
      <c r="A29" s="17" t="str">
        <f t="shared" ca="1" si="0"/>
        <v/>
      </c>
      <c r="B29" s="17"/>
      <c r="C29" s="18"/>
      <c r="D29" s="18"/>
      <c r="E29" s="18"/>
      <c r="F29" s="18"/>
      <c r="G29" s="19" t="str">
        <f ca="1">IF($A29="","",IF($I29="X",A29,CONCATENATE(VLOOKUP(A29,Competitors!$A$2:$I$650,3, FALSE)," ",VLOOKUP(A29,Competitors!$A$2:$I$650,2,FALSE))))</f>
        <v/>
      </c>
      <c r="H29" s="20">
        <f t="shared" si="1"/>
        <v>0</v>
      </c>
      <c r="I29" t="str">
        <f t="shared" ca="1" si="2"/>
        <v/>
      </c>
      <c r="J29" s="40" t="s">
        <v>173</v>
      </c>
    </row>
    <row r="30" spans="1:10" ht="14.25" x14ac:dyDescent="0.15">
      <c r="A30" s="17" t="str">
        <f t="shared" ca="1" si="0"/>
        <v/>
      </c>
      <c r="B30" s="17"/>
      <c r="C30" s="18"/>
      <c r="D30" s="18"/>
      <c r="E30" s="18"/>
      <c r="F30" s="18"/>
      <c r="G30" s="19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17" t="str">
        <f t="shared" ca="1" si="0"/>
        <v/>
      </c>
      <c r="B31" s="17"/>
      <c r="C31" s="18"/>
      <c r="D31" s="18"/>
      <c r="E31" s="18"/>
      <c r="F31" s="18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8"/>
      <c r="D32" s="18"/>
      <c r="E32" s="18"/>
      <c r="F32" s="18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8"/>
      <c r="D33" s="18"/>
      <c r="E33" s="18"/>
      <c r="F33" s="18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8"/>
      <c r="D34" s="18"/>
      <c r="E34" s="18"/>
      <c r="F34" s="18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8"/>
      <c r="D35" s="18"/>
      <c r="E35" s="18"/>
      <c r="F35" s="18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8"/>
      <c r="D36" s="18"/>
      <c r="E36" s="18"/>
      <c r="F36" s="18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8"/>
      <c r="D37" s="18"/>
      <c r="E37" s="18"/>
      <c r="F37" s="18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8"/>
      <c r="D38" s="18"/>
      <c r="E38" s="18"/>
      <c r="F38" s="18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8"/>
      <c r="D39" s="18"/>
      <c r="E39" s="18"/>
      <c r="F39" s="18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8"/>
      <c r="D40" s="18"/>
      <c r="E40" s="18"/>
      <c r="F40" s="18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8"/>
      <c r="D41" s="18"/>
      <c r="E41" s="18"/>
      <c r="F41" s="18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8"/>
      <c r="D42" s="18"/>
      <c r="E42" s="18"/>
      <c r="F42" s="18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8"/>
      <c r="D43" s="18"/>
      <c r="E43" s="18"/>
      <c r="F43" s="18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8"/>
      <c r="D44" s="18"/>
      <c r="E44" s="18"/>
      <c r="F44" s="18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8"/>
      <c r="D45" s="18"/>
      <c r="E45" s="18"/>
      <c r="F45" s="18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8"/>
      <c r="D46" s="18"/>
      <c r="E46" s="18"/>
      <c r="F46" s="18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8"/>
      <c r="D47" s="18"/>
      <c r="E47" s="18"/>
      <c r="F47" s="18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8"/>
      <c r="D48" s="18"/>
      <c r="E48" s="18"/>
      <c r="F48" s="18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8"/>
      <c r="D49" s="18"/>
      <c r="E49" s="18"/>
      <c r="F49" s="18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8"/>
      <c r="D50" s="18"/>
      <c r="E50" s="18"/>
      <c r="F50" s="18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8"/>
      <c r="D51" s="18"/>
      <c r="E51" s="18"/>
      <c r="F51" s="18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8"/>
      <c r="D52" s="18"/>
      <c r="E52" s="18"/>
      <c r="F52" s="18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8"/>
      <c r="D53" s="18"/>
      <c r="E53" s="18"/>
      <c r="F53" s="18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8"/>
      <c r="D54" s="18"/>
      <c r="E54" s="18"/>
      <c r="F54" s="18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8"/>
      <c r="D55" s="18"/>
      <c r="E55" s="18"/>
      <c r="F55" s="18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8"/>
      <c r="D56" s="18"/>
      <c r="E56" s="18"/>
      <c r="F56" s="18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8"/>
      <c r="D57" s="18"/>
      <c r="E57" s="18"/>
      <c r="F57" s="18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8"/>
      <c r="D58" s="18"/>
      <c r="E58" s="18"/>
      <c r="F58" s="18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8"/>
      <c r="D59" s="18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8"/>
      <c r="D60" s="18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8"/>
      <c r="D61" s="18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8"/>
      <c r="D62" s="18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8"/>
      <c r="D63" s="18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8"/>
      <c r="D64" s="18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8"/>
      <c r="D65" s="18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18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8"/>
      <c r="D67" s="18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8"/>
      <c r="D68" s="18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8"/>
      <c r="D69" s="18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8"/>
      <c r="D70" s="18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8"/>
      <c r="D71" s="18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8"/>
      <c r="D72" s="18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8"/>
      <c r="D73" s="18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8"/>
      <c r="D74" s="18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8"/>
      <c r="D75" s="18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8"/>
      <c r="D76" s="18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8"/>
      <c r="D77" s="18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8"/>
      <c r="D78" s="18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8"/>
      <c r="D79" s="18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8"/>
      <c r="D80" s="18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8"/>
      <c r="D81" s="18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8"/>
      <c r="D82" s="18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8"/>
      <c r="D83" s="18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8"/>
      <c r="D84" s="18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8"/>
      <c r="D85" s="18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8"/>
      <c r="D86" s="18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8"/>
      <c r="D87" s="18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8"/>
      <c r="D88" s="18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8"/>
      <c r="D89" s="18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8"/>
      <c r="D90" s="18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8"/>
      <c r="D91" s="18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8"/>
      <c r="D92" s="18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8"/>
      <c r="D93" s="18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8"/>
      <c r="D94" s="18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8"/>
      <c r="D95" s="18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8"/>
      <c r="D96" s="18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8"/>
      <c r="D97" s="18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8"/>
      <c r="D98" s="18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8"/>
      <c r="D99" s="18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8"/>
      <c r="D100" s="18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8"/>
      <c r="D101" s="18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5" priority="1">
      <formula>TEXT($B$104,"@")="Y"</formula>
    </cfRule>
  </conditionalFormatting>
  <conditionalFormatting sqref="G2:H101">
    <cfRule type="expression" dxfId="4" priority="3">
      <formula>$I2="X"</formula>
    </cfRule>
  </conditionalFormatting>
  <conditionalFormatting sqref="H2:H101">
    <cfRule type="expression" dxfId="3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23AF-21C2-4343-9EE8-BFF60CE86759}">
  <sheetPr codeName="Sheet48"/>
  <dimension ref="A1:J104"/>
  <sheetViews>
    <sheetView zoomScale="75" zoomScaleNormal="75" workbookViewId="0">
      <selection activeCell="O11" sqref="O11"/>
    </sheetView>
  </sheetViews>
  <sheetFormatPr defaultColWidth="9.16796875" defaultRowHeight="12.75" x14ac:dyDescent="0.15"/>
  <cols>
    <col min="1" max="1" width="15.37109375" bestFit="1" customWidth="1"/>
    <col min="2" max="4" width="4.71875" customWidth="1"/>
    <col min="5" max="6" width="11.0546875" customWidth="1"/>
    <col min="7" max="7" width="25.08203125" customWidth="1"/>
    <col min="8" max="8" width="14.6953125" style="23" bestFit="1" customWidth="1"/>
    <col min="9" max="9" width="19.28125" bestFit="1" customWidth="1"/>
  </cols>
  <sheetData>
    <row r="1" spans="1:10" ht="15.75" customHeight="1" x14ac:dyDescent="0.15">
      <c r="A1" s="10" t="s">
        <v>295</v>
      </c>
      <c r="B1" s="11" t="s">
        <v>166</v>
      </c>
      <c r="C1" s="12" t="s">
        <v>2</v>
      </c>
      <c r="D1" s="13" t="s">
        <v>47</v>
      </c>
      <c r="E1" s="14" t="s">
        <v>167</v>
      </c>
      <c r="F1" s="14" t="s">
        <v>168</v>
      </c>
      <c r="G1" s="15" t="s">
        <v>114</v>
      </c>
      <c r="H1" s="16" t="s">
        <v>169</v>
      </c>
      <c r="I1" t="s">
        <v>294</v>
      </c>
      <c r="J1" s="15" t="s">
        <v>640</v>
      </c>
    </row>
    <row r="2" spans="1:10" ht="14.25" x14ac:dyDescent="0.15">
      <c r="A2" s="17" t="str">
        <f t="shared" ref="A2:A33" ca="1" si="0">IF(J2="","",_xlfn.XLOOKUP(J2,ClubNames,ClubNumbers,_xlfn.XLOOKUP(J2,RoundRobinRiderNames,RoundRobinRiderDecoratedNames,J2)))</f>
        <v/>
      </c>
      <c r="B2" s="17"/>
      <c r="C2" s="18"/>
      <c r="D2" s="18"/>
      <c r="E2" s="18"/>
      <c r="F2" s="18"/>
      <c r="G2" s="19" t="str">
        <f ca="1">IF($A2="","",IF($I2="X",A2,CONCATENATE(VLOOKUP(A2,Competitors!$A$2:$I$650,3, FALSE)," ",VLOOKUP(A2,Competitors!$A$2:$I$650,2,FALSE))))</f>
        <v/>
      </c>
      <c r="H2" s="20">
        <f>IF(LEFT($E2,1)="D",UPPER($E2),(B2*3600+C2*60+D2)/86400)</f>
        <v>0</v>
      </c>
      <c r="I2" t="str">
        <f ca="1">IF(OR(A2="",ISNUMBER(A2)),"","X")</f>
        <v/>
      </c>
      <c r="J2" s="40" t="s">
        <v>173</v>
      </c>
    </row>
    <row r="3" spans="1:10" ht="14.25" x14ac:dyDescent="0.15">
      <c r="A3" s="17" t="str">
        <f t="shared" ca="1" si="0"/>
        <v/>
      </c>
      <c r="B3" s="17"/>
      <c r="C3" s="18"/>
      <c r="D3" s="18"/>
      <c r="E3" s="18"/>
      <c r="F3" s="18"/>
      <c r="G3" s="19" t="str">
        <f ca="1">IF($A3="","",IF($I3="X",A3,CONCATENATE(VLOOKUP(A3,Competitors!$A$2:$I$650,3, FALSE)," ",VLOOKUP(A3,Competitors!$A$2:$I$650,2,FALSE))))</f>
        <v/>
      </c>
      <c r="H3" s="20">
        <f t="shared" ref="H3:H66" si="1">IF(LEFT($E3,1)="D",UPPER($E3),(B3*3600+C3*60+D3)/86400)</f>
        <v>0</v>
      </c>
      <c r="I3" t="str">
        <f t="shared" ref="I3:I66" ca="1" si="2">IF(OR(A3="",ISNUMBER(A3)),"","X")</f>
        <v/>
      </c>
      <c r="J3" s="40" t="s">
        <v>173</v>
      </c>
    </row>
    <row r="4" spans="1:10" ht="14.25" x14ac:dyDescent="0.15">
      <c r="A4" s="17" t="str">
        <f t="shared" ca="1" si="0"/>
        <v/>
      </c>
      <c r="B4" s="17"/>
      <c r="C4" s="18"/>
      <c r="D4" s="18"/>
      <c r="E4" s="18"/>
      <c r="F4" s="18"/>
      <c r="G4" s="19" t="str">
        <f ca="1">IF($A4="","",IF($I4="X",A4,CONCATENATE(VLOOKUP(A4,Competitors!$A$2:$I$650,3, FALSE)," ",VLOOKUP(A4,Competitors!$A$2:$I$650,2,FALSE))))</f>
        <v/>
      </c>
      <c r="H4" s="20">
        <f t="shared" si="1"/>
        <v>0</v>
      </c>
      <c r="I4" t="str">
        <f t="shared" ca="1" si="2"/>
        <v/>
      </c>
      <c r="J4" s="40" t="s">
        <v>173</v>
      </c>
    </row>
    <row r="5" spans="1:10" ht="14.25" x14ac:dyDescent="0.15">
      <c r="A5" s="17" t="str">
        <f t="shared" ca="1" si="0"/>
        <v/>
      </c>
      <c r="B5" s="17"/>
      <c r="C5" s="18"/>
      <c r="D5" s="18"/>
      <c r="E5" s="18"/>
      <c r="F5" s="18"/>
      <c r="G5" s="19" t="str">
        <f ca="1">IF($A5="","",IF($I5="X",A5,CONCATENATE(VLOOKUP(A5,Competitors!$A$2:$I$650,3, FALSE)," ",VLOOKUP(A5,Competitors!$A$2:$I$650,2,FALSE))))</f>
        <v/>
      </c>
      <c r="H5" s="20">
        <f t="shared" si="1"/>
        <v>0</v>
      </c>
      <c r="I5" t="str">
        <f t="shared" ca="1" si="2"/>
        <v/>
      </c>
      <c r="J5" s="40" t="s">
        <v>173</v>
      </c>
    </row>
    <row r="6" spans="1:10" ht="14.25" x14ac:dyDescent="0.15">
      <c r="A6" s="17" t="str">
        <f t="shared" ca="1" si="0"/>
        <v/>
      </c>
      <c r="B6" s="17"/>
      <c r="C6" s="18"/>
      <c r="D6" s="18"/>
      <c r="E6" s="18"/>
      <c r="F6" s="18"/>
      <c r="G6" s="19" t="str">
        <f ca="1">IF($A6="","",IF($I6="X",A6,CONCATENATE(VLOOKUP(A6,Competitors!$A$2:$I$650,3, FALSE)," ",VLOOKUP(A6,Competitors!$A$2:$I$650,2,FALSE))))</f>
        <v/>
      </c>
      <c r="H6" s="20">
        <f t="shared" si="1"/>
        <v>0</v>
      </c>
      <c r="I6" t="str">
        <f t="shared" ca="1" si="2"/>
        <v/>
      </c>
      <c r="J6" s="40" t="s">
        <v>173</v>
      </c>
    </row>
    <row r="7" spans="1:10" ht="14.25" x14ac:dyDescent="0.15">
      <c r="A7" s="17" t="str">
        <f t="shared" ca="1" si="0"/>
        <v/>
      </c>
      <c r="B7" s="17"/>
      <c r="C7" s="18"/>
      <c r="D7" s="18"/>
      <c r="E7" s="18"/>
      <c r="F7" s="18"/>
      <c r="G7" s="19" t="str">
        <f ca="1">IF($A7="","",IF($I7="X",A7,CONCATENATE(VLOOKUP(A7,Competitors!$A$2:$I$650,3, FALSE)," ",VLOOKUP(A7,Competitors!$A$2:$I$650,2,FALSE))))</f>
        <v/>
      </c>
      <c r="H7" s="20">
        <f t="shared" si="1"/>
        <v>0</v>
      </c>
      <c r="I7" t="str">
        <f t="shared" ca="1" si="2"/>
        <v/>
      </c>
      <c r="J7" s="40" t="s">
        <v>173</v>
      </c>
    </row>
    <row r="8" spans="1:10" ht="14.25" x14ac:dyDescent="0.15">
      <c r="A8" s="17" t="str">
        <f t="shared" ca="1" si="0"/>
        <v/>
      </c>
      <c r="B8" s="17"/>
      <c r="C8" s="18"/>
      <c r="D8" s="18"/>
      <c r="E8" s="18"/>
      <c r="F8" s="18"/>
      <c r="G8" s="19" t="str">
        <f ca="1">IF($A8="","",IF($I8="X",A8,CONCATENATE(VLOOKUP(A8,Competitors!$A$2:$I$650,3, FALSE)," ",VLOOKUP(A8,Competitors!$A$2:$I$650,2,FALSE))))</f>
        <v/>
      </c>
      <c r="H8" s="20">
        <f t="shared" si="1"/>
        <v>0</v>
      </c>
      <c r="I8" t="str">
        <f t="shared" ca="1" si="2"/>
        <v/>
      </c>
      <c r="J8" s="40" t="s">
        <v>173</v>
      </c>
    </row>
    <row r="9" spans="1:10" ht="14.25" x14ac:dyDescent="0.15">
      <c r="A9" s="17" t="str">
        <f t="shared" ca="1" si="0"/>
        <v/>
      </c>
      <c r="B9" s="17"/>
      <c r="C9" s="18"/>
      <c r="D9" s="18"/>
      <c r="E9" s="18"/>
      <c r="F9" s="18"/>
      <c r="G9" s="19" t="str">
        <f ca="1">IF($A9="","",IF($I9="X",A9,CONCATENATE(VLOOKUP(A9,Competitors!$A$2:$I$650,3, FALSE)," ",VLOOKUP(A9,Competitors!$A$2:$I$650,2,FALSE))))</f>
        <v/>
      </c>
      <c r="H9" s="20">
        <f t="shared" si="1"/>
        <v>0</v>
      </c>
      <c r="I9" t="str">
        <f t="shared" ca="1" si="2"/>
        <v/>
      </c>
      <c r="J9" s="40" t="s">
        <v>173</v>
      </c>
    </row>
    <row r="10" spans="1:10" ht="14.25" x14ac:dyDescent="0.15">
      <c r="A10" s="17" t="str">
        <f t="shared" ca="1" si="0"/>
        <v/>
      </c>
      <c r="B10" s="17"/>
      <c r="C10" s="18"/>
      <c r="D10" s="18"/>
      <c r="E10" s="18"/>
      <c r="F10" s="18"/>
      <c r="G10" s="19" t="str">
        <f ca="1">IF($A10="","",IF($I10="X",A10,CONCATENATE(VLOOKUP(A10,Competitors!$A$2:$I$650,3, FALSE)," ",VLOOKUP(A10,Competitors!$A$2:$I$650,2,FALSE))))</f>
        <v/>
      </c>
      <c r="H10" s="20">
        <f t="shared" si="1"/>
        <v>0</v>
      </c>
      <c r="I10" t="str">
        <f t="shared" ca="1" si="2"/>
        <v/>
      </c>
      <c r="J10" s="40" t="s">
        <v>173</v>
      </c>
    </row>
    <row r="11" spans="1:10" ht="14.25" x14ac:dyDescent="0.15">
      <c r="A11" s="17" t="str">
        <f t="shared" ca="1" si="0"/>
        <v/>
      </c>
      <c r="B11" s="17"/>
      <c r="C11" s="18"/>
      <c r="D11" s="18"/>
      <c r="E11" s="18"/>
      <c r="F11" s="18"/>
      <c r="G11" s="19" t="str">
        <f ca="1">IF($A11="","",IF($I11="X",A11,CONCATENATE(VLOOKUP(A11,Competitors!$A$2:$I$650,3, FALSE)," ",VLOOKUP(A11,Competitors!$A$2:$I$650,2,FALSE))))</f>
        <v/>
      </c>
      <c r="H11" s="20">
        <f t="shared" si="1"/>
        <v>0</v>
      </c>
      <c r="I11" t="str">
        <f t="shared" ca="1" si="2"/>
        <v/>
      </c>
      <c r="J11" s="40" t="s">
        <v>173</v>
      </c>
    </row>
    <row r="12" spans="1:10" ht="14.25" x14ac:dyDescent="0.15">
      <c r="A12" s="17" t="str">
        <f t="shared" ca="1" si="0"/>
        <v/>
      </c>
      <c r="B12" s="17"/>
      <c r="C12" s="18"/>
      <c r="D12" s="18"/>
      <c r="E12" s="18"/>
      <c r="F12" s="18"/>
      <c r="G12" s="19" t="str">
        <f ca="1">IF($A12="","",IF($I12="X",A12,CONCATENATE(VLOOKUP(A12,Competitors!$A$2:$I$650,3, FALSE)," ",VLOOKUP(A12,Competitors!$A$2:$I$650,2,FALSE))))</f>
        <v/>
      </c>
      <c r="H12" s="20">
        <f t="shared" si="1"/>
        <v>0</v>
      </c>
      <c r="I12" t="str">
        <f t="shared" ca="1" si="2"/>
        <v/>
      </c>
      <c r="J12" s="40" t="s">
        <v>173</v>
      </c>
    </row>
    <row r="13" spans="1:10" ht="14.25" x14ac:dyDescent="0.15">
      <c r="A13" s="17" t="str">
        <f t="shared" ca="1" si="0"/>
        <v/>
      </c>
      <c r="B13" s="17"/>
      <c r="C13" s="18"/>
      <c r="D13" s="18"/>
      <c r="E13" s="18"/>
      <c r="F13" s="18"/>
      <c r="G13" s="19" t="str">
        <f ca="1">IF($A13="","",IF($I13="X",A13,CONCATENATE(VLOOKUP(A13,Competitors!$A$2:$I$650,3, FALSE)," ",VLOOKUP(A13,Competitors!$A$2:$I$650,2,FALSE))))</f>
        <v/>
      </c>
      <c r="H13" s="20">
        <f t="shared" si="1"/>
        <v>0</v>
      </c>
      <c r="I13" t="str">
        <f t="shared" ca="1" si="2"/>
        <v/>
      </c>
      <c r="J13" s="40" t="s">
        <v>173</v>
      </c>
    </row>
    <row r="14" spans="1:10" ht="14.25" x14ac:dyDescent="0.15">
      <c r="A14" s="17" t="str">
        <f t="shared" ca="1" si="0"/>
        <v/>
      </c>
      <c r="B14" s="17"/>
      <c r="C14" s="18"/>
      <c r="D14" s="18"/>
      <c r="E14" s="18"/>
      <c r="F14" s="18"/>
      <c r="G14" s="19" t="str">
        <f ca="1">IF($A14="","",IF($I14="X",A14,CONCATENATE(VLOOKUP(A14,Competitors!$A$2:$I$650,3, FALSE)," ",VLOOKUP(A14,Competitors!$A$2:$I$650,2,FALSE))))</f>
        <v/>
      </c>
      <c r="H14" s="20">
        <f t="shared" si="1"/>
        <v>0</v>
      </c>
      <c r="I14" t="str">
        <f t="shared" ca="1" si="2"/>
        <v/>
      </c>
      <c r="J14" s="40" t="s">
        <v>173</v>
      </c>
    </row>
    <row r="15" spans="1:10" ht="14.25" x14ac:dyDescent="0.15">
      <c r="A15" s="17" t="str">
        <f t="shared" ca="1" si="0"/>
        <v/>
      </c>
      <c r="B15" s="17"/>
      <c r="C15" s="18"/>
      <c r="D15" s="18"/>
      <c r="E15" s="18"/>
      <c r="F15" s="18"/>
      <c r="G15" s="19" t="str">
        <f ca="1">IF($A15="","",IF($I15="X",A15,CONCATENATE(VLOOKUP(A15,Competitors!$A$2:$I$650,3, FALSE)," ",VLOOKUP(A15,Competitors!$A$2:$I$650,2,FALSE))))</f>
        <v/>
      </c>
      <c r="H15" s="20">
        <f t="shared" si="1"/>
        <v>0</v>
      </c>
      <c r="I15" t="str">
        <f t="shared" ca="1" si="2"/>
        <v/>
      </c>
      <c r="J15" s="40" t="s">
        <v>173</v>
      </c>
    </row>
    <row r="16" spans="1:10" ht="14.25" x14ac:dyDescent="0.15">
      <c r="A16" s="17" t="str">
        <f t="shared" ca="1" si="0"/>
        <v/>
      </c>
      <c r="B16" s="17"/>
      <c r="C16" s="18"/>
      <c r="D16" s="18"/>
      <c r="E16" s="18"/>
      <c r="F16" s="18"/>
      <c r="G16" s="19" t="str">
        <f ca="1">IF($A16="","",IF($I16="X",A16,CONCATENATE(VLOOKUP(A16,Competitors!$A$2:$I$650,3, FALSE)," ",VLOOKUP(A16,Competitors!$A$2:$I$650,2,FALSE))))</f>
        <v/>
      </c>
      <c r="H16" s="20">
        <f t="shared" si="1"/>
        <v>0</v>
      </c>
      <c r="I16" t="str">
        <f t="shared" ca="1" si="2"/>
        <v/>
      </c>
      <c r="J16" s="40" t="s">
        <v>173</v>
      </c>
    </row>
    <row r="17" spans="1:10" ht="14.25" x14ac:dyDescent="0.15">
      <c r="A17" s="17" t="str">
        <f t="shared" ca="1" si="0"/>
        <v/>
      </c>
      <c r="B17" s="17"/>
      <c r="C17" s="18"/>
      <c r="D17" s="18"/>
      <c r="E17" s="18"/>
      <c r="F17" s="18"/>
      <c r="G17" s="19" t="str">
        <f ca="1">IF($A17="","",IF($I17="X",A17,CONCATENATE(VLOOKUP(A17,Competitors!$A$2:$I$650,3, FALSE)," ",VLOOKUP(A17,Competitors!$A$2:$I$650,2,FALSE))))</f>
        <v/>
      </c>
      <c r="H17" s="20">
        <f t="shared" si="1"/>
        <v>0</v>
      </c>
      <c r="I17" t="str">
        <f t="shared" ca="1" si="2"/>
        <v/>
      </c>
      <c r="J17" s="40" t="s">
        <v>173</v>
      </c>
    </row>
    <row r="18" spans="1:10" ht="14.25" x14ac:dyDescent="0.15">
      <c r="A18" s="17" t="str">
        <f t="shared" ca="1" si="0"/>
        <v/>
      </c>
      <c r="B18" s="17"/>
      <c r="C18" s="18"/>
      <c r="D18" s="18"/>
      <c r="E18" s="18"/>
      <c r="F18" s="18"/>
      <c r="G18" s="19" t="str">
        <f ca="1">IF($A18="","",IF($I18="X",A18,CONCATENATE(VLOOKUP(A18,Competitors!$A$2:$I$650,3, FALSE)," ",VLOOKUP(A18,Competitors!$A$2:$I$650,2,FALSE))))</f>
        <v/>
      </c>
      <c r="H18" s="20">
        <f t="shared" si="1"/>
        <v>0</v>
      </c>
      <c r="I18" t="str">
        <f t="shared" ca="1" si="2"/>
        <v/>
      </c>
      <c r="J18" s="40" t="s">
        <v>173</v>
      </c>
    </row>
    <row r="19" spans="1:10" ht="14.25" x14ac:dyDescent="0.15">
      <c r="A19" s="17" t="str">
        <f t="shared" ca="1" si="0"/>
        <v/>
      </c>
      <c r="B19" s="17"/>
      <c r="C19" s="18"/>
      <c r="D19" s="18"/>
      <c r="E19" s="18"/>
      <c r="F19" s="18"/>
      <c r="G19" s="19" t="str">
        <f ca="1">IF($A19="","",IF($I19="X",A19,CONCATENATE(VLOOKUP(A19,Competitors!$A$2:$I$650,3, FALSE)," ",VLOOKUP(A19,Competitors!$A$2:$I$650,2,FALSE))))</f>
        <v/>
      </c>
      <c r="H19" s="20">
        <f t="shared" si="1"/>
        <v>0</v>
      </c>
      <c r="I19" t="str">
        <f t="shared" ca="1" si="2"/>
        <v/>
      </c>
      <c r="J19" s="40" t="s">
        <v>173</v>
      </c>
    </row>
    <row r="20" spans="1:10" ht="14.25" x14ac:dyDescent="0.15">
      <c r="A20" s="17" t="str">
        <f t="shared" ca="1" si="0"/>
        <v/>
      </c>
      <c r="B20" s="17"/>
      <c r="C20" s="18"/>
      <c r="D20" s="18"/>
      <c r="E20" s="18"/>
      <c r="F20" s="18"/>
      <c r="G20" s="19" t="str">
        <f ca="1">IF($A20="","",IF($I20="X",A20,CONCATENATE(VLOOKUP(A20,Competitors!$A$2:$I$650,3, FALSE)," ",VLOOKUP(A20,Competitors!$A$2:$I$650,2,FALSE))))</f>
        <v/>
      </c>
      <c r="H20" s="20">
        <f t="shared" si="1"/>
        <v>0</v>
      </c>
      <c r="I20" t="str">
        <f t="shared" ca="1" si="2"/>
        <v/>
      </c>
      <c r="J20" s="40" t="s">
        <v>173</v>
      </c>
    </row>
    <row r="21" spans="1:10" ht="14.25" x14ac:dyDescent="0.15">
      <c r="A21" s="17" t="str">
        <f t="shared" ca="1" si="0"/>
        <v/>
      </c>
      <c r="B21" s="17"/>
      <c r="C21" s="18"/>
      <c r="D21" s="18"/>
      <c r="E21" s="18"/>
      <c r="F21" s="18"/>
      <c r="G21" s="19" t="str">
        <f ca="1">IF($A21="","",IF($I21="X",A21,CONCATENATE(VLOOKUP(A21,Competitors!$A$2:$I$650,3, FALSE)," ",VLOOKUP(A21,Competitors!$A$2:$I$650,2,FALSE))))</f>
        <v/>
      </c>
      <c r="H21" s="20">
        <f t="shared" si="1"/>
        <v>0</v>
      </c>
      <c r="I21" t="str">
        <f t="shared" ca="1" si="2"/>
        <v/>
      </c>
      <c r="J21" s="40" t="s">
        <v>173</v>
      </c>
    </row>
    <row r="22" spans="1:10" ht="14.25" x14ac:dyDescent="0.15">
      <c r="A22" s="17" t="str">
        <f t="shared" ca="1" si="0"/>
        <v/>
      </c>
      <c r="B22" s="17"/>
      <c r="C22" s="18"/>
      <c r="D22" s="18"/>
      <c r="E22" s="18"/>
      <c r="F22" s="18"/>
      <c r="G22" s="19" t="str">
        <f ca="1">IF($A22="","",IF($I22="X",A22,CONCATENATE(VLOOKUP(A22,Competitors!$A$2:$I$650,3, FALSE)," ",VLOOKUP(A22,Competitors!$A$2:$I$650,2,FALSE))))</f>
        <v/>
      </c>
      <c r="H22" s="20">
        <f t="shared" si="1"/>
        <v>0</v>
      </c>
      <c r="I22" t="str">
        <f t="shared" ca="1" si="2"/>
        <v/>
      </c>
      <c r="J22" s="40" t="s">
        <v>173</v>
      </c>
    </row>
    <row r="23" spans="1:10" ht="14.25" x14ac:dyDescent="0.15">
      <c r="A23" s="17" t="str">
        <f t="shared" ca="1" si="0"/>
        <v/>
      </c>
      <c r="B23" s="17"/>
      <c r="C23" s="18"/>
      <c r="D23" s="18"/>
      <c r="E23" s="18"/>
      <c r="F23" s="18"/>
      <c r="G23" s="19" t="str">
        <f ca="1">IF($A23="","",IF($I23="X",A23,CONCATENATE(VLOOKUP(A23,Competitors!$A$2:$I$650,3, FALSE)," ",VLOOKUP(A23,Competitors!$A$2:$I$650,2,FALSE))))</f>
        <v/>
      </c>
      <c r="H23" s="20">
        <f t="shared" si="1"/>
        <v>0</v>
      </c>
      <c r="I23" t="str">
        <f t="shared" ca="1" si="2"/>
        <v/>
      </c>
      <c r="J23" s="40" t="s">
        <v>173</v>
      </c>
    </row>
    <row r="24" spans="1:10" ht="14.25" x14ac:dyDescent="0.15">
      <c r="A24" s="17" t="str">
        <f t="shared" ca="1" si="0"/>
        <v/>
      </c>
      <c r="B24" s="17"/>
      <c r="C24" s="18"/>
      <c r="D24" s="18"/>
      <c r="E24" s="18"/>
      <c r="F24" s="18"/>
      <c r="G24" s="19" t="str">
        <f ca="1">IF($A24="","",IF($I24="X",A24,CONCATENATE(VLOOKUP(A24,Competitors!$A$2:$I$650,3, FALSE)," ",VLOOKUP(A24,Competitors!$A$2:$I$650,2,FALSE))))</f>
        <v/>
      </c>
      <c r="H24" s="20">
        <f t="shared" si="1"/>
        <v>0</v>
      </c>
      <c r="I24" t="str">
        <f t="shared" ca="1" si="2"/>
        <v/>
      </c>
      <c r="J24" s="40" t="s">
        <v>173</v>
      </c>
    </row>
    <row r="25" spans="1:10" ht="14.25" x14ac:dyDescent="0.15">
      <c r="A25" s="17" t="str">
        <f t="shared" ca="1" si="0"/>
        <v/>
      </c>
      <c r="B25" s="17"/>
      <c r="C25" s="18"/>
      <c r="D25" s="18"/>
      <c r="E25" s="18"/>
      <c r="F25" s="18"/>
      <c r="G25" s="19" t="str">
        <f ca="1">IF($A25="","",IF($I25="X",A25,CONCATENATE(VLOOKUP(A25,Competitors!$A$2:$I$650,3, FALSE)," ",VLOOKUP(A25,Competitors!$A$2:$I$650,2,FALSE))))</f>
        <v/>
      </c>
      <c r="H25" s="20">
        <f t="shared" si="1"/>
        <v>0</v>
      </c>
      <c r="I25" t="str">
        <f t="shared" ca="1" si="2"/>
        <v/>
      </c>
      <c r="J25" s="40" t="s">
        <v>173</v>
      </c>
    </row>
    <row r="26" spans="1:10" ht="14.25" x14ac:dyDescent="0.15">
      <c r="A26" s="17" t="str">
        <f t="shared" ca="1" si="0"/>
        <v/>
      </c>
      <c r="B26" s="17"/>
      <c r="C26" s="18"/>
      <c r="D26" s="18"/>
      <c r="E26" s="18"/>
      <c r="F26" s="18"/>
      <c r="G26" s="19" t="str">
        <f ca="1">IF($A26="","",IF($I26="X",A26,CONCATENATE(VLOOKUP(A26,Competitors!$A$2:$I$650,3, FALSE)," ",VLOOKUP(A26,Competitors!$A$2:$I$650,2,FALSE))))</f>
        <v/>
      </c>
      <c r="H26" s="20">
        <f t="shared" si="1"/>
        <v>0</v>
      </c>
      <c r="I26" t="str">
        <f t="shared" ca="1" si="2"/>
        <v/>
      </c>
      <c r="J26" s="40" t="s">
        <v>173</v>
      </c>
    </row>
    <row r="27" spans="1:10" ht="14.25" x14ac:dyDescent="0.15">
      <c r="A27" s="17" t="str">
        <f t="shared" ca="1" si="0"/>
        <v/>
      </c>
      <c r="B27" s="17"/>
      <c r="C27" s="18"/>
      <c r="D27" s="18"/>
      <c r="E27" s="18"/>
      <c r="F27" s="18"/>
      <c r="G27" s="19" t="str">
        <f ca="1">IF($A27="","",IF($I27="X",A27,CONCATENATE(VLOOKUP(A27,Competitors!$A$2:$I$650,3, FALSE)," ",VLOOKUP(A27,Competitors!$A$2:$I$650,2,FALSE))))</f>
        <v/>
      </c>
      <c r="H27" s="20">
        <f t="shared" si="1"/>
        <v>0</v>
      </c>
      <c r="I27" t="str">
        <f t="shared" ca="1" si="2"/>
        <v/>
      </c>
      <c r="J27" s="40" t="s">
        <v>173</v>
      </c>
    </row>
    <row r="28" spans="1:10" ht="14.25" x14ac:dyDescent="0.15">
      <c r="A28" s="17" t="str">
        <f t="shared" ca="1" si="0"/>
        <v/>
      </c>
      <c r="B28" s="17"/>
      <c r="C28" s="18"/>
      <c r="D28" s="18"/>
      <c r="E28" s="18"/>
      <c r="F28" s="18"/>
      <c r="G28" s="19" t="str">
        <f ca="1">IF($A28="","",IF($I28="X",A28,CONCATENATE(VLOOKUP(A28,Competitors!$A$2:$I$650,3, FALSE)," ",VLOOKUP(A28,Competitors!$A$2:$I$650,2,FALSE))))</f>
        <v/>
      </c>
      <c r="H28" s="20">
        <f t="shared" si="1"/>
        <v>0</v>
      </c>
      <c r="I28" t="str">
        <f t="shared" ca="1" si="2"/>
        <v/>
      </c>
      <c r="J28" s="40" t="s">
        <v>173</v>
      </c>
    </row>
    <row r="29" spans="1:10" ht="14.25" x14ac:dyDescent="0.15">
      <c r="A29" s="17" t="str">
        <f t="shared" ca="1" si="0"/>
        <v/>
      </c>
      <c r="B29" s="17"/>
      <c r="C29" s="18"/>
      <c r="D29" s="18"/>
      <c r="E29" s="18"/>
      <c r="F29" s="18"/>
      <c r="G29" s="19" t="str">
        <f ca="1">IF($A29="","",IF($I29="X",A29,CONCATENATE(VLOOKUP(A29,Competitors!$A$2:$I$650,3, FALSE)," ",VLOOKUP(A29,Competitors!$A$2:$I$650,2,FALSE))))</f>
        <v/>
      </c>
      <c r="H29" s="20">
        <f t="shared" si="1"/>
        <v>0</v>
      </c>
      <c r="I29" t="str">
        <f t="shared" ca="1" si="2"/>
        <v/>
      </c>
      <c r="J29" s="40" t="s">
        <v>173</v>
      </c>
    </row>
    <row r="30" spans="1:10" ht="14.25" x14ac:dyDescent="0.15">
      <c r="A30" s="17" t="str">
        <f t="shared" ca="1" si="0"/>
        <v/>
      </c>
      <c r="B30" s="17"/>
      <c r="C30" s="18"/>
      <c r="D30" s="18"/>
      <c r="E30" s="18"/>
      <c r="F30" s="18"/>
      <c r="G30" s="19" t="str">
        <f ca="1">IF($A30="","",IF($I30="X",A30,CONCATENATE(VLOOKUP(A30,Competitors!$A$2:$I$650,3, FALSE)," ",VLOOKUP(A30,Competitors!$A$2:$I$650,2,FALSE))))</f>
        <v/>
      </c>
      <c r="H30" s="20">
        <f t="shared" si="1"/>
        <v>0</v>
      </c>
      <c r="I30" t="str">
        <f t="shared" ca="1" si="2"/>
        <v/>
      </c>
      <c r="J30" s="40" t="s">
        <v>173</v>
      </c>
    </row>
    <row r="31" spans="1:10" ht="14.25" x14ac:dyDescent="0.15">
      <c r="A31" s="17" t="str">
        <f t="shared" ca="1" si="0"/>
        <v/>
      </c>
      <c r="B31" s="17"/>
      <c r="C31" s="18"/>
      <c r="D31" s="18"/>
      <c r="E31" s="18"/>
      <c r="F31" s="18"/>
      <c r="G31" s="19" t="str">
        <f ca="1">IF($A31="","",IF($I31="X",A31,CONCATENATE(VLOOKUP(A31,Competitors!$A$2:$I$650,3, FALSE)," ",VLOOKUP(A31,Competitors!$A$2:$I$650,2,FALSE))))</f>
        <v/>
      </c>
      <c r="H31" s="20">
        <f t="shared" si="1"/>
        <v>0</v>
      </c>
      <c r="I31" t="str">
        <f t="shared" ca="1" si="2"/>
        <v/>
      </c>
      <c r="J31" s="40" t="s">
        <v>173</v>
      </c>
    </row>
    <row r="32" spans="1:10" ht="14.25" x14ac:dyDescent="0.15">
      <c r="A32" s="17" t="str">
        <f t="shared" ca="1" si="0"/>
        <v/>
      </c>
      <c r="B32" s="17"/>
      <c r="C32" s="18"/>
      <c r="D32" s="18"/>
      <c r="E32" s="18"/>
      <c r="F32" s="18"/>
      <c r="G32" s="19" t="str">
        <f ca="1">IF($A32="","",IF($I32="X",A32,CONCATENATE(VLOOKUP(A32,Competitors!$A$2:$I$650,3, FALSE)," ",VLOOKUP(A32,Competitors!$A$2:$I$650,2,FALSE))))</f>
        <v/>
      </c>
      <c r="H32" s="20">
        <f t="shared" si="1"/>
        <v>0</v>
      </c>
      <c r="I32" t="str">
        <f t="shared" ca="1" si="2"/>
        <v/>
      </c>
      <c r="J32" s="40" t="s">
        <v>173</v>
      </c>
    </row>
    <row r="33" spans="1:10" ht="14.25" x14ac:dyDescent="0.15">
      <c r="A33" s="17" t="str">
        <f t="shared" ca="1" si="0"/>
        <v/>
      </c>
      <c r="B33" s="17"/>
      <c r="C33" s="18"/>
      <c r="D33" s="18"/>
      <c r="E33" s="18"/>
      <c r="F33" s="18"/>
      <c r="G33" s="19" t="str">
        <f ca="1">IF($A33="","",IF($I33="X",A33,CONCATENATE(VLOOKUP(A33,Competitors!$A$2:$I$650,3, FALSE)," ",VLOOKUP(A33,Competitors!$A$2:$I$650,2,FALSE))))</f>
        <v/>
      </c>
      <c r="H33" s="20">
        <f t="shared" si="1"/>
        <v>0</v>
      </c>
      <c r="I33" t="str">
        <f t="shared" ca="1" si="2"/>
        <v/>
      </c>
      <c r="J33" s="40" t="s">
        <v>173</v>
      </c>
    </row>
    <row r="34" spans="1:10" ht="14.25" x14ac:dyDescent="0.15">
      <c r="A34" s="17" t="str">
        <f t="shared" ref="A34:A65" ca="1" si="3">IF(J34="","",_xlfn.XLOOKUP(J34,ClubNames,ClubNumbers,_xlfn.XLOOKUP(J34,RoundRobinRiderNames,RoundRobinRiderDecoratedNames,J34)))</f>
        <v/>
      </c>
      <c r="B34" s="17"/>
      <c r="C34" s="18"/>
      <c r="D34" s="18"/>
      <c r="E34" s="18"/>
      <c r="F34" s="18"/>
      <c r="G34" s="19" t="str">
        <f ca="1">IF($A34="","",IF($I34="X",A34,CONCATENATE(VLOOKUP(A34,Competitors!$A$2:$I$650,3, FALSE)," ",VLOOKUP(A34,Competitors!$A$2:$I$650,2,FALSE))))</f>
        <v/>
      </c>
      <c r="H34" s="20">
        <f t="shared" si="1"/>
        <v>0</v>
      </c>
      <c r="I34" t="str">
        <f t="shared" ca="1" si="2"/>
        <v/>
      </c>
      <c r="J34" s="40" t="s">
        <v>173</v>
      </c>
    </row>
    <row r="35" spans="1:10" ht="14.25" x14ac:dyDescent="0.15">
      <c r="A35" s="17" t="str">
        <f t="shared" ca="1" si="3"/>
        <v/>
      </c>
      <c r="B35" s="17"/>
      <c r="C35" s="18"/>
      <c r="D35" s="18"/>
      <c r="E35" s="18"/>
      <c r="F35" s="18"/>
      <c r="G35" s="19" t="str">
        <f ca="1">IF($A35="","",IF($I35="X",A35,CONCATENATE(VLOOKUP(A35,Competitors!$A$2:$I$650,3, FALSE)," ",VLOOKUP(A35,Competitors!$A$2:$I$650,2,FALSE))))</f>
        <v/>
      </c>
      <c r="H35" s="20">
        <f t="shared" si="1"/>
        <v>0</v>
      </c>
      <c r="I35" t="str">
        <f t="shared" ca="1" si="2"/>
        <v/>
      </c>
      <c r="J35" s="40" t="s">
        <v>173</v>
      </c>
    </row>
    <row r="36" spans="1:10" ht="14.25" x14ac:dyDescent="0.15">
      <c r="A36" s="17" t="str">
        <f t="shared" ca="1" si="3"/>
        <v/>
      </c>
      <c r="B36" s="17"/>
      <c r="C36" s="18"/>
      <c r="D36" s="18"/>
      <c r="E36" s="18"/>
      <c r="F36" s="18"/>
      <c r="G36" s="19" t="str">
        <f ca="1">IF($A36="","",IF($I36="X",A36,CONCATENATE(VLOOKUP(A36,Competitors!$A$2:$I$650,3, FALSE)," ",VLOOKUP(A36,Competitors!$A$2:$I$650,2,FALSE))))</f>
        <v/>
      </c>
      <c r="H36" s="20">
        <f t="shared" si="1"/>
        <v>0</v>
      </c>
      <c r="I36" t="str">
        <f t="shared" ca="1" si="2"/>
        <v/>
      </c>
      <c r="J36" s="40" t="s">
        <v>173</v>
      </c>
    </row>
    <row r="37" spans="1:10" ht="14.25" x14ac:dyDescent="0.15">
      <c r="A37" s="17" t="str">
        <f t="shared" ca="1" si="3"/>
        <v/>
      </c>
      <c r="B37" s="17"/>
      <c r="C37" s="18"/>
      <c r="D37" s="18"/>
      <c r="E37" s="18"/>
      <c r="F37" s="18"/>
      <c r="G37" s="19" t="str">
        <f ca="1">IF($A37="","",IF($I37="X",A37,CONCATENATE(VLOOKUP(A37,Competitors!$A$2:$I$650,3, FALSE)," ",VLOOKUP(A37,Competitors!$A$2:$I$650,2,FALSE))))</f>
        <v/>
      </c>
      <c r="H37" s="20">
        <f t="shared" si="1"/>
        <v>0</v>
      </c>
      <c r="I37" t="str">
        <f t="shared" ca="1" si="2"/>
        <v/>
      </c>
      <c r="J37" s="40" t="s">
        <v>173</v>
      </c>
    </row>
    <row r="38" spans="1:10" ht="14.25" x14ac:dyDescent="0.15">
      <c r="A38" s="17" t="str">
        <f t="shared" ca="1" si="3"/>
        <v/>
      </c>
      <c r="B38" s="17"/>
      <c r="C38" s="18"/>
      <c r="D38" s="18"/>
      <c r="E38" s="18"/>
      <c r="F38" s="18"/>
      <c r="G38" s="19" t="str">
        <f ca="1">IF($A38="","",IF($I38="X",A38,CONCATENATE(VLOOKUP(A38,Competitors!$A$2:$I$650,3, FALSE)," ",VLOOKUP(A38,Competitors!$A$2:$I$650,2,FALSE))))</f>
        <v/>
      </c>
      <c r="H38" s="20">
        <f t="shared" si="1"/>
        <v>0</v>
      </c>
      <c r="I38" t="str">
        <f t="shared" ca="1" si="2"/>
        <v/>
      </c>
      <c r="J38" s="40" t="s">
        <v>173</v>
      </c>
    </row>
    <row r="39" spans="1:10" ht="14.25" x14ac:dyDescent="0.15">
      <c r="A39" s="17" t="str">
        <f t="shared" ca="1" si="3"/>
        <v/>
      </c>
      <c r="B39" s="17"/>
      <c r="C39" s="18"/>
      <c r="D39" s="18"/>
      <c r="E39" s="18"/>
      <c r="F39" s="18"/>
      <c r="G39" s="19" t="str">
        <f ca="1">IF($A39="","",IF($I39="X",A39,CONCATENATE(VLOOKUP(A39,Competitors!$A$2:$I$650,3, FALSE)," ",VLOOKUP(A39,Competitors!$A$2:$I$650,2,FALSE))))</f>
        <v/>
      </c>
      <c r="H39" s="20">
        <f t="shared" si="1"/>
        <v>0</v>
      </c>
      <c r="I39" t="str">
        <f t="shared" ca="1" si="2"/>
        <v/>
      </c>
      <c r="J39" s="40" t="s">
        <v>173</v>
      </c>
    </row>
    <row r="40" spans="1:10" ht="14.25" x14ac:dyDescent="0.15">
      <c r="A40" s="17" t="str">
        <f t="shared" ca="1" si="3"/>
        <v/>
      </c>
      <c r="B40" s="17"/>
      <c r="C40" s="18"/>
      <c r="D40" s="18"/>
      <c r="E40" s="18"/>
      <c r="F40" s="18"/>
      <c r="G40" s="19" t="str">
        <f ca="1">IF($A40="","",IF($I40="X",A40,CONCATENATE(VLOOKUP(A40,Competitors!$A$2:$I$650,3, FALSE)," ",VLOOKUP(A40,Competitors!$A$2:$I$650,2,FALSE))))</f>
        <v/>
      </c>
      <c r="H40" s="20">
        <f t="shared" si="1"/>
        <v>0</v>
      </c>
      <c r="I40" t="str">
        <f t="shared" ca="1" si="2"/>
        <v/>
      </c>
      <c r="J40" s="40" t="s">
        <v>173</v>
      </c>
    </row>
    <row r="41" spans="1:10" ht="14.25" x14ac:dyDescent="0.15">
      <c r="A41" s="17" t="str">
        <f t="shared" ca="1" si="3"/>
        <v/>
      </c>
      <c r="B41" s="17"/>
      <c r="C41" s="18"/>
      <c r="D41" s="18"/>
      <c r="E41" s="18"/>
      <c r="F41" s="18"/>
      <c r="G41" s="19" t="str">
        <f ca="1">IF($A41="","",IF($I41="X",A41,CONCATENATE(VLOOKUP(A41,Competitors!$A$2:$I$650,3, FALSE)," ",VLOOKUP(A41,Competitors!$A$2:$I$650,2,FALSE))))</f>
        <v/>
      </c>
      <c r="H41" s="20">
        <f t="shared" si="1"/>
        <v>0</v>
      </c>
      <c r="I41" t="str">
        <f t="shared" ca="1" si="2"/>
        <v/>
      </c>
      <c r="J41" s="40" t="s">
        <v>173</v>
      </c>
    </row>
    <row r="42" spans="1:10" ht="14.25" x14ac:dyDescent="0.15">
      <c r="A42" s="17" t="str">
        <f t="shared" ca="1" si="3"/>
        <v/>
      </c>
      <c r="B42" s="17"/>
      <c r="C42" s="18"/>
      <c r="D42" s="18"/>
      <c r="E42" s="18"/>
      <c r="F42" s="18"/>
      <c r="G42" s="19" t="str">
        <f ca="1">IF($A42="","",IF($I42="X",A42,CONCATENATE(VLOOKUP(A42,Competitors!$A$2:$I$650,3, FALSE)," ",VLOOKUP(A42,Competitors!$A$2:$I$650,2,FALSE))))</f>
        <v/>
      </c>
      <c r="H42" s="20">
        <f t="shared" si="1"/>
        <v>0</v>
      </c>
      <c r="I42" t="str">
        <f t="shared" ca="1" si="2"/>
        <v/>
      </c>
      <c r="J42" s="40" t="s">
        <v>173</v>
      </c>
    </row>
    <row r="43" spans="1:10" ht="14.25" x14ac:dyDescent="0.15">
      <c r="A43" s="17" t="str">
        <f t="shared" ca="1" si="3"/>
        <v/>
      </c>
      <c r="B43" s="17"/>
      <c r="C43" s="18"/>
      <c r="D43" s="18"/>
      <c r="E43" s="18"/>
      <c r="F43" s="18"/>
      <c r="G43" s="19" t="str">
        <f ca="1">IF($A43="","",IF($I43="X",A43,CONCATENATE(VLOOKUP(A43,Competitors!$A$2:$I$650,3, FALSE)," ",VLOOKUP(A43,Competitors!$A$2:$I$650,2,FALSE))))</f>
        <v/>
      </c>
      <c r="H43" s="20">
        <f t="shared" si="1"/>
        <v>0</v>
      </c>
      <c r="I43" t="str">
        <f t="shared" ca="1" si="2"/>
        <v/>
      </c>
      <c r="J43" s="40" t="s">
        <v>173</v>
      </c>
    </row>
    <row r="44" spans="1:10" ht="14.25" x14ac:dyDescent="0.15">
      <c r="A44" s="17" t="str">
        <f t="shared" ca="1" si="3"/>
        <v/>
      </c>
      <c r="B44" s="17"/>
      <c r="C44" s="18"/>
      <c r="D44" s="18"/>
      <c r="E44" s="18"/>
      <c r="F44" s="18"/>
      <c r="G44" s="19" t="str">
        <f ca="1">IF($A44="","",IF($I44="X",A44,CONCATENATE(VLOOKUP(A44,Competitors!$A$2:$I$650,3, FALSE)," ",VLOOKUP(A44,Competitors!$A$2:$I$650,2,FALSE))))</f>
        <v/>
      </c>
      <c r="H44" s="20">
        <f t="shared" si="1"/>
        <v>0</v>
      </c>
      <c r="I44" t="str">
        <f t="shared" ca="1" si="2"/>
        <v/>
      </c>
      <c r="J44" s="40" t="s">
        <v>173</v>
      </c>
    </row>
    <row r="45" spans="1:10" ht="14.25" x14ac:dyDescent="0.15">
      <c r="A45" s="17" t="str">
        <f t="shared" ca="1" si="3"/>
        <v/>
      </c>
      <c r="B45" s="17"/>
      <c r="C45" s="18"/>
      <c r="D45" s="18"/>
      <c r="E45" s="18"/>
      <c r="F45" s="18"/>
      <c r="G45" s="19" t="str">
        <f ca="1">IF($A45="","",IF($I45="X",A45,CONCATENATE(VLOOKUP(A45,Competitors!$A$2:$I$650,3, FALSE)," ",VLOOKUP(A45,Competitors!$A$2:$I$650,2,FALSE))))</f>
        <v/>
      </c>
      <c r="H45" s="20">
        <f t="shared" si="1"/>
        <v>0</v>
      </c>
      <c r="I45" t="str">
        <f t="shared" ca="1" si="2"/>
        <v/>
      </c>
      <c r="J45" s="40" t="s">
        <v>173</v>
      </c>
    </row>
    <row r="46" spans="1:10" ht="14.25" x14ac:dyDescent="0.15">
      <c r="A46" s="17" t="str">
        <f t="shared" ca="1" si="3"/>
        <v/>
      </c>
      <c r="B46" s="17"/>
      <c r="C46" s="18"/>
      <c r="D46" s="18"/>
      <c r="E46" s="18"/>
      <c r="F46" s="18"/>
      <c r="G46" s="19" t="str">
        <f ca="1">IF($A46="","",IF($I46="X",A46,CONCATENATE(VLOOKUP(A46,Competitors!$A$2:$I$650,3, FALSE)," ",VLOOKUP(A46,Competitors!$A$2:$I$650,2,FALSE))))</f>
        <v/>
      </c>
      <c r="H46" s="20">
        <f t="shared" si="1"/>
        <v>0</v>
      </c>
      <c r="I46" t="str">
        <f t="shared" ca="1" si="2"/>
        <v/>
      </c>
      <c r="J46" s="40" t="s">
        <v>173</v>
      </c>
    </row>
    <row r="47" spans="1:10" ht="14.25" x14ac:dyDescent="0.15">
      <c r="A47" s="17" t="str">
        <f t="shared" ca="1" si="3"/>
        <v/>
      </c>
      <c r="B47" s="17"/>
      <c r="C47" s="18"/>
      <c r="D47" s="18"/>
      <c r="E47" s="18"/>
      <c r="F47" s="18"/>
      <c r="G47" s="19" t="str">
        <f ca="1">IF($A47="","",IF($I47="X",A47,CONCATENATE(VLOOKUP(A47,Competitors!$A$2:$I$650,3, FALSE)," ",VLOOKUP(A47,Competitors!$A$2:$I$650,2,FALSE))))</f>
        <v/>
      </c>
      <c r="H47" s="20">
        <f t="shared" si="1"/>
        <v>0</v>
      </c>
      <c r="I47" t="str">
        <f t="shared" ca="1" si="2"/>
        <v/>
      </c>
      <c r="J47" s="40" t="s">
        <v>173</v>
      </c>
    </row>
    <row r="48" spans="1:10" ht="14.25" x14ac:dyDescent="0.15">
      <c r="A48" s="17" t="str">
        <f t="shared" ca="1" si="3"/>
        <v/>
      </c>
      <c r="B48" s="17"/>
      <c r="C48" s="18"/>
      <c r="D48" s="18"/>
      <c r="E48" s="18"/>
      <c r="F48" s="18"/>
      <c r="G48" s="19" t="str">
        <f ca="1">IF($A48="","",IF($I48="X",A48,CONCATENATE(VLOOKUP(A48,Competitors!$A$2:$I$650,3, FALSE)," ",VLOOKUP(A48,Competitors!$A$2:$I$650,2,FALSE))))</f>
        <v/>
      </c>
      <c r="H48" s="20">
        <f t="shared" si="1"/>
        <v>0</v>
      </c>
      <c r="I48" t="str">
        <f t="shared" ca="1" si="2"/>
        <v/>
      </c>
      <c r="J48" s="40" t="s">
        <v>173</v>
      </c>
    </row>
    <row r="49" spans="1:10" ht="14.25" x14ac:dyDescent="0.15">
      <c r="A49" s="17" t="str">
        <f t="shared" ca="1" si="3"/>
        <v/>
      </c>
      <c r="B49" s="17"/>
      <c r="C49" s="18"/>
      <c r="D49" s="18"/>
      <c r="E49" s="18"/>
      <c r="F49" s="18"/>
      <c r="G49" s="19" t="str">
        <f ca="1">IF($A49="","",IF($I49="X",A49,CONCATENATE(VLOOKUP(A49,Competitors!$A$2:$I$650,3, FALSE)," ",VLOOKUP(A49,Competitors!$A$2:$I$650,2,FALSE))))</f>
        <v/>
      </c>
      <c r="H49" s="20">
        <f t="shared" si="1"/>
        <v>0</v>
      </c>
      <c r="I49" t="str">
        <f t="shared" ca="1" si="2"/>
        <v/>
      </c>
      <c r="J49" s="40" t="s">
        <v>173</v>
      </c>
    </row>
    <row r="50" spans="1:10" ht="14.25" x14ac:dyDescent="0.15">
      <c r="A50" s="17" t="str">
        <f t="shared" ca="1" si="3"/>
        <v/>
      </c>
      <c r="B50" s="17"/>
      <c r="C50" s="18"/>
      <c r="D50" s="18"/>
      <c r="E50" s="18"/>
      <c r="F50" s="18"/>
      <c r="G50" s="19" t="str">
        <f ca="1">IF($A50="","",IF($I50="X",A50,CONCATENATE(VLOOKUP(A50,Competitors!$A$2:$I$650,3, FALSE)," ",VLOOKUP(A50,Competitors!$A$2:$I$650,2,FALSE))))</f>
        <v/>
      </c>
      <c r="H50" s="20">
        <f t="shared" si="1"/>
        <v>0</v>
      </c>
      <c r="I50" t="str">
        <f t="shared" ca="1" si="2"/>
        <v/>
      </c>
      <c r="J50" s="40" t="s">
        <v>173</v>
      </c>
    </row>
    <row r="51" spans="1:10" ht="14.25" x14ac:dyDescent="0.15">
      <c r="A51" s="17" t="str">
        <f t="shared" ca="1" si="3"/>
        <v/>
      </c>
      <c r="B51" s="17"/>
      <c r="C51" s="18"/>
      <c r="D51" s="18"/>
      <c r="E51" s="18"/>
      <c r="F51" s="18"/>
      <c r="G51" s="19" t="str">
        <f ca="1">IF($A51="","",IF($I51="X",A51,CONCATENATE(VLOOKUP(A51,Competitors!$A$2:$I$650,3, FALSE)," ",VLOOKUP(A51,Competitors!$A$2:$I$650,2,FALSE))))</f>
        <v/>
      </c>
      <c r="H51" s="20">
        <f t="shared" si="1"/>
        <v>0</v>
      </c>
      <c r="I51" t="str">
        <f t="shared" ca="1" si="2"/>
        <v/>
      </c>
      <c r="J51" s="40" t="s">
        <v>173</v>
      </c>
    </row>
    <row r="52" spans="1:10" ht="14.25" x14ac:dyDescent="0.15">
      <c r="A52" s="17" t="str">
        <f t="shared" ca="1" si="3"/>
        <v/>
      </c>
      <c r="B52" s="17"/>
      <c r="C52" s="18"/>
      <c r="D52" s="18"/>
      <c r="E52" s="18"/>
      <c r="F52" s="18"/>
      <c r="G52" s="19" t="str">
        <f ca="1">IF($A52="","",IF($I52="X",A52,CONCATENATE(VLOOKUP(A52,Competitors!$A$2:$I$650,3, FALSE)," ",VLOOKUP(A52,Competitors!$A$2:$I$650,2,FALSE))))</f>
        <v/>
      </c>
      <c r="H52" s="20">
        <f t="shared" si="1"/>
        <v>0</v>
      </c>
      <c r="I52" t="str">
        <f t="shared" ca="1" si="2"/>
        <v/>
      </c>
      <c r="J52" s="40" t="s">
        <v>173</v>
      </c>
    </row>
    <row r="53" spans="1:10" ht="14.25" x14ac:dyDescent="0.15">
      <c r="A53" s="17" t="str">
        <f t="shared" ca="1" si="3"/>
        <v/>
      </c>
      <c r="B53" s="17"/>
      <c r="C53" s="18"/>
      <c r="D53" s="18"/>
      <c r="E53" s="18"/>
      <c r="F53" s="18"/>
      <c r="G53" s="19" t="str">
        <f ca="1">IF($A53="","",IF($I53="X",A53,CONCATENATE(VLOOKUP(A53,Competitors!$A$2:$I$650,3, FALSE)," ",VLOOKUP(A53,Competitors!$A$2:$I$650,2,FALSE))))</f>
        <v/>
      </c>
      <c r="H53" s="20">
        <f t="shared" si="1"/>
        <v>0</v>
      </c>
      <c r="I53" t="str">
        <f t="shared" ca="1" si="2"/>
        <v/>
      </c>
      <c r="J53" s="40" t="s">
        <v>173</v>
      </c>
    </row>
    <row r="54" spans="1:10" ht="14.25" x14ac:dyDescent="0.15">
      <c r="A54" s="17" t="str">
        <f t="shared" ca="1" si="3"/>
        <v/>
      </c>
      <c r="B54" s="17"/>
      <c r="C54" s="18"/>
      <c r="D54" s="18"/>
      <c r="E54" s="18"/>
      <c r="F54" s="18"/>
      <c r="G54" s="19" t="str">
        <f ca="1">IF($A54="","",IF($I54="X",A54,CONCATENATE(VLOOKUP(A54,Competitors!$A$2:$I$650,3, FALSE)," ",VLOOKUP(A54,Competitors!$A$2:$I$650,2,FALSE))))</f>
        <v/>
      </c>
      <c r="H54" s="20">
        <f t="shared" si="1"/>
        <v>0</v>
      </c>
      <c r="I54" t="str">
        <f t="shared" ca="1" si="2"/>
        <v/>
      </c>
      <c r="J54" s="40" t="s">
        <v>173</v>
      </c>
    </row>
    <row r="55" spans="1:10" ht="14.25" x14ac:dyDescent="0.15">
      <c r="A55" s="17" t="str">
        <f t="shared" ca="1" si="3"/>
        <v/>
      </c>
      <c r="B55" s="17"/>
      <c r="C55" s="18"/>
      <c r="D55" s="18"/>
      <c r="E55" s="18"/>
      <c r="F55" s="18"/>
      <c r="G55" s="19" t="str">
        <f ca="1">IF($A55="","",IF($I55="X",A55,CONCATENATE(VLOOKUP(A55,Competitors!$A$2:$I$650,3, FALSE)," ",VLOOKUP(A55,Competitors!$A$2:$I$650,2,FALSE))))</f>
        <v/>
      </c>
      <c r="H55" s="20">
        <f t="shared" si="1"/>
        <v>0</v>
      </c>
      <c r="I55" t="str">
        <f t="shared" ca="1" si="2"/>
        <v/>
      </c>
      <c r="J55" s="40" t="s">
        <v>173</v>
      </c>
    </row>
    <row r="56" spans="1:10" ht="14.25" x14ac:dyDescent="0.15">
      <c r="A56" s="17" t="str">
        <f t="shared" ca="1" si="3"/>
        <v/>
      </c>
      <c r="B56" s="17"/>
      <c r="C56" s="18"/>
      <c r="D56" s="18"/>
      <c r="E56" s="18"/>
      <c r="F56" s="18"/>
      <c r="G56" s="19" t="str">
        <f ca="1">IF($A56="","",IF($I56="X",A56,CONCATENATE(VLOOKUP(A56,Competitors!$A$2:$I$650,3, FALSE)," ",VLOOKUP(A56,Competitors!$A$2:$I$650,2,FALSE))))</f>
        <v/>
      </c>
      <c r="H56" s="20">
        <f t="shared" si="1"/>
        <v>0</v>
      </c>
      <c r="I56" t="str">
        <f t="shared" ca="1" si="2"/>
        <v/>
      </c>
      <c r="J56" s="40" t="s">
        <v>173</v>
      </c>
    </row>
    <row r="57" spans="1:10" ht="14.25" x14ac:dyDescent="0.15">
      <c r="A57" s="17" t="str">
        <f t="shared" ca="1" si="3"/>
        <v/>
      </c>
      <c r="B57" s="17"/>
      <c r="C57" s="18"/>
      <c r="D57" s="18"/>
      <c r="E57" s="18"/>
      <c r="F57" s="18"/>
      <c r="G57" s="19" t="str">
        <f ca="1">IF($A57="","",IF($I57="X",A57,CONCATENATE(VLOOKUP(A57,Competitors!$A$2:$I$650,3, FALSE)," ",VLOOKUP(A57,Competitors!$A$2:$I$650,2,FALSE))))</f>
        <v/>
      </c>
      <c r="H57" s="20">
        <f t="shared" si="1"/>
        <v>0</v>
      </c>
      <c r="I57" t="str">
        <f t="shared" ca="1" si="2"/>
        <v/>
      </c>
      <c r="J57" s="40" t="s">
        <v>173</v>
      </c>
    </row>
    <row r="58" spans="1:10" ht="14.25" x14ac:dyDescent="0.15">
      <c r="A58" s="17" t="str">
        <f t="shared" ca="1" si="3"/>
        <v/>
      </c>
      <c r="B58" s="17"/>
      <c r="C58" s="18"/>
      <c r="D58" s="18"/>
      <c r="E58" s="18"/>
      <c r="F58" s="18"/>
      <c r="G58" s="19" t="str">
        <f ca="1">IF($A58="","",IF($I58="X",A58,CONCATENATE(VLOOKUP(A58,Competitors!$A$2:$I$650,3, FALSE)," ",VLOOKUP(A58,Competitors!$A$2:$I$650,2,FALSE))))</f>
        <v/>
      </c>
      <c r="H58" s="20">
        <f t="shared" si="1"/>
        <v>0</v>
      </c>
      <c r="I58" t="str">
        <f t="shared" ca="1" si="2"/>
        <v/>
      </c>
      <c r="J58" s="40" t="s">
        <v>173</v>
      </c>
    </row>
    <row r="59" spans="1:10" ht="14.25" x14ac:dyDescent="0.15">
      <c r="A59" s="17" t="str">
        <f t="shared" ca="1" si="3"/>
        <v/>
      </c>
      <c r="B59" s="17"/>
      <c r="C59" s="18"/>
      <c r="D59" s="18"/>
      <c r="E59" s="18"/>
      <c r="F59" s="18"/>
      <c r="G59" s="19" t="str">
        <f ca="1">IF($A59="","",IF($I59="X",A59,CONCATENATE(VLOOKUP(A59,Competitors!$A$2:$I$650,3, FALSE)," ",VLOOKUP(A59,Competitors!$A$2:$I$650,2,FALSE))))</f>
        <v/>
      </c>
      <c r="H59" s="20">
        <f t="shared" si="1"/>
        <v>0</v>
      </c>
      <c r="I59" t="str">
        <f t="shared" ca="1" si="2"/>
        <v/>
      </c>
      <c r="J59" s="40" t="s">
        <v>173</v>
      </c>
    </row>
    <row r="60" spans="1:10" ht="14.25" x14ac:dyDescent="0.15">
      <c r="A60" s="17" t="str">
        <f t="shared" ca="1" si="3"/>
        <v/>
      </c>
      <c r="B60" s="17"/>
      <c r="C60" s="18"/>
      <c r="D60" s="18"/>
      <c r="E60" s="18"/>
      <c r="F60" s="18"/>
      <c r="G60" s="19" t="str">
        <f ca="1">IF($A60="","",IF($I60="X",A60,CONCATENATE(VLOOKUP(A60,Competitors!$A$2:$I$650,3, FALSE)," ",VLOOKUP(A60,Competitors!$A$2:$I$650,2,FALSE))))</f>
        <v/>
      </c>
      <c r="H60" s="20">
        <f t="shared" si="1"/>
        <v>0</v>
      </c>
      <c r="I60" t="str">
        <f t="shared" ca="1" si="2"/>
        <v/>
      </c>
      <c r="J60" s="40" t="s">
        <v>173</v>
      </c>
    </row>
    <row r="61" spans="1:10" ht="14.25" x14ac:dyDescent="0.15">
      <c r="A61" s="17" t="str">
        <f t="shared" ca="1" si="3"/>
        <v/>
      </c>
      <c r="B61" s="17"/>
      <c r="C61" s="18"/>
      <c r="D61" s="18"/>
      <c r="E61" s="18"/>
      <c r="F61" s="18"/>
      <c r="G61" s="19" t="str">
        <f ca="1">IF($A61="","",IF($I61="X",A61,CONCATENATE(VLOOKUP(A61,Competitors!$A$2:$I$650,3, FALSE)," ",VLOOKUP(A61,Competitors!$A$2:$I$650,2,FALSE))))</f>
        <v/>
      </c>
      <c r="H61" s="20">
        <f t="shared" si="1"/>
        <v>0</v>
      </c>
      <c r="I61" t="str">
        <f t="shared" ca="1" si="2"/>
        <v/>
      </c>
      <c r="J61" s="40" t="s">
        <v>173</v>
      </c>
    </row>
    <row r="62" spans="1:10" ht="14.25" x14ac:dyDescent="0.15">
      <c r="A62" s="17" t="str">
        <f t="shared" ca="1" si="3"/>
        <v/>
      </c>
      <c r="B62" s="17"/>
      <c r="C62" s="18"/>
      <c r="D62" s="18"/>
      <c r="E62" s="18"/>
      <c r="F62" s="18"/>
      <c r="G62" s="19" t="str">
        <f ca="1">IF($A62="","",IF($I62="X",A62,CONCATENATE(VLOOKUP(A62,Competitors!$A$2:$I$650,3, FALSE)," ",VLOOKUP(A62,Competitors!$A$2:$I$650,2,FALSE))))</f>
        <v/>
      </c>
      <c r="H62" s="20">
        <f t="shared" si="1"/>
        <v>0</v>
      </c>
      <c r="I62" t="str">
        <f t="shared" ca="1" si="2"/>
        <v/>
      </c>
      <c r="J62" s="40" t="s">
        <v>173</v>
      </c>
    </row>
    <row r="63" spans="1:10" ht="14.25" x14ac:dyDescent="0.15">
      <c r="A63" s="17" t="str">
        <f t="shared" ca="1" si="3"/>
        <v/>
      </c>
      <c r="B63" s="17"/>
      <c r="C63" s="18"/>
      <c r="D63" s="18"/>
      <c r="E63" s="18"/>
      <c r="F63" s="18"/>
      <c r="G63" s="19" t="str">
        <f ca="1">IF($A63="","",IF($I63="X",A63,CONCATENATE(VLOOKUP(A63,Competitors!$A$2:$I$650,3, FALSE)," ",VLOOKUP(A63,Competitors!$A$2:$I$650,2,FALSE))))</f>
        <v/>
      </c>
      <c r="H63" s="20">
        <f t="shared" si="1"/>
        <v>0</v>
      </c>
      <c r="I63" t="str">
        <f t="shared" ca="1" si="2"/>
        <v/>
      </c>
      <c r="J63" s="40" t="s">
        <v>173</v>
      </c>
    </row>
    <row r="64" spans="1:10" ht="14.25" x14ac:dyDescent="0.15">
      <c r="A64" s="17" t="str">
        <f t="shared" ca="1" si="3"/>
        <v/>
      </c>
      <c r="B64" s="17"/>
      <c r="C64" s="18"/>
      <c r="D64" s="18"/>
      <c r="E64" s="18"/>
      <c r="F64" s="18"/>
      <c r="G64" s="19" t="str">
        <f ca="1">IF($A64="","",IF($I64="X",A64,CONCATENATE(VLOOKUP(A64,Competitors!$A$2:$I$650,3, FALSE)," ",VLOOKUP(A64,Competitors!$A$2:$I$650,2,FALSE))))</f>
        <v/>
      </c>
      <c r="H64" s="20">
        <f t="shared" si="1"/>
        <v>0</v>
      </c>
      <c r="I64" t="str">
        <f t="shared" ca="1" si="2"/>
        <v/>
      </c>
      <c r="J64" s="40" t="s">
        <v>173</v>
      </c>
    </row>
    <row r="65" spans="1:10" ht="14.25" x14ac:dyDescent="0.15">
      <c r="A65" s="17" t="str">
        <f t="shared" ca="1" si="3"/>
        <v/>
      </c>
      <c r="B65" s="17"/>
      <c r="C65" s="18"/>
      <c r="D65" s="18"/>
      <c r="E65" s="18"/>
      <c r="F65" s="18"/>
      <c r="G65" s="19" t="str">
        <f ca="1">IF($A65="","",IF($I65="X",A65,CONCATENATE(VLOOKUP(A65,Competitors!$A$2:$I$650,3, FALSE)," ",VLOOKUP(A65,Competitors!$A$2:$I$650,2,FALSE))))</f>
        <v/>
      </c>
      <c r="H65" s="20">
        <f t="shared" si="1"/>
        <v>0</v>
      </c>
      <c r="I65" t="str">
        <f t="shared" ca="1" si="2"/>
        <v/>
      </c>
      <c r="J65" s="40" t="s">
        <v>173</v>
      </c>
    </row>
    <row r="66" spans="1:10" ht="14.25" x14ac:dyDescent="0.15">
      <c r="A66" s="17" t="str">
        <f t="shared" ref="A66:A101" ca="1" si="4">IF(J66="","",_xlfn.XLOOKUP(J66,ClubNames,ClubNumbers,_xlfn.XLOOKUP(J66,RoundRobinRiderNames,RoundRobinRiderDecoratedNames,J66)))</f>
        <v/>
      </c>
      <c r="B66" s="17"/>
      <c r="C66" s="18"/>
      <c r="D66" s="18"/>
      <c r="E66" s="18"/>
      <c r="F66" s="18"/>
      <c r="G66" s="19" t="str">
        <f ca="1">IF($A66="","",IF($I66="X",A66,CONCATENATE(VLOOKUP(A66,Competitors!$A$2:$I$650,3, FALSE)," ",VLOOKUP(A66,Competitors!$A$2:$I$650,2,FALSE))))</f>
        <v/>
      </c>
      <c r="H66" s="20">
        <f t="shared" si="1"/>
        <v>0</v>
      </c>
      <c r="I66" t="str">
        <f t="shared" ca="1" si="2"/>
        <v/>
      </c>
      <c r="J66" s="40" t="s">
        <v>173</v>
      </c>
    </row>
    <row r="67" spans="1:10" ht="14.25" x14ac:dyDescent="0.15">
      <c r="A67" s="17" t="str">
        <f t="shared" ca="1" si="4"/>
        <v/>
      </c>
      <c r="B67" s="17"/>
      <c r="C67" s="18"/>
      <c r="D67" s="18"/>
      <c r="E67" s="18"/>
      <c r="F67" s="18"/>
      <c r="G67" s="19" t="str">
        <f ca="1">IF($A67="","",IF($I67="X",A67,CONCATENATE(VLOOKUP(A67,Competitors!$A$2:$I$650,3, FALSE)," ",VLOOKUP(A67,Competitors!$A$2:$I$650,2,FALSE))))</f>
        <v/>
      </c>
      <c r="H67" s="20">
        <f t="shared" ref="H67:H101" si="5">IF(LEFT($E67,1)="D",UPPER($E67),(B67*3600+C67*60+D67)/86400)</f>
        <v>0</v>
      </c>
      <c r="I67" t="str">
        <f t="shared" ref="I67:I101" ca="1" si="6">IF(OR(A67="",ISNUMBER(A67)),"","X")</f>
        <v/>
      </c>
      <c r="J67" s="40" t="s">
        <v>173</v>
      </c>
    </row>
    <row r="68" spans="1:10" ht="14.25" x14ac:dyDescent="0.15">
      <c r="A68" s="17" t="str">
        <f t="shared" ca="1" si="4"/>
        <v/>
      </c>
      <c r="B68" s="17"/>
      <c r="C68" s="18"/>
      <c r="D68" s="18"/>
      <c r="E68" s="18"/>
      <c r="F68" s="18"/>
      <c r="G68" s="19" t="str">
        <f ca="1">IF($A68="","",IF($I68="X",A68,CONCATENATE(VLOOKUP(A68,Competitors!$A$2:$I$650,3, FALSE)," ",VLOOKUP(A68,Competitors!$A$2:$I$650,2,FALSE))))</f>
        <v/>
      </c>
      <c r="H68" s="20">
        <f t="shared" si="5"/>
        <v>0</v>
      </c>
      <c r="I68" t="str">
        <f t="shared" ca="1" si="6"/>
        <v/>
      </c>
      <c r="J68" s="40" t="s">
        <v>173</v>
      </c>
    </row>
    <row r="69" spans="1:10" ht="14.25" x14ac:dyDescent="0.15">
      <c r="A69" s="17" t="str">
        <f t="shared" ca="1" si="4"/>
        <v/>
      </c>
      <c r="B69" s="17"/>
      <c r="C69" s="18"/>
      <c r="D69" s="18"/>
      <c r="E69" s="18"/>
      <c r="F69" s="18"/>
      <c r="G69" s="19" t="str">
        <f ca="1">IF($A69="","",IF($I69="X",A69,CONCATENATE(VLOOKUP(A69,Competitors!$A$2:$I$650,3, FALSE)," ",VLOOKUP(A69,Competitors!$A$2:$I$650,2,FALSE))))</f>
        <v/>
      </c>
      <c r="H69" s="20">
        <f t="shared" si="5"/>
        <v>0</v>
      </c>
      <c r="I69" t="str">
        <f t="shared" ca="1" si="6"/>
        <v/>
      </c>
      <c r="J69" s="40" t="s">
        <v>173</v>
      </c>
    </row>
    <row r="70" spans="1:10" ht="14.25" x14ac:dyDescent="0.15">
      <c r="A70" s="17" t="str">
        <f t="shared" ca="1" si="4"/>
        <v/>
      </c>
      <c r="B70" s="17"/>
      <c r="C70" s="18"/>
      <c r="D70" s="18"/>
      <c r="E70" s="18"/>
      <c r="F70" s="18"/>
      <c r="G70" s="19" t="str">
        <f ca="1">IF($A70="","",IF($I70="X",A70,CONCATENATE(VLOOKUP(A70,Competitors!$A$2:$I$650,3, FALSE)," ",VLOOKUP(A70,Competitors!$A$2:$I$650,2,FALSE))))</f>
        <v/>
      </c>
      <c r="H70" s="20">
        <f t="shared" si="5"/>
        <v>0</v>
      </c>
      <c r="I70" t="str">
        <f t="shared" ca="1" si="6"/>
        <v/>
      </c>
      <c r="J70" s="40" t="s">
        <v>173</v>
      </c>
    </row>
    <row r="71" spans="1:10" ht="14.25" x14ac:dyDescent="0.15">
      <c r="A71" s="17" t="str">
        <f t="shared" ca="1" si="4"/>
        <v/>
      </c>
      <c r="B71" s="17"/>
      <c r="C71" s="18"/>
      <c r="D71" s="18"/>
      <c r="E71" s="18"/>
      <c r="F71" s="18"/>
      <c r="G71" s="19" t="str">
        <f ca="1">IF($A71="","",IF($I71="X",A71,CONCATENATE(VLOOKUP(A71,Competitors!$A$2:$I$650,3, FALSE)," ",VLOOKUP(A71,Competitors!$A$2:$I$650,2,FALSE))))</f>
        <v/>
      </c>
      <c r="H71" s="20">
        <f t="shared" si="5"/>
        <v>0</v>
      </c>
      <c r="I71" t="str">
        <f t="shared" ca="1" si="6"/>
        <v/>
      </c>
      <c r="J71" s="40" t="s">
        <v>173</v>
      </c>
    </row>
    <row r="72" spans="1:10" ht="14.25" x14ac:dyDescent="0.15">
      <c r="A72" s="17" t="str">
        <f t="shared" ca="1" si="4"/>
        <v/>
      </c>
      <c r="B72" s="17"/>
      <c r="C72" s="18"/>
      <c r="D72" s="18"/>
      <c r="E72" s="18"/>
      <c r="F72" s="18"/>
      <c r="G72" s="19" t="str">
        <f ca="1">IF($A72="","",IF($I72="X",A72,CONCATENATE(VLOOKUP(A72,Competitors!$A$2:$I$650,3, FALSE)," ",VLOOKUP(A72,Competitors!$A$2:$I$650,2,FALSE))))</f>
        <v/>
      </c>
      <c r="H72" s="20">
        <f t="shared" si="5"/>
        <v>0</v>
      </c>
      <c r="I72" t="str">
        <f t="shared" ca="1" si="6"/>
        <v/>
      </c>
      <c r="J72" s="40" t="s">
        <v>173</v>
      </c>
    </row>
    <row r="73" spans="1:10" ht="14.25" x14ac:dyDescent="0.15">
      <c r="A73" s="17" t="str">
        <f t="shared" ca="1" si="4"/>
        <v/>
      </c>
      <c r="B73" s="17"/>
      <c r="C73" s="18"/>
      <c r="D73" s="18"/>
      <c r="E73" s="18"/>
      <c r="F73" s="18"/>
      <c r="G73" s="19" t="str">
        <f ca="1">IF($A73="","",IF($I73="X",A73,CONCATENATE(VLOOKUP(A73,Competitors!$A$2:$I$650,3, FALSE)," ",VLOOKUP(A73,Competitors!$A$2:$I$650,2,FALSE))))</f>
        <v/>
      </c>
      <c r="H73" s="20">
        <f t="shared" si="5"/>
        <v>0</v>
      </c>
      <c r="I73" t="str">
        <f t="shared" ca="1" si="6"/>
        <v/>
      </c>
      <c r="J73" s="40" t="s">
        <v>173</v>
      </c>
    </row>
    <row r="74" spans="1:10" ht="14.25" x14ac:dyDescent="0.15">
      <c r="A74" s="17" t="str">
        <f t="shared" ca="1" si="4"/>
        <v/>
      </c>
      <c r="B74" s="17"/>
      <c r="C74" s="18"/>
      <c r="D74" s="18"/>
      <c r="E74" s="18"/>
      <c r="F74" s="18"/>
      <c r="G74" s="19" t="str">
        <f ca="1">IF($A74="","",IF($I74="X",A74,CONCATENATE(VLOOKUP(A74,Competitors!$A$2:$I$650,3, FALSE)," ",VLOOKUP(A74,Competitors!$A$2:$I$650,2,FALSE))))</f>
        <v/>
      </c>
      <c r="H74" s="20">
        <f t="shared" si="5"/>
        <v>0</v>
      </c>
      <c r="I74" t="str">
        <f t="shared" ca="1" si="6"/>
        <v/>
      </c>
      <c r="J74" s="40" t="s">
        <v>173</v>
      </c>
    </row>
    <row r="75" spans="1:10" ht="14.25" x14ac:dyDescent="0.15">
      <c r="A75" s="17" t="str">
        <f t="shared" ca="1" si="4"/>
        <v/>
      </c>
      <c r="B75" s="17"/>
      <c r="C75" s="18"/>
      <c r="D75" s="18"/>
      <c r="E75" s="18"/>
      <c r="F75" s="18"/>
      <c r="G75" s="19" t="str">
        <f ca="1">IF($A75="","",IF($I75="X",A75,CONCATENATE(VLOOKUP(A75,Competitors!$A$2:$I$650,3, FALSE)," ",VLOOKUP(A75,Competitors!$A$2:$I$650,2,FALSE))))</f>
        <v/>
      </c>
      <c r="H75" s="20">
        <f t="shared" si="5"/>
        <v>0</v>
      </c>
      <c r="I75" t="str">
        <f t="shared" ca="1" si="6"/>
        <v/>
      </c>
      <c r="J75" s="40" t="s">
        <v>173</v>
      </c>
    </row>
    <row r="76" spans="1:10" ht="14.25" x14ac:dyDescent="0.15">
      <c r="A76" s="17" t="str">
        <f t="shared" ca="1" si="4"/>
        <v/>
      </c>
      <c r="B76" s="17"/>
      <c r="C76" s="18"/>
      <c r="D76" s="18"/>
      <c r="E76" s="18"/>
      <c r="F76" s="18"/>
      <c r="G76" s="19" t="str">
        <f ca="1">IF($A76="","",IF($I76="X",A76,CONCATENATE(VLOOKUP(A76,Competitors!$A$2:$I$650,3, FALSE)," ",VLOOKUP(A76,Competitors!$A$2:$I$650,2,FALSE))))</f>
        <v/>
      </c>
      <c r="H76" s="20">
        <f t="shared" si="5"/>
        <v>0</v>
      </c>
      <c r="I76" t="str">
        <f t="shared" ca="1" si="6"/>
        <v/>
      </c>
      <c r="J76" s="40" t="s">
        <v>173</v>
      </c>
    </row>
    <row r="77" spans="1:10" ht="14.25" x14ac:dyDescent="0.15">
      <c r="A77" s="17" t="str">
        <f t="shared" ca="1" si="4"/>
        <v/>
      </c>
      <c r="B77" s="17"/>
      <c r="C77" s="18"/>
      <c r="D77" s="18"/>
      <c r="E77" s="18"/>
      <c r="F77" s="18"/>
      <c r="G77" s="19" t="str">
        <f ca="1">IF($A77="","",IF($I77="X",A77,CONCATENATE(VLOOKUP(A77,Competitors!$A$2:$I$650,3, FALSE)," ",VLOOKUP(A77,Competitors!$A$2:$I$650,2,FALSE))))</f>
        <v/>
      </c>
      <c r="H77" s="20">
        <f t="shared" si="5"/>
        <v>0</v>
      </c>
      <c r="I77" t="str">
        <f t="shared" ca="1" si="6"/>
        <v/>
      </c>
      <c r="J77" s="40" t="s">
        <v>173</v>
      </c>
    </row>
    <row r="78" spans="1:10" ht="14.25" x14ac:dyDescent="0.15">
      <c r="A78" s="17" t="str">
        <f t="shared" ca="1" si="4"/>
        <v/>
      </c>
      <c r="B78" s="17"/>
      <c r="C78" s="18"/>
      <c r="D78" s="18"/>
      <c r="E78" s="18"/>
      <c r="F78" s="18"/>
      <c r="G78" s="19" t="str">
        <f ca="1">IF($A78="","",IF($I78="X",A78,CONCATENATE(VLOOKUP(A78,Competitors!$A$2:$I$650,3, FALSE)," ",VLOOKUP(A78,Competitors!$A$2:$I$650,2,FALSE))))</f>
        <v/>
      </c>
      <c r="H78" s="20">
        <f t="shared" si="5"/>
        <v>0</v>
      </c>
      <c r="I78" t="str">
        <f t="shared" ca="1" si="6"/>
        <v/>
      </c>
      <c r="J78" s="40" t="s">
        <v>173</v>
      </c>
    </row>
    <row r="79" spans="1:10" ht="14.25" x14ac:dyDescent="0.15">
      <c r="A79" s="17" t="str">
        <f t="shared" ca="1" si="4"/>
        <v/>
      </c>
      <c r="B79" s="17"/>
      <c r="C79" s="18"/>
      <c r="D79" s="18"/>
      <c r="E79" s="18"/>
      <c r="F79" s="18"/>
      <c r="G79" s="19" t="str">
        <f ca="1">IF($A79="","",IF($I79="X",A79,CONCATENATE(VLOOKUP(A79,Competitors!$A$2:$I$650,3, FALSE)," ",VLOOKUP(A79,Competitors!$A$2:$I$650,2,FALSE))))</f>
        <v/>
      </c>
      <c r="H79" s="20">
        <f t="shared" si="5"/>
        <v>0</v>
      </c>
      <c r="I79" t="str">
        <f t="shared" ca="1" si="6"/>
        <v/>
      </c>
      <c r="J79" s="40" t="s">
        <v>173</v>
      </c>
    </row>
    <row r="80" spans="1:10" ht="14.25" x14ac:dyDescent="0.15">
      <c r="A80" s="17" t="str">
        <f t="shared" ca="1" si="4"/>
        <v/>
      </c>
      <c r="B80" s="17"/>
      <c r="C80" s="18"/>
      <c r="D80" s="18"/>
      <c r="E80" s="18"/>
      <c r="F80" s="18"/>
      <c r="G80" s="19" t="str">
        <f ca="1">IF($A80="","",IF($I80="X",A80,CONCATENATE(VLOOKUP(A80,Competitors!$A$2:$I$650,3, FALSE)," ",VLOOKUP(A80,Competitors!$A$2:$I$650,2,FALSE))))</f>
        <v/>
      </c>
      <c r="H80" s="20">
        <f t="shared" si="5"/>
        <v>0</v>
      </c>
      <c r="I80" t="str">
        <f t="shared" ca="1" si="6"/>
        <v/>
      </c>
      <c r="J80" s="40" t="s">
        <v>173</v>
      </c>
    </row>
    <row r="81" spans="1:10" ht="14.25" x14ac:dyDescent="0.15">
      <c r="A81" s="17" t="str">
        <f t="shared" ca="1" si="4"/>
        <v/>
      </c>
      <c r="B81" s="17"/>
      <c r="C81" s="18"/>
      <c r="D81" s="18"/>
      <c r="E81" s="18"/>
      <c r="F81" s="18"/>
      <c r="G81" s="19" t="str">
        <f ca="1">IF($A81="","",IF($I81="X",A81,CONCATENATE(VLOOKUP(A81,Competitors!$A$2:$I$650,3, FALSE)," ",VLOOKUP(A81,Competitors!$A$2:$I$650,2,FALSE))))</f>
        <v/>
      </c>
      <c r="H81" s="20">
        <f t="shared" si="5"/>
        <v>0</v>
      </c>
      <c r="I81" t="str">
        <f t="shared" ca="1" si="6"/>
        <v/>
      </c>
      <c r="J81" s="40" t="s">
        <v>173</v>
      </c>
    </row>
    <row r="82" spans="1:10" ht="14.25" x14ac:dyDescent="0.15">
      <c r="A82" s="17" t="str">
        <f t="shared" ca="1" si="4"/>
        <v/>
      </c>
      <c r="B82" s="17"/>
      <c r="C82" s="18"/>
      <c r="D82" s="18"/>
      <c r="E82" s="18"/>
      <c r="F82" s="18"/>
      <c r="G82" s="19" t="str">
        <f ca="1">IF($A82="","",IF($I82="X",A82,CONCATENATE(VLOOKUP(A82,Competitors!$A$2:$I$650,3, FALSE)," ",VLOOKUP(A82,Competitors!$A$2:$I$650,2,FALSE))))</f>
        <v/>
      </c>
      <c r="H82" s="20">
        <f t="shared" si="5"/>
        <v>0</v>
      </c>
      <c r="I82" t="str">
        <f t="shared" ca="1" si="6"/>
        <v/>
      </c>
      <c r="J82" s="40" t="s">
        <v>173</v>
      </c>
    </row>
    <row r="83" spans="1:10" ht="14.25" x14ac:dyDescent="0.15">
      <c r="A83" s="17" t="str">
        <f t="shared" ca="1" si="4"/>
        <v/>
      </c>
      <c r="B83" s="17"/>
      <c r="C83" s="18"/>
      <c r="D83" s="18"/>
      <c r="E83" s="18"/>
      <c r="F83" s="18"/>
      <c r="G83" s="19" t="str">
        <f ca="1">IF($A83="","",IF($I83="X",A83,CONCATENATE(VLOOKUP(A83,Competitors!$A$2:$I$650,3, FALSE)," ",VLOOKUP(A83,Competitors!$A$2:$I$650,2,FALSE))))</f>
        <v/>
      </c>
      <c r="H83" s="20">
        <f t="shared" si="5"/>
        <v>0</v>
      </c>
      <c r="I83" t="str">
        <f t="shared" ca="1" si="6"/>
        <v/>
      </c>
      <c r="J83" s="40" t="s">
        <v>173</v>
      </c>
    </row>
    <row r="84" spans="1:10" ht="14.25" x14ac:dyDescent="0.15">
      <c r="A84" s="17" t="str">
        <f t="shared" ca="1" si="4"/>
        <v/>
      </c>
      <c r="B84" s="17"/>
      <c r="C84" s="18"/>
      <c r="D84" s="18"/>
      <c r="E84" s="18"/>
      <c r="F84" s="18"/>
      <c r="G84" s="19" t="str">
        <f ca="1">IF($A84="","",IF($I84="X",A84,CONCATENATE(VLOOKUP(A84,Competitors!$A$2:$I$650,3, FALSE)," ",VLOOKUP(A84,Competitors!$A$2:$I$650,2,FALSE))))</f>
        <v/>
      </c>
      <c r="H84" s="20">
        <f t="shared" si="5"/>
        <v>0</v>
      </c>
      <c r="I84" t="str">
        <f t="shared" ca="1" si="6"/>
        <v/>
      </c>
      <c r="J84" s="40" t="s">
        <v>173</v>
      </c>
    </row>
    <row r="85" spans="1:10" ht="14.25" x14ac:dyDescent="0.15">
      <c r="A85" s="17" t="str">
        <f t="shared" ca="1" si="4"/>
        <v/>
      </c>
      <c r="B85" s="17"/>
      <c r="C85" s="18"/>
      <c r="D85" s="18"/>
      <c r="E85" s="18"/>
      <c r="F85" s="18"/>
      <c r="G85" s="19" t="str">
        <f ca="1">IF($A85="","",IF($I85="X",A85,CONCATENATE(VLOOKUP(A85,Competitors!$A$2:$I$650,3, FALSE)," ",VLOOKUP(A85,Competitors!$A$2:$I$650,2,FALSE))))</f>
        <v/>
      </c>
      <c r="H85" s="20">
        <f t="shared" si="5"/>
        <v>0</v>
      </c>
      <c r="I85" t="str">
        <f t="shared" ca="1" si="6"/>
        <v/>
      </c>
      <c r="J85" s="40" t="s">
        <v>173</v>
      </c>
    </row>
    <row r="86" spans="1:10" ht="14.25" x14ac:dyDescent="0.15">
      <c r="A86" s="17" t="str">
        <f t="shared" ca="1" si="4"/>
        <v/>
      </c>
      <c r="B86" s="17"/>
      <c r="C86" s="18"/>
      <c r="D86" s="18"/>
      <c r="E86" s="18"/>
      <c r="F86" s="18"/>
      <c r="G86" s="19" t="str">
        <f ca="1">IF($A86="","",IF($I86="X",A86,CONCATENATE(VLOOKUP(A86,Competitors!$A$2:$I$650,3, FALSE)," ",VLOOKUP(A86,Competitors!$A$2:$I$650,2,FALSE))))</f>
        <v/>
      </c>
      <c r="H86" s="20">
        <f t="shared" si="5"/>
        <v>0</v>
      </c>
      <c r="I86" t="str">
        <f t="shared" ca="1" si="6"/>
        <v/>
      </c>
      <c r="J86" s="40" t="s">
        <v>173</v>
      </c>
    </row>
    <row r="87" spans="1:10" ht="14.25" x14ac:dyDescent="0.15">
      <c r="A87" s="17" t="str">
        <f t="shared" ca="1" si="4"/>
        <v/>
      </c>
      <c r="B87" s="17"/>
      <c r="C87" s="18"/>
      <c r="D87" s="18"/>
      <c r="E87" s="18"/>
      <c r="F87" s="18"/>
      <c r="G87" s="19" t="str">
        <f ca="1">IF($A87="","",IF($I87="X",A87,CONCATENATE(VLOOKUP(A87,Competitors!$A$2:$I$650,3, FALSE)," ",VLOOKUP(A87,Competitors!$A$2:$I$650,2,FALSE))))</f>
        <v/>
      </c>
      <c r="H87" s="20">
        <f t="shared" si="5"/>
        <v>0</v>
      </c>
      <c r="I87" t="str">
        <f t="shared" ca="1" si="6"/>
        <v/>
      </c>
      <c r="J87" s="40" t="s">
        <v>173</v>
      </c>
    </row>
    <row r="88" spans="1:10" ht="14.25" x14ac:dyDescent="0.15">
      <c r="A88" s="17" t="str">
        <f t="shared" ca="1" si="4"/>
        <v/>
      </c>
      <c r="B88" s="17"/>
      <c r="C88" s="18"/>
      <c r="D88" s="18"/>
      <c r="E88" s="18"/>
      <c r="F88" s="18"/>
      <c r="G88" s="19" t="str">
        <f ca="1">IF($A88="","",IF($I88="X",A88,CONCATENATE(VLOOKUP(A88,Competitors!$A$2:$I$650,3, FALSE)," ",VLOOKUP(A88,Competitors!$A$2:$I$650,2,FALSE))))</f>
        <v/>
      </c>
      <c r="H88" s="20">
        <f t="shared" si="5"/>
        <v>0</v>
      </c>
      <c r="I88" t="str">
        <f t="shared" ca="1" si="6"/>
        <v/>
      </c>
      <c r="J88" s="40" t="s">
        <v>173</v>
      </c>
    </row>
    <row r="89" spans="1:10" ht="14.25" x14ac:dyDescent="0.15">
      <c r="A89" s="17" t="str">
        <f t="shared" ca="1" si="4"/>
        <v/>
      </c>
      <c r="B89" s="17"/>
      <c r="C89" s="18"/>
      <c r="D89" s="18"/>
      <c r="E89" s="18"/>
      <c r="F89" s="18"/>
      <c r="G89" s="19" t="str">
        <f ca="1">IF($A89="","",IF($I89="X",A89,CONCATENATE(VLOOKUP(A89,Competitors!$A$2:$I$650,3, FALSE)," ",VLOOKUP(A89,Competitors!$A$2:$I$650,2,FALSE))))</f>
        <v/>
      </c>
      <c r="H89" s="20">
        <f t="shared" si="5"/>
        <v>0</v>
      </c>
      <c r="I89" t="str">
        <f t="shared" ca="1" si="6"/>
        <v/>
      </c>
      <c r="J89" s="40" t="s">
        <v>173</v>
      </c>
    </row>
    <row r="90" spans="1:10" ht="14.25" x14ac:dyDescent="0.15">
      <c r="A90" s="17" t="str">
        <f t="shared" ca="1" si="4"/>
        <v/>
      </c>
      <c r="B90" s="17"/>
      <c r="C90" s="18"/>
      <c r="D90" s="18"/>
      <c r="E90" s="18"/>
      <c r="F90" s="18"/>
      <c r="G90" s="19" t="str">
        <f ca="1">IF($A90="","",IF($I90="X",A90,CONCATENATE(VLOOKUP(A90,Competitors!$A$2:$I$650,3, FALSE)," ",VLOOKUP(A90,Competitors!$A$2:$I$650,2,FALSE))))</f>
        <v/>
      </c>
      <c r="H90" s="20">
        <f t="shared" si="5"/>
        <v>0</v>
      </c>
      <c r="I90" t="str">
        <f t="shared" ca="1" si="6"/>
        <v/>
      </c>
      <c r="J90" s="40" t="s">
        <v>173</v>
      </c>
    </row>
    <row r="91" spans="1:10" ht="14.25" x14ac:dyDescent="0.15">
      <c r="A91" s="17" t="str">
        <f t="shared" ca="1" si="4"/>
        <v/>
      </c>
      <c r="B91" s="17"/>
      <c r="C91" s="18"/>
      <c r="D91" s="18"/>
      <c r="E91" s="18"/>
      <c r="F91" s="18"/>
      <c r="G91" s="19" t="str">
        <f ca="1">IF($A91="","",IF($I91="X",A91,CONCATENATE(VLOOKUP(A91,Competitors!$A$2:$I$650,3, FALSE)," ",VLOOKUP(A91,Competitors!$A$2:$I$650,2,FALSE))))</f>
        <v/>
      </c>
      <c r="H91" s="20">
        <f t="shared" si="5"/>
        <v>0</v>
      </c>
      <c r="I91" t="str">
        <f t="shared" ca="1" si="6"/>
        <v/>
      </c>
      <c r="J91" s="40" t="s">
        <v>173</v>
      </c>
    </row>
    <row r="92" spans="1:10" ht="14.25" x14ac:dyDescent="0.15">
      <c r="A92" s="17" t="str">
        <f t="shared" ca="1" si="4"/>
        <v/>
      </c>
      <c r="B92" s="17"/>
      <c r="C92" s="18"/>
      <c r="D92" s="18"/>
      <c r="E92" s="18"/>
      <c r="F92" s="18"/>
      <c r="G92" s="19" t="str">
        <f ca="1">IF($A92="","",IF($I92="X",A92,CONCATENATE(VLOOKUP(A92,Competitors!$A$2:$I$650,3, FALSE)," ",VLOOKUP(A92,Competitors!$A$2:$I$650,2,FALSE))))</f>
        <v/>
      </c>
      <c r="H92" s="20">
        <f t="shared" si="5"/>
        <v>0</v>
      </c>
      <c r="I92" t="str">
        <f t="shared" ca="1" si="6"/>
        <v/>
      </c>
      <c r="J92" s="40" t="s">
        <v>173</v>
      </c>
    </row>
    <row r="93" spans="1:10" ht="14.25" x14ac:dyDescent="0.15">
      <c r="A93" s="17" t="str">
        <f t="shared" ca="1" si="4"/>
        <v/>
      </c>
      <c r="B93" s="17"/>
      <c r="C93" s="18"/>
      <c r="D93" s="18"/>
      <c r="E93" s="18"/>
      <c r="F93" s="18"/>
      <c r="G93" s="19" t="str">
        <f ca="1">IF($A93="","",IF($I93="X",A93,CONCATENATE(VLOOKUP(A93,Competitors!$A$2:$I$650,3, FALSE)," ",VLOOKUP(A93,Competitors!$A$2:$I$650,2,FALSE))))</f>
        <v/>
      </c>
      <c r="H93" s="20">
        <f t="shared" si="5"/>
        <v>0</v>
      </c>
      <c r="I93" t="str">
        <f t="shared" ca="1" si="6"/>
        <v/>
      </c>
      <c r="J93" s="40" t="s">
        <v>173</v>
      </c>
    </row>
    <row r="94" spans="1:10" ht="14.25" x14ac:dyDescent="0.15">
      <c r="A94" s="17" t="str">
        <f t="shared" ca="1" si="4"/>
        <v/>
      </c>
      <c r="B94" s="17"/>
      <c r="C94" s="18"/>
      <c r="D94" s="18"/>
      <c r="E94" s="18"/>
      <c r="F94" s="18"/>
      <c r="G94" s="19" t="str">
        <f ca="1">IF($A94="","",IF($I94="X",A94,CONCATENATE(VLOOKUP(A94,Competitors!$A$2:$I$650,3, FALSE)," ",VLOOKUP(A94,Competitors!$A$2:$I$650,2,FALSE))))</f>
        <v/>
      </c>
      <c r="H94" s="20">
        <f t="shared" si="5"/>
        <v>0</v>
      </c>
      <c r="I94" t="str">
        <f t="shared" ca="1" si="6"/>
        <v/>
      </c>
      <c r="J94" s="40" t="s">
        <v>173</v>
      </c>
    </row>
    <row r="95" spans="1:10" ht="14.25" x14ac:dyDescent="0.15">
      <c r="A95" s="17" t="str">
        <f t="shared" ca="1" si="4"/>
        <v/>
      </c>
      <c r="B95" s="17"/>
      <c r="C95" s="18"/>
      <c r="D95" s="18"/>
      <c r="E95" s="18"/>
      <c r="F95" s="18"/>
      <c r="G95" s="19" t="str">
        <f ca="1">IF($A95="","",IF($I95="X",A95,CONCATENATE(VLOOKUP(A95,Competitors!$A$2:$I$650,3, FALSE)," ",VLOOKUP(A95,Competitors!$A$2:$I$650,2,FALSE))))</f>
        <v/>
      </c>
      <c r="H95" s="20">
        <f t="shared" si="5"/>
        <v>0</v>
      </c>
      <c r="I95" t="str">
        <f t="shared" ca="1" si="6"/>
        <v/>
      </c>
      <c r="J95" s="40" t="s">
        <v>173</v>
      </c>
    </row>
    <row r="96" spans="1:10" ht="14.25" x14ac:dyDescent="0.15">
      <c r="A96" s="17" t="str">
        <f t="shared" ca="1" si="4"/>
        <v/>
      </c>
      <c r="B96" s="17"/>
      <c r="C96" s="18"/>
      <c r="D96" s="18"/>
      <c r="E96" s="18"/>
      <c r="F96" s="18"/>
      <c r="G96" s="19" t="str">
        <f ca="1">IF($A96="","",IF($I96="X",A96,CONCATENATE(VLOOKUP(A96,Competitors!$A$2:$I$650,3, FALSE)," ",VLOOKUP(A96,Competitors!$A$2:$I$650,2,FALSE))))</f>
        <v/>
      </c>
      <c r="H96" s="20">
        <f t="shared" si="5"/>
        <v>0</v>
      </c>
      <c r="I96" t="str">
        <f t="shared" ca="1" si="6"/>
        <v/>
      </c>
      <c r="J96" s="40" t="s">
        <v>173</v>
      </c>
    </row>
    <row r="97" spans="1:10" ht="14.25" x14ac:dyDescent="0.15">
      <c r="A97" s="17" t="str">
        <f t="shared" ca="1" si="4"/>
        <v/>
      </c>
      <c r="B97" s="17"/>
      <c r="C97" s="18"/>
      <c r="D97" s="18"/>
      <c r="E97" s="18"/>
      <c r="F97" s="18"/>
      <c r="G97" s="19" t="str">
        <f ca="1">IF($A97="","",IF($I97="X",A97,CONCATENATE(VLOOKUP(A97,Competitors!$A$2:$I$650,3, FALSE)," ",VLOOKUP(A97,Competitors!$A$2:$I$650,2,FALSE))))</f>
        <v/>
      </c>
      <c r="H97" s="20">
        <f t="shared" si="5"/>
        <v>0</v>
      </c>
      <c r="I97" t="str">
        <f t="shared" ca="1" si="6"/>
        <v/>
      </c>
      <c r="J97" s="40" t="s">
        <v>173</v>
      </c>
    </row>
    <row r="98" spans="1:10" ht="14.25" x14ac:dyDescent="0.15">
      <c r="A98" s="17" t="str">
        <f t="shared" ca="1" si="4"/>
        <v/>
      </c>
      <c r="B98" s="17"/>
      <c r="C98" s="18"/>
      <c r="D98" s="18"/>
      <c r="E98" s="18"/>
      <c r="F98" s="18"/>
      <c r="G98" s="19" t="str">
        <f ca="1">IF($A98="","",IF($I98="X",A98,CONCATENATE(VLOOKUP(A98,Competitors!$A$2:$I$650,3, FALSE)," ",VLOOKUP(A98,Competitors!$A$2:$I$650,2,FALSE))))</f>
        <v/>
      </c>
      <c r="H98" s="20">
        <f t="shared" si="5"/>
        <v>0</v>
      </c>
      <c r="I98" t="str">
        <f t="shared" ca="1" si="6"/>
        <v/>
      </c>
      <c r="J98" s="40" t="s">
        <v>173</v>
      </c>
    </row>
    <row r="99" spans="1:10" ht="14.25" x14ac:dyDescent="0.15">
      <c r="A99" s="17" t="str">
        <f t="shared" ca="1" si="4"/>
        <v/>
      </c>
      <c r="B99" s="17"/>
      <c r="C99" s="18"/>
      <c r="D99" s="18"/>
      <c r="E99" s="18"/>
      <c r="F99" s="18"/>
      <c r="G99" s="19" t="str">
        <f ca="1">IF($A99="","",IF($I99="X",A99,CONCATENATE(VLOOKUP(A99,Competitors!$A$2:$I$650,3, FALSE)," ",VLOOKUP(A99,Competitors!$A$2:$I$650,2,FALSE))))</f>
        <v/>
      </c>
      <c r="H99" s="20">
        <f t="shared" si="5"/>
        <v>0</v>
      </c>
      <c r="I99" t="str">
        <f t="shared" ca="1" si="6"/>
        <v/>
      </c>
      <c r="J99" s="40" t="s">
        <v>173</v>
      </c>
    </row>
    <row r="100" spans="1:10" ht="14.25" x14ac:dyDescent="0.15">
      <c r="A100" s="17" t="str">
        <f t="shared" ca="1" si="4"/>
        <v/>
      </c>
      <c r="B100" s="17"/>
      <c r="C100" s="18"/>
      <c r="D100" s="18"/>
      <c r="E100" s="18"/>
      <c r="F100" s="18"/>
      <c r="G100" s="19" t="str">
        <f ca="1">IF($A100="","",IF($I100="X",A100,CONCATENATE(VLOOKUP(A100,Competitors!$A$2:$I$650,3, FALSE)," ",VLOOKUP(A100,Competitors!$A$2:$I$650,2,FALSE))))</f>
        <v/>
      </c>
      <c r="H100" s="20">
        <f t="shared" si="5"/>
        <v>0</v>
      </c>
      <c r="I100" t="str">
        <f t="shared" ca="1" si="6"/>
        <v/>
      </c>
      <c r="J100" s="40" t="s">
        <v>173</v>
      </c>
    </row>
    <row r="101" spans="1:10" ht="14.25" x14ac:dyDescent="0.15">
      <c r="A101" s="17" t="str">
        <f t="shared" ca="1" si="4"/>
        <v/>
      </c>
      <c r="B101" s="17"/>
      <c r="C101" s="18"/>
      <c r="D101" s="18"/>
      <c r="E101" s="18"/>
      <c r="F101" s="18"/>
      <c r="G101" s="19" t="str">
        <f ca="1">IF($A101="","",IF($I101="X",A101,CONCATENATE(VLOOKUP(A101,Competitors!$A$2:$I$650,3, FALSE)," ",VLOOKUP(A101,Competitors!$A$2:$I$650,2,FALSE))))</f>
        <v/>
      </c>
      <c r="H101" s="20">
        <f t="shared" si="5"/>
        <v>0</v>
      </c>
      <c r="I101" t="str">
        <f t="shared" ca="1" si="6"/>
        <v/>
      </c>
      <c r="J101" s="40" t="s">
        <v>173</v>
      </c>
    </row>
    <row r="102" spans="1:10" s="21" customFormat="1" x14ac:dyDescent="0.15">
      <c r="H102" s="22"/>
      <c r="J102"/>
    </row>
    <row r="103" spans="1:10" x14ac:dyDescent="0.15">
      <c r="A103" t="s">
        <v>576</v>
      </c>
      <c r="B103" t="e" cm="1">
        <f t="array" aca="1" ref="B103" ca="1">MID(CELL("filename",A1),FIND("]",CELL("filename",A1))+1,255)</f>
        <v>#VALUE!</v>
      </c>
    </row>
    <row r="104" spans="1:10" x14ac:dyDescent="0.15">
      <c r="A104" t="s">
        <v>577</v>
      </c>
      <c r="B104" t="e">
        <f ca="1">_xlfn.XLOOKUP(B103,Calendar!N:N,Calendar!H:H,"Event is not in calendar")</f>
        <v>#VALUE!</v>
      </c>
    </row>
  </sheetData>
  <conditionalFormatting sqref="D2:D101">
    <cfRule type="expression" dxfId="2" priority="1">
      <formula>TEXT($B$104,"@")="Y"</formula>
    </cfRule>
  </conditionalFormatting>
  <conditionalFormatting sqref="G2:H101">
    <cfRule type="expression" dxfId="1" priority="3">
      <formula>$I2="X"</formula>
    </cfRule>
  </conditionalFormatting>
  <conditionalFormatting sqref="H2:H101">
    <cfRule type="expression" dxfId="0" priority="2">
      <formula>TEXT($B$104,"@")="Y"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16</vt:i4>
      </vt:variant>
    </vt:vector>
  </HeadingPairs>
  <TitlesOfParts>
    <vt:vector size="48" baseType="lpstr">
      <vt:lpstr>Revisions</vt:lpstr>
      <vt:lpstr>Competitors</vt:lpstr>
      <vt:lpstr>NameLookup</vt:lpstr>
      <vt:lpstr>Calendar</vt:lpstr>
      <vt:lpstr>Leagues</vt:lpstr>
      <vt:lpstr>RoundRobinRiders</vt:lpstr>
      <vt:lpstr>Event_01</vt:lpstr>
      <vt:lpstr>Event_02</vt:lpstr>
      <vt:lpstr>Event_03</vt:lpstr>
      <vt:lpstr>Event_04</vt:lpstr>
      <vt:lpstr>Event_05</vt:lpstr>
      <vt:lpstr>Event_06</vt:lpstr>
      <vt:lpstr>Event_07</vt:lpstr>
      <vt:lpstr>Event_08</vt:lpstr>
      <vt:lpstr>Event_09</vt:lpstr>
      <vt:lpstr>Event_10</vt:lpstr>
      <vt:lpstr>Event_11</vt:lpstr>
      <vt:lpstr>Event_12</vt:lpstr>
      <vt:lpstr>Event_13</vt:lpstr>
      <vt:lpstr>Event_14</vt:lpstr>
      <vt:lpstr>Event_15</vt:lpstr>
      <vt:lpstr>Event_16</vt:lpstr>
      <vt:lpstr>Event_17</vt:lpstr>
      <vt:lpstr>Event_18</vt:lpstr>
      <vt:lpstr>Event_19</vt:lpstr>
      <vt:lpstr>Event_20</vt:lpstr>
      <vt:lpstr>Event_21</vt:lpstr>
      <vt:lpstr>Event_22</vt:lpstr>
      <vt:lpstr>Event_23</vt:lpstr>
      <vt:lpstr>Event_24</vt:lpstr>
      <vt:lpstr>Event_25</vt:lpstr>
      <vt:lpstr>Event_26</vt:lpstr>
      <vt:lpstr>Calendar</vt:lpstr>
      <vt:lpstr>CalendarEventNumbers</vt:lpstr>
      <vt:lpstr>ClubNames</vt:lpstr>
      <vt:lpstr>ClubNumbers</vt:lpstr>
      <vt:lpstr>MemberData</vt:lpstr>
      <vt:lpstr>NameToNumber</vt:lpstr>
      <vt:lpstr>NonTenEvents</vt:lpstr>
      <vt:lpstr>Number2Name</vt:lpstr>
      <vt:lpstr>RoundRobinNameToClub</vt:lpstr>
      <vt:lpstr>RoundRobinNameToClubRange</vt:lpstr>
      <vt:lpstr>RoundRobinRiderClubs</vt:lpstr>
      <vt:lpstr>RoundRobinRiderDecoratedNames</vt:lpstr>
      <vt:lpstr>RoundRobinRiderNames</vt:lpstr>
      <vt:lpstr>RoundRobinRiders</vt:lpstr>
      <vt:lpstr>RoundRobinRidersIsFemale</vt:lpstr>
      <vt:lpstr>TenMileEvents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Ives</dc:creator>
  <cp:lastModifiedBy>Mike Ives</cp:lastModifiedBy>
  <dcterms:created xsi:type="dcterms:W3CDTF">2025-10-19T14:39:15Z</dcterms:created>
  <dcterms:modified xsi:type="dcterms:W3CDTF">2026-02-22T22:18:40Z</dcterms:modified>
</cp:coreProperties>
</file>