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BAA3D26-DD82-48D3-AB10-4F92AB176E96}" xr6:coauthVersionLast="47" xr6:coauthVersionMax="47" xr10:uidLastSave="{00000000-0000-0000-0000-000000000000}"/>
  <bookViews>
    <workbookView xWindow="1553" yWindow="848" windowWidth="21510" windowHeight="15622" firstSheet="1" activeTab="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 s="1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 s="1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 s="1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 s="1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 s="1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 s="1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<sst xmlns="http://schemas.openxmlformats.org/spreadsheetml/2006/main" count="1931" uniqueCount="699">
  <si>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</si>
  <si>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</si>
  <si>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</si>
  <si>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</si>
  <si>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</si>
  <si>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</si>
  <si>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</si>
  <si>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</si>
  <si>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</si>
  <si>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</si>
  <si>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</si>
  <si>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</si>
  <si>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</si>
  <si>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</si>
  <si>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</si>
  <si>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</si>
  <si>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</si>
  <si>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</si>
  <si>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</si>
  <si>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</si>
  <si>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</si>
  <si>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</si>
  <si>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</si>
  <si>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</si>
  <si>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</si>
  <si>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</si>
  <si>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</si>
  <si>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</si>
  <si>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</si>
  <si>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</si>
  <si>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</si>
  <si>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</si>
  <si>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</si>
  <si>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</si>
  <si>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</si>
  <si>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</si>
  <si>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</si>
  <si>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</si>
  <si>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</si>
  <si>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</si>
  <si>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</si>
  <si>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</si>
  <si>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</si>
  <si>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</si>
  <si>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</si>
  <si>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</si>
  <si>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</si>
  <si>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</si>
  <si>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</si>
  <si>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</si>
  <si>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</si>
  <si>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</si>
  <si>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</si>
  <si>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</si>
  <si>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</si>
  <si>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</si>
  <si>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</si>
  <si>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</si>
  <si>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</si>
  <si>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</si>
  <si>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</si>
  <si>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</si>
  <si>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</si>
  <si>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</si>
  <si>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</si>
  <si>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</si>
  <si>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</si>
  <si>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</si>
  <si>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</si>
  <si>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</si>
  <si>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</si>
  <si>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</si>
  <si>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</si>
  <si>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</si>
  <si>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</si>
  <si>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</si>
  <si>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</si>
  <si>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</si>
  <si>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</si>
  <si>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</si>
  <si>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</si>
  <si>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</si>
  <si>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</si>
  <si>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</si>
  <si>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</si>
  <si>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</si>
  <si>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</si>
  <si>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</si>
  <si>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</si>
  <si>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</si>
  <si>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</si>
  <si>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</si>
  <si>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</si>
  <si>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</si>
  <si>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</si>
  <si>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</si>
  <si>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</si>
  <si>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</si>
  <si>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</si>
  <si>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</si>
  <si>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</si>
  <si>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</si>
  <si>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</si>
  <si>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</si>
  <si>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</si>
  <si>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</si>
  <si>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</si>
  <si>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</si>
  <si>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</si>
  <si>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</si>
  <si>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</si>
  <si>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</si>
  <si>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</si>
  <si>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</si>
  <si>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</si>
  <si>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</si>
  <si>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</si>
  <si>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</si>
  <si>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</si>
  <si>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</si>
  <si>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</si>
  <si>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</si>
  <si>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</si>
  <si>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</si>
  <si>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</si>
  <si>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</si>
  <si>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</si>
  <si>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</si>
  <si>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</si>
  <si>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</si>
  <si>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</si>
  <si>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</si>
  <si>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</si>
  <si>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</si>
  <si>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</si>
  <si>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</si>
  <si>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</si>
  <si>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</si>
  <si>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</si>
  <si>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</si>
  <si>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</si>
  <si>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</si>
  <si>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</si>
  <si>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</si>
  <si>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</si>
  <si>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</si>
  <si>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</si>
  <si>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</si>
  <si>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</si>
  <si>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</si>
  <si>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</si>
  <si>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</si>
  <si>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</si>
  <si>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</si>
  <si>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</si>
  <si>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</si>
  <si>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</si>
  <si>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</si>
  <si>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</si>
  <si>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</si>
  <si>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</si>
  <si>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</si>
  <si>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</si>
  <si>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</si>
  <si>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</si>
  <si>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</si>
  <si>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</si>
  <si>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</si>
  <si>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</si>
  <si>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</si>
  <si>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</si>
  <si>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</si>
  <si>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</si>
  <si>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</si>
  <si>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</si>
  <si>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</si>
  <si>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</si>
  <si>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</si>
  <si>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</si>
  <si>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</si>
  <si>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</si>
  <si>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</si>
  <si>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</si>
  <si>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</si>
  <si>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</si>
  <si>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</si>
  <si>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</si>
  <si>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</si>
  <si>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</si>
  <si>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</si>
  <si>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</si>
  <si>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</si>
  <si>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</si>
  <si>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</si>
  <si>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</si>
  <si>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</si>
  <si>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</si>
  <si>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</si>
  <si>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</si>
  <si>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</si>
  <si>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</si>
  <si>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</si>
  <si>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</si>
  <si>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</si>
  <si>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</si>
  <si>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</si>
  <si>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</si>
  <si>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</si>
  <si>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</si>
  <si>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Jen Clegg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</si>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</sst>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344</v>
      </c>
    </row>
    <row r="3" spans="1:3" x14ac:dyDescent="0.35">
      <c r="C3" t="s">
        <v>345</v>
      </c>
    </row>
    <row r="4" spans="1:3" x14ac:dyDescent="0.35">
      <c r="C4" t="s">
        <v>346</v>
      </c>
    </row>
    <row r="5" spans="1:3" x14ac:dyDescent="0.35">
      <c r="C5" t="s">
        <v>347</v>
      </c>
    </row>
    <row r="6" spans="1:3" x14ac:dyDescent="0.35">
      <c r="C6" t="s">
        <v>348</v>
      </c>
    </row>
    <row r="7" spans="1:3" x14ac:dyDescent="0.35">
      <c r="A7" s="1">
        <v>45954</v>
      </c>
      <c r="B7" s="1" t="s">
        <v>0</v>
      </c>
      <c r="C7" t="s">
        <v>643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13" sqref="E113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361</v>
      </c>
      <c r="B1" t="s">
        <v>49</v>
      </c>
      <c r="C1" t="s">
        <v>362</v>
      </c>
      <c r="D1" t="s">
        <v>360</v>
      </c>
      <c r="E1" t="s">
        <v>359</v>
      </c>
      <c r="F1" t="s">
        <v>358</v>
      </c>
      <c r="G1" t="s">
        <v>357</v>
      </c>
      <c r="H1" t="s">
        <v>356</v>
      </c>
      <c r="I1" t="s">
        <v>355</v>
      </c>
      <c r="J1" t="s">
        <v>604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354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353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351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352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351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350</v>
      </c>
      <c r="C38" t="s">
        <v>349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365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366</v>
      </c>
      <c r="C45" t="s">
        <v>367</v>
      </c>
      <c r="D45" t="s">
        <v>351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368</v>
      </c>
      <c r="C46" t="s">
        <v>369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370</v>
      </c>
      <c r="C47" t="s">
        <v>371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372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373</v>
      </c>
      <c r="C49" t="s">
        <v>374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375</v>
      </c>
      <c r="C50" t="s">
        <v>376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377</v>
      </c>
      <c r="C51" t="s">
        <v>378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379</v>
      </c>
      <c r="C52" t="s">
        <v>380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381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382</v>
      </c>
      <c r="C54" t="s">
        <v>383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384</v>
      </c>
      <c r="C55" t="s">
        <v>385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386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387</v>
      </c>
      <c r="C57" t="s">
        <v>388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389</v>
      </c>
      <c r="C58" t="s">
        <v>390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391</v>
      </c>
      <c r="C59" t="s">
        <v>392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391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393</v>
      </c>
      <c r="C61" t="s">
        <v>390</v>
      </c>
      <c r="D61" t="s">
        <v>351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394</v>
      </c>
      <c r="C62" t="s">
        <v>395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396</v>
      </c>
      <c r="C63" t="s">
        <v>68</v>
      </c>
      <c r="D63" t="s">
        <v>351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397</v>
      </c>
      <c r="C64" t="s">
        <v>398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397</v>
      </c>
      <c r="C65" t="s">
        <v>399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397</v>
      </c>
      <c r="C66" t="s">
        <v>400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401</v>
      </c>
      <c r="C67" t="s">
        <v>402</v>
      </c>
      <c r="D67" t="s">
        <v>351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403</v>
      </c>
      <c r="C68" t="s">
        <v>404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405</v>
      </c>
      <c r="C69" t="s">
        <v>406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407</v>
      </c>
      <c r="C70" t="s">
        <v>408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409</v>
      </c>
      <c r="C71" t="s">
        <v>410</v>
      </c>
      <c r="D71" t="s">
        <v>351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409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409</v>
      </c>
      <c r="C73" t="s">
        <v>411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412</v>
      </c>
      <c r="C74" t="s">
        <v>413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414</v>
      </c>
      <c r="C75" t="s">
        <v>415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416</v>
      </c>
      <c r="C76" t="s">
        <v>417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418</v>
      </c>
      <c r="C77" t="s">
        <v>419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420</v>
      </c>
      <c r="C78" t="s">
        <v>421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422</v>
      </c>
      <c r="C79" t="s">
        <v>378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423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424</v>
      </c>
      <c r="C81" t="s">
        <v>425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426</v>
      </c>
      <c r="C82" t="s">
        <v>427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428</v>
      </c>
      <c r="C83" t="s">
        <v>429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428</v>
      </c>
      <c r="C84" t="s">
        <v>430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428</v>
      </c>
      <c r="C85" t="s">
        <v>431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428</v>
      </c>
      <c r="C86" t="s">
        <v>432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433</v>
      </c>
      <c r="C87" t="s">
        <v>434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435</v>
      </c>
      <c r="C88" t="s">
        <v>436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435</v>
      </c>
      <c r="C89" t="s">
        <v>437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435</v>
      </c>
      <c r="C90" t="s">
        <v>438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435</v>
      </c>
      <c r="C91" t="s">
        <v>431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439</v>
      </c>
      <c r="C92" t="s">
        <v>385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440</v>
      </c>
      <c r="C93" t="s">
        <v>431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441</v>
      </c>
      <c r="C94" t="s">
        <v>442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441</v>
      </c>
      <c r="C95" t="s">
        <v>443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441</v>
      </c>
      <c r="C96" t="s">
        <v>444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441</v>
      </c>
      <c r="C97" t="s">
        <v>429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445</v>
      </c>
      <c r="C98" t="s">
        <v>446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447</v>
      </c>
      <c r="C99" t="s">
        <v>448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449</v>
      </c>
      <c r="C100" t="s">
        <v>450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449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451</v>
      </c>
      <c r="C102" t="s">
        <v>395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452</v>
      </c>
      <c r="C103" t="s">
        <v>453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454</v>
      </c>
      <c r="C104" t="s">
        <v>430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454</v>
      </c>
      <c r="C105" t="s">
        <v>455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456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457</v>
      </c>
      <c r="C107" t="s">
        <v>458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459</v>
      </c>
      <c r="C108" t="s">
        <v>365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460</v>
      </c>
      <c r="C109" t="s">
        <v>461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462</v>
      </c>
      <c r="C110" t="s">
        <v>367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463</v>
      </c>
      <c r="C111" t="s">
        <v>464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465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466</v>
      </c>
      <c r="C113" t="s">
        <v>467</v>
      </c>
      <c r="D113" t="s">
        <v>351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468</v>
      </c>
      <c r="C114" t="s">
        <v>469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470</v>
      </c>
      <c r="C115" t="s">
        <v>471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472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473</v>
      </c>
      <c r="C117" t="s">
        <v>431</v>
      </c>
      <c r="D117" t="s">
        <v>351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474</v>
      </c>
      <c r="C118" t="s">
        <v>475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474</v>
      </c>
      <c r="C119" t="s">
        <v>476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477</v>
      </c>
      <c r="C120" t="s">
        <v>478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479</v>
      </c>
      <c r="C121" t="s">
        <v>376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480</v>
      </c>
      <c r="C122" t="s">
        <v>481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480</v>
      </c>
      <c r="C123" t="s">
        <v>434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482</v>
      </c>
      <c r="C124" t="s">
        <v>483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484</v>
      </c>
      <c r="C125" t="s">
        <v>431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485</v>
      </c>
      <c r="C126" t="s">
        <v>376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485</v>
      </c>
      <c r="C127" t="s">
        <v>486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487</v>
      </c>
      <c r="C128" t="s">
        <v>431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488</v>
      </c>
      <c r="C129" t="s">
        <v>489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490</v>
      </c>
      <c r="C130" t="s">
        <v>491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492</v>
      </c>
      <c r="C131" t="s">
        <v>493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494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495</v>
      </c>
      <c r="C133" t="s">
        <v>496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497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498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499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500</v>
      </c>
      <c r="C137" t="s">
        <v>501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502</v>
      </c>
      <c r="C138" t="s">
        <v>503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504</v>
      </c>
      <c r="C139" t="s">
        <v>429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505</v>
      </c>
      <c r="C140" t="s">
        <v>506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505</v>
      </c>
      <c r="C141" t="s">
        <v>507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508</v>
      </c>
      <c r="C142" t="s">
        <v>509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510</v>
      </c>
      <c r="C143" t="s">
        <v>511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512</v>
      </c>
      <c r="C144" t="s">
        <v>513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514</v>
      </c>
      <c r="C145" t="s">
        <v>515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516</v>
      </c>
      <c r="C146" t="s">
        <v>517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518</v>
      </c>
      <c r="C147" t="s">
        <v>517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472</v>
      </c>
      <c r="C148" t="s">
        <v>519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520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521</v>
      </c>
      <c r="C150" t="s">
        <v>522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521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521</v>
      </c>
      <c r="C152" t="s">
        <v>411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521</v>
      </c>
      <c r="C153" t="s">
        <v>438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521</v>
      </c>
      <c r="C154" t="s">
        <v>523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524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525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526</v>
      </c>
      <c r="C157" t="s">
        <v>458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527</v>
      </c>
      <c r="C158" t="s">
        <v>517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528</v>
      </c>
      <c r="C159" t="s">
        <v>529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530</v>
      </c>
      <c r="C160" t="s">
        <v>531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532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533</v>
      </c>
      <c r="C162" t="s">
        <v>534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535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536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536</v>
      </c>
      <c r="C165" t="s">
        <v>537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536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536</v>
      </c>
      <c r="C167" t="s">
        <v>538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539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540</v>
      </c>
      <c r="C169" t="s">
        <v>541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542</v>
      </c>
      <c r="C170" t="s">
        <v>543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544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545</v>
      </c>
      <c r="C172" t="s">
        <v>546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547</v>
      </c>
      <c r="C173" t="s">
        <v>523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548</v>
      </c>
      <c r="C174" t="s">
        <v>515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549</v>
      </c>
      <c r="C175" t="s">
        <v>550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551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551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552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553</v>
      </c>
      <c r="C179" t="s">
        <v>554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553</v>
      </c>
      <c r="C180" t="s">
        <v>555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553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553</v>
      </c>
      <c r="C182" t="s">
        <v>556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557</v>
      </c>
      <c r="C183" t="s">
        <v>558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559</v>
      </c>
      <c r="C184" t="s">
        <v>560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561</v>
      </c>
      <c r="C185" t="s">
        <v>431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561</v>
      </c>
      <c r="C186" t="s">
        <v>562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563</v>
      </c>
      <c r="C187" t="s">
        <v>564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565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566</v>
      </c>
      <c r="C189" t="s">
        <v>567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568</v>
      </c>
      <c r="C190" t="s">
        <v>569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570</v>
      </c>
      <c r="C191" t="s">
        <v>430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570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571</v>
      </c>
      <c r="C193" t="s">
        <v>385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572</v>
      </c>
      <c r="C194" t="s">
        <v>573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574</v>
      </c>
      <c r="C195" t="s">
        <v>469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575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575</v>
      </c>
      <c r="C197" t="s">
        <v>576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575</v>
      </c>
      <c r="C198" t="s">
        <v>577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575</v>
      </c>
      <c r="C199" t="s">
        <v>415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575</v>
      </c>
      <c r="C200" t="s">
        <v>469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575</v>
      </c>
      <c r="C201" t="s">
        <v>578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579</v>
      </c>
      <c r="C202" t="s">
        <v>580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581</v>
      </c>
      <c r="C203" t="s">
        <v>582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583</v>
      </c>
      <c r="C204" t="s">
        <v>584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585</v>
      </c>
      <c r="C205" t="s">
        <v>586</v>
      </c>
      <c r="D205" t="s">
        <v>351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587</v>
      </c>
      <c r="C206" t="s">
        <v>588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589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590</v>
      </c>
      <c r="C208" t="s">
        <v>421</v>
      </c>
      <c r="D208" t="s">
        <v>351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591</v>
      </c>
      <c r="C209" t="s">
        <v>592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509</v>
      </c>
      <c r="C210" t="s">
        <v>593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594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595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595</v>
      </c>
      <c r="C213" t="s">
        <v>560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595</v>
      </c>
      <c r="C214" t="s">
        <v>596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597</v>
      </c>
      <c r="C215" t="s">
        <v>598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599</v>
      </c>
      <c r="C216" t="s">
        <v>600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601</v>
      </c>
      <c r="C217" t="s">
        <v>436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602</v>
      </c>
      <c r="C218" t="s">
        <v>82</v>
      </c>
      <c r="D218" t="s">
        <v>351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605</v>
      </c>
      <c r="C219" t="s">
        <v>606</v>
      </c>
      <c r="D219" t="s">
        <v>351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607</v>
      </c>
      <c r="C220" t="s">
        <v>608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607</v>
      </c>
      <c r="C221" t="s">
        <v>609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607</v>
      </c>
      <c r="C222" t="s">
        <v>610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611</v>
      </c>
      <c r="C223" t="s">
        <v>558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612</v>
      </c>
      <c r="C224" t="s">
        <v>519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612</v>
      </c>
      <c r="C225" t="s">
        <v>613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612</v>
      </c>
      <c r="C226" t="s">
        <v>614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612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612</v>
      </c>
      <c r="C228" t="s">
        <v>615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616</v>
      </c>
      <c r="C229" t="s">
        <v>617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618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619</v>
      </c>
      <c r="C231" t="s">
        <v>464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620</v>
      </c>
      <c r="C232" t="s">
        <v>383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621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622</v>
      </c>
      <c r="C234" t="s">
        <v>509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623</v>
      </c>
      <c r="C235" t="s">
        <v>624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625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626</v>
      </c>
      <c r="C237" t="s">
        <v>627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628</v>
      </c>
      <c r="C238" t="s">
        <v>629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471</v>
      </c>
      <c r="C239" t="s">
        <v>413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630</v>
      </c>
      <c r="C240" t="s">
        <v>517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631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632</v>
      </c>
      <c r="C242" t="s">
        <v>404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632</v>
      </c>
      <c r="C243" t="s">
        <v>633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632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634</v>
      </c>
      <c r="C245" t="s">
        <v>635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636</v>
      </c>
      <c r="C246" t="s">
        <v>471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637</v>
      </c>
      <c r="C247" t="s">
        <v>638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639</v>
      </c>
      <c r="C248" t="s">
        <v>461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640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697</v>
      </c>
      <c r="B1" t="s">
        <v>698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2</v>
      </c>
      <c r="B21" t="str">
        <f>IF(A21="","",CONCATENATE(VLOOKUP(A21,Competitors!$A$2:$I$650,3,FALSE)," ",VLOOKUP(A21,Competitors!$A$2:$I$650,2,FALSE)))</f>
        <v>Steve Alden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647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644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642</v>
      </c>
      <c r="M1" s="4" t="s">
        <v>641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361</v>
      </c>
      <c r="B1" s="39" t="s">
        <v>695</v>
      </c>
      <c r="C1" s="40" t="s">
        <v>696</v>
      </c>
    </row>
    <row r="2" spans="1:3" x14ac:dyDescent="0.35">
      <c r="A2">
        <f t="shared" ref="A2:A33" si="0">IF(ISBLANK(B2),"",_xlfn.XLOOKUP(B2,ClubNames,ClubNumbers))</f>
        <v>1094</v>
      </c>
      <c r="B2" t="s">
        <v>648</v>
      </c>
      <c r="C2" s="41" t="s">
        <v>649</v>
      </c>
    </row>
    <row r="3" spans="1:3" x14ac:dyDescent="0.35">
      <c r="A3">
        <f t="shared" si="0"/>
        <v>933</v>
      </c>
      <c r="B3" t="s">
        <v>650</v>
      </c>
      <c r="C3" s="41" t="s">
        <v>649</v>
      </c>
    </row>
    <row r="4" spans="1:3" x14ac:dyDescent="0.35">
      <c r="A4">
        <f t="shared" si="0"/>
        <v>1023</v>
      </c>
      <c r="B4" t="s">
        <v>651</v>
      </c>
      <c r="C4" s="41" t="s">
        <v>649</v>
      </c>
    </row>
    <row r="5" spans="1:3" x14ac:dyDescent="0.35">
      <c r="A5">
        <f t="shared" si="0"/>
        <v>407</v>
      </c>
      <c r="B5" t="s">
        <v>652</v>
      </c>
      <c r="C5" s="41" t="s">
        <v>649</v>
      </c>
    </row>
    <row r="6" spans="1:3" x14ac:dyDescent="0.35">
      <c r="A6">
        <f t="shared" si="0"/>
        <v>1144</v>
      </c>
      <c r="B6" t="s">
        <v>653</v>
      </c>
      <c r="C6" s="41" t="s">
        <v>649</v>
      </c>
    </row>
    <row r="7" spans="1:3" x14ac:dyDescent="0.35">
      <c r="A7">
        <f t="shared" si="0"/>
        <v>989</v>
      </c>
      <c r="B7" t="s">
        <v>654</v>
      </c>
      <c r="C7" s="41" t="s">
        <v>649</v>
      </c>
    </row>
    <row r="8" spans="1:3" x14ac:dyDescent="0.35">
      <c r="A8">
        <f t="shared" si="0"/>
        <v>699</v>
      </c>
      <c r="B8" t="s">
        <v>655</v>
      </c>
      <c r="C8" s="41" t="s">
        <v>649</v>
      </c>
    </row>
    <row r="9" spans="1:3" x14ac:dyDescent="0.35">
      <c r="A9">
        <f t="shared" si="0"/>
        <v>1161</v>
      </c>
      <c r="B9" t="s">
        <v>656</v>
      </c>
      <c r="C9" s="41" t="s">
        <v>649</v>
      </c>
    </row>
    <row r="10" spans="1:3" x14ac:dyDescent="0.35">
      <c r="A10">
        <f t="shared" si="0"/>
        <v>35</v>
      </c>
      <c r="B10" t="s">
        <v>657</v>
      </c>
      <c r="C10" s="41" t="s">
        <v>649</v>
      </c>
    </row>
    <row r="11" spans="1:3" x14ac:dyDescent="0.35">
      <c r="A11">
        <f t="shared" si="0"/>
        <v>1055</v>
      </c>
      <c r="B11" t="s">
        <v>658</v>
      </c>
      <c r="C11" s="41">
        <v>1</v>
      </c>
    </row>
    <row r="12" spans="1:3" x14ac:dyDescent="0.35">
      <c r="A12">
        <f t="shared" si="0"/>
        <v>1192</v>
      </c>
      <c r="B12" t="s">
        <v>659</v>
      </c>
      <c r="C12" s="41">
        <v>1</v>
      </c>
    </row>
    <row r="13" spans="1:3" x14ac:dyDescent="0.35">
      <c r="A13">
        <f t="shared" si="0"/>
        <v>1137</v>
      </c>
      <c r="B13" t="s">
        <v>181</v>
      </c>
      <c r="C13" s="41">
        <v>1</v>
      </c>
    </row>
    <row r="14" spans="1:3" x14ac:dyDescent="0.35">
      <c r="A14">
        <f t="shared" si="0"/>
        <v>747</v>
      </c>
      <c r="B14" t="s">
        <v>660</v>
      </c>
      <c r="C14" s="41">
        <v>1</v>
      </c>
    </row>
    <row r="15" spans="1:3" x14ac:dyDescent="0.35">
      <c r="A15">
        <f t="shared" si="0"/>
        <v>756</v>
      </c>
      <c r="B15" t="s">
        <v>661</v>
      </c>
      <c r="C15" s="41">
        <v>1</v>
      </c>
    </row>
    <row r="16" spans="1:3" x14ac:dyDescent="0.35">
      <c r="A16">
        <f t="shared" si="0"/>
        <v>1364</v>
      </c>
      <c r="B16" t="s">
        <v>220</v>
      </c>
      <c r="C16" s="41">
        <v>1</v>
      </c>
    </row>
    <row r="17" spans="1:3" x14ac:dyDescent="0.35">
      <c r="A17">
        <f t="shared" si="0"/>
        <v>567</v>
      </c>
      <c r="B17" t="s">
        <v>662</v>
      </c>
      <c r="C17" s="41">
        <v>1</v>
      </c>
    </row>
    <row r="18" spans="1:3" x14ac:dyDescent="0.35">
      <c r="A18">
        <f t="shared" si="0"/>
        <v>415</v>
      </c>
      <c r="B18" t="s">
        <v>663</v>
      </c>
      <c r="C18" s="41">
        <v>1</v>
      </c>
    </row>
    <row r="19" spans="1:3" x14ac:dyDescent="0.35">
      <c r="A19">
        <f t="shared" si="0"/>
        <v>1375</v>
      </c>
      <c r="B19" t="s">
        <v>664</v>
      </c>
      <c r="C19" s="41">
        <v>1</v>
      </c>
    </row>
    <row r="20" spans="1:3" x14ac:dyDescent="0.35">
      <c r="A20">
        <f t="shared" si="0"/>
        <v>1129</v>
      </c>
      <c r="B20" t="s">
        <v>665</v>
      </c>
      <c r="C20" s="41">
        <v>2</v>
      </c>
    </row>
    <row r="21" spans="1:3" x14ac:dyDescent="0.35">
      <c r="A21">
        <f t="shared" si="0"/>
        <v>1339</v>
      </c>
      <c r="B21" t="s">
        <v>666</v>
      </c>
      <c r="C21" s="41">
        <v>2</v>
      </c>
    </row>
    <row r="22" spans="1:3" x14ac:dyDescent="0.35">
      <c r="A22">
        <f t="shared" si="0"/>
        <v>1237</v>
      </c>
      <c r="B22" t="s">
        <v>667</v>
      </c>
      <c r="C22" s="41">
        <v>2</v>
      </c>
    </row>
    <row r="23" spans="1:3" x14ac:dyDescent="0.35">
      <c r="A23">
        <f t="shared" si="0"/>
        <v>468</v>
      </c>
      <c r="B23" t="s">
        <v>668</v>
      </c>
      <c r="C23" s="41">
        <v>2</v>
      </c>
    </row>
    <row r="24" spans="1:3" x14ac:dyDescent="0.35">
      <c r="A24">
        <f t="shared" si="0"/>
        <v>1107</v>
      </c>
      <c r="B24" t="s">
        <v>669</v>
      </c>
      <c r="C24" s="41">
        <v>2</v>
      </c>
    </row>
    <row r="25" spans="1:3" x14ac:dyDescent="0.35">
      <c r="A25">
        <f t="shared" si="0"/>
        <v>846</v>
      </c>
      <c r="B25" t="s">
        <v>670</v>
      </c>
      <c r="C25" s="41">
        <v>2</v>
      </c>
    </row>
    <row r="26" spans="1:3" x14ac:dyDescent="0.35">
      <c r="A26">
        <f t="shared" si="0"/>
        <v>1152</v>
      </c>
      <c r="B26" t="s">
        <v>671</v>
      </c>
      <c r="C26" s="41">
        <v>2</v>
      </c>
    </row>
    <row r="27" spans="1:3" x14ac:dyDescent="0.35">
      <c r="A27">
        <f t="shared" si="0"/>
        <v>203</v>
      </c>
      <c r="B27" t="s">
        <v>672</v>
      </c>
      <c r="C27" s="41">
        <v>3</v>
      </c>
    </row>
    <row r="28" spans="1:3" x14ac:dyDescent="0.35">
      <c r="A28">
        <f t="shared" si="0"/>
        <v>1355</v>
      </c>
      <c r="B28" t="s">
        <v>673</v>
      </c>
      <c r="C28" s="41">
        <v>3</v>
      </c>
    </row>
    <row r="29" spans="1:3" x14ac:dyDescent="0.35">
      <c r="A29">
        <f t="shared" si="0"/>
        <v>704</v>
      </c>
      <c r="B29" t="s">
        <v>674</v>
      </c>
      <c r="C29" s="41">
        <v>3</v>
      </c>
    </row>
    <row r="30" spans="1:3" x14ac:dyDescent="0.35">
      <c r="A30">
        <f t="shared" si="0"/>
        <v>23</v>
      </c>
      <c r="B30" t="s">
        <v>675</v>
      </c>
      <c r="C30" s="41">
        <v>3</v>
      </c>
    </row>
    <row r="31" spans="1:3" x14ac:dyDescent="0.35">
      <c r="A31">
        <f t="shared" si="0"/>
        <v>1112</v>
      </c>
      <c r="B31" t="s">
        <v>676</v>
      </c>
      <c r="C31" s="41">
        <v>3</v>
      </c>
    </row>
    <row r="32" spans="1:3" x14ac:dyDescent="0.35">
      <c r="A32">
        <f t="shared" si="0"/>
        <v>1024</v>
      </c>
      <c r="B32" t="s">
        <v>677</v>
      </c>
      <c r="C32" s="41">
        <v>3</v>
      </c>
    </row>
    <row r="33" spans="1:3" x14ac:dyDescent="0.35">
      <c r="A33">
        <f t="shared" si="0"/>
        <v>532</v>
      </c>
      <c r="B33" t="s">
        <v>678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679</v>
      </c>
      <c r="C34" s="41">
        <v>3</v>
      </c>
    </row>
    <row r="35" spans="1:3" x14ac:dyDescent="0.35">
      <c r="A35">
        <f t="shared" si="1"/>
        <v>1194</v>
      </c>
      <c r="B35" t="s">
        <v>680</v>
      </c>
      <c r="C35" s="41">
        <v>4</v>
      </c>
    </row>
    <row r="36" spans="1:3" x14ac:dyDescent="0.35">
      <c r="A36">
        <f t="shared" si="1"/>
        <v>1048</v>
      </c>
      <c r="B36" t="s">
        <v>681</v>
      </c>
      <c r="C36" s="41">
        <v>4</v>
      </c>
    </row>
    <row r="37" spans="1:3" x14ac:dyDescent="0.35">
      <c r="A37">
        <f t="shared" si="1"/>
        <v>1195</v>
      </c>
      <c r="B37" t="s">
        <v>682</v>
      </c>
      <c r="C37" s="41">
        <v>4</v>
      </c>
    </row>
    <row r="38" spans="1:3" x14ac:dyDescent="0.35">
      <c r="A38">
        <f t="shared" si="1"/>
        <v>1298</v>
      </c>
      <c r="B38" t="s">
        <v>683</v>
      </c>
      <c r="C38" s="41">
        <v>4</v>
      </c>
    </row>
    <row r="39" spans="1:3" x14ac:dyDescent="0.35">
      <c r="A39">
        <f t="shared" si="1"/>
        <v>1332</v>
      </c>
      <c r="B39" t="s">
        <v>684</v>
      </c>
      <c r="C39" s="41">
        <v>4</v>
      </c>
    </row>
    <row r="40" spans="1:3" x14ac:dyDescent="0.35">
      <c r="A40">
        <f t="shared" si="1"/>
        <v>1377</v>
      </c>
      <c r="B40" t="s">
        <v>685</v>
      </c>
      <c r="C40" s="41">
        <v>4</v>
      </c>
    </row>
    <row r="41" spans="1:3" x14ac:dyDescent="0.35">
      <c r="A41">
        <f t="shared" si="1"/>
        <v>1193</v>
      </c>
      <c r="B41" t="s">
        <v>686</v>
      </c>
      <c r="C41" s="41">
        <v>4</v>
      </c>
    </row>
    <row r="42" spans="1:3" x14ac:dyDescent="0.35">
      <c r="A42">
        <f t="shared" si="1"/>
        <v>1244</v>
      </c>
      <c r="B42" t="s">
        <v>687</v>
      </c>
      <c r="C42" s="41">
        <v>4</v>
      </c>
    </row>
    <row r="43" spans="1:3" x14ac:dyDescent="0.35">
      <c r="A43">
        <f t="shared" si="1"/>
        <v>38</v>
      </c>
      <c r="B43" t="s">
        <v>688</v>
      </c>
      <c r="C43" s="41" t="s">
        <v>649</v>
      </c>
    </row>
    <row r="44" spans="1:3" x14ac:dyDescent="0.35">
      <c r="A44">
        <f t="shared" si="1"/>
        <v>967</v>
      </c>
      <c r="B44" t="s">
        <v>689</v>
      </c>
      <c r="C44" s="41">
        <v>1</v>
      </c>
    </row>
    <row r="45" spans="1:3" x14ac:dyDescent="0.35">
      <c r="A45">
        <f t="shared" si="1"/>
        <v>1242</v>
      </c>
      <c r="B45" t="s">
        <v>690</v>
      </c>
      <c r="C45" s="41">
        <v>2</v>
      </c>
    </row>
    <row r="46" spans="1:3" x14ac:dyDescent="0.35">
      <c r="A46">
        <f t="shared" si="1"/>
        <v>1135</v>
      </c>
      <c r="B46" t="s">
        <v>691</v>
      </c>
      <c r="C46" s="41">
        <v>2</v>
      </c>
    </row>
    <row r="47" spans="1:3" x14ac:dyDescent="0.35">
      <c r="A47">
        <f t="shared" si="1"/>
        <v>715</v>
      </c>
      <c r="B47" t="s">
        <v>692</v>
      </c>
      <c r="C47" s="41">
        <v>3</v>
      </c>
    </row>
    <row r="48" spans="1:3" x14ac:dyDescent="0.35">
      <c r="A48">
        <f t="shared" si="1"/>
        <v>1254</v>
      </c>
      <c r="B48" t="s">
        <v>693</v>
      </c>
      <c r="C48" s="41">
        <v>3</v>
      </c>
    </row>
    <row r="49" spans="1:3" x14ac:dyDescent="0.35">
      <c r="A49">
        <f t="shared" si="1"/>
        <v>1385</v>
      </c>
      <c r="B49" t="s">
        <v>224</v>
      </c>
      <c r="C49" s="41">
        <v>3</v>
      </c>
    </row>
    <row r="50" spans="1:3" x14ac:dyDescent="0.35">
      <c r="A50">
        <f t="shared" si="1"/>
        <v>7</v>
      </c>
      <c r="B50" t="s">
        <v>694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abSelected="1" zoomScaleNormal="100" workbookViewId="0">
      <selection activeCell="D17" sqref="D17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V15" sqref="V1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 t="s">
        <v>209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 Clegg</v>
      </c>
      <c r="H35" s="22">
        <f t="shared" si="0"/>
        <v>2.2303240740740742E-2</v>
      </c>
      <c r="I35" t="str">
        <f t="shared" si="1"/>
        <v>X</v>
      </c>
    </row>
    <row r="36" spans="1:9" ht="15" x14ac:dyDescent="0.4">
      <c r="A36" s="19" t="s">
        <v>210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211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212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213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214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215</v>
      </c>
      <c r="B43" s="19">
        <v>1</v>
      </c>
      <c r="C43" s="19">
        <v>0</v>
      </c>
      <c r="D43" s="19">
        <v>0</v>
      </c>
      <c r="E43" s="19"/>
      <c r="F43" s="19" t="s">
        <v>216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217</v>
      </c>
      <c r="B44" s="19">
        <v>2</v>
      </c>
      <c r="C44" s="19">
        <v>0</v>
      </c>
      <c r="D44" s="19">
        <v>0</v>
      </c>
      <c r="E44" s="19"/>
      <c r="F44" s="19" t="s">
        <v>216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218</v>
      </c>
      <c r="B45" s="19">
        <v>3</v>
      </c>
      <c r="C45" s="19">
        <v>0</v>
      </c>
      <c r="D45" s="19">
        <v>0</v>
      </c>
      <c r="E45" s="19"/>
      <c r="F45" s="19" t="s">
        <v>216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216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219</v>
      </c>
      <c r="B47" s="19">
        <v>5</v>
      </c>
      <c r="C47" s="19">
        <v>0</v>
      </c>
      <c r="D47" s="19">
        <v>0</v>
      </c>
      <c r="E47" s="19"/>
      <c r="F47" s="19" t="s">
        <v>216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220</v>
      </c>
      <c r="B48" s="19">
        <v>6</v>
      </c>
      <c r="C48" s="19">
        <v>0</v>
      </c>
      <c r="D48" s="19">
        <v>0</v>
      </c>
      <c r="E48" s="19"/>
      <c r="F48" s="19" t="s">
        <v>216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221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D4" sqref="D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 t="s">
        <v>209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 Clegg</v>
      </c>
      <c r="H13" s="22">
        <f t="shared" si="0"/>
        <v>4.8368055555555553E-2</v>
      </c>
      <c r="I13" t="str">
        <f t="shared" si="1"/>
        <v>X</v>
      </c>
    </row>
    <row r="14" spans="1:9" ht="15" x14ac:dyDescent="0.4">
      <c r="A14" s="26" t="s">
        <v>222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227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216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603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223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224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225</v>
      </c>
      <c r="B27" s="19">
        <v>1</v>
      </c>
      <c r="C27" s="19">
        <v>1</v>
      </c>
      <c r="D27" s="19">
        <v>1</v>
      </c>
      <c r="E27" s="19"/>
      <c r="F27" s="19" t="s">
        <v>221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227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216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227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228</v>
      </c>
      <c r="B18" s="19"/>
      <c r="C18" s="19"/>
      <c r="D18" s="19"/>
      <c r="E18" s="19"/>
      <c r="F18" s="19" t="s">
        <v>227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229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230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227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227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224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231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232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233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234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235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236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 t="s">
        <v>209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 Clegg</v>
      </c>
      <c r="H20" s="22">
        <f t="shared" si="0"/>
        <v>5.0034722222222223E-2</v>
      </c>
      <c r="I20" t="str">
        <f t="shared" si="1"/>
        <v>X</v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237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238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227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240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227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241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242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243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224</v>
      </c>
      <c r="B28" s="19"/>
      <c r="C28" s="20"/>
      <c r="D28" s="20"/>
      <c r="E28" s="20"/>
      <c r="F28" s="20" t="s">
        <v>216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244</v>
      </c>
      <c r="B29" s="19"/>
      <c r="C29" s="20"/>
      <c r="D29" s="20"/>
      <c r="E29" s="20"/>
      <c r="F29" s="20" t="s">
        <v>216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245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246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243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242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247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226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251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252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253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254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255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256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257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258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259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260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261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263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238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265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266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245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267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268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269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262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265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271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267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251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268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254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272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273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269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274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270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247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275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262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265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276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267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216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245</v>
      </c>
      <c r="B39" s="19"/>
      <c r="C39" s="20"/>
      <c r="D39" s="20"/>
      <c r="E39" s="20"/>
      <c r="F39" s="20" t="s">
        <v>216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277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251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268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278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279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229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274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 t="s">
        <v>209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 Clegg</v>
      </c>
      <c r="H29" s="22">
        <f t="shared" si="0"/>
        <v>1.9571759259259261E-2</v>
      </c>
      <c r="I29" t="str">
        <f t="shared" si="1"/>
        <v>X</v>
      </c>
    </row>
    <row r="30" spans="1:9" ht="15" x14ac:dyDescent="0.4">
      <c r="A30" s="19" t="s">
        <v>280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265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283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284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285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286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274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287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288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289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290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291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265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292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293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294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295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296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226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297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298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299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300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274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287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301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288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302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303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304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262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294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305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283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306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307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308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309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268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239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310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257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286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311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312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313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314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270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315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274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316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317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318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319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288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320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321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290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322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302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323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265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324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294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325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0" t="s">
        <v>326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327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328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329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6" t="s">
        <v>330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248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331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332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232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272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286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333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334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335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321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336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337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234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273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338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339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236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235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238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340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341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342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211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343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646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2025-11-13T16:57:07Z</dcterms:modified>
</cp:coreProperties>
</file>