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BED97F30-676A-4415-BA3E-BB137836C945}" xr6:coauthVersionLast="47" xr6:coauthVersionMax="47" xr10:uidLastSave="{00000000-0000-0000-0000-000000000000}"/>
  <bookViews>
    <workbookView xWindow="1890" yWindow="1185" windowWidth="21510" windowHeight="15623" firstSheet="21" activeTab="28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32" l="1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 s="1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 s="1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 s="1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 s="1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 s="1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 s="1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<sst xmlns="http://schemas.openxmlformats.org/spreadsheetml/2006/main" count="1925" uniqueCount="697">
  <si>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</si>
  <si>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</si>
  <si>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</si>
  <si>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</si>
  <si>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</si>
  <si>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</si>
  <si>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</si>
  <si>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</si>
  <si>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</si>
  <si>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</si>
  <si>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</si>
  <si>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</si>
  <si>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</si>
  <si>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</si>
  <si>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</si>
  <si>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</si>
  <si>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</si>
  <si>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</si>
  <si>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</si>
  <si>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</si>
  <si>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</si>
  <si>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</si>
  <si>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</si>
  <si>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</si>
  <si>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</si>
  <si>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</si>
  <si>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</si>
  <si>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</si>
  <si>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</si>
  <si>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</si>
  <si>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</si>
  <si>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</si>
  <si>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</si>
  <si>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</si>
  <si>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</si>
  <si>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</si>
  <si>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</si>
  <si>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</si>
  <si>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</si>
  <si>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</si>
  <si>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</si>
  <si>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</si>
  <si>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</si>
  <si>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</si>
  <si>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</si>
  <si>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Cancelled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</si>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</sst>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342</v>
      </c>
    </row>
    <row r="3" spans="1:3" x14ac:dyDescent="0.35">
      <c r="C3" t="s">
        <v>343</v>
      </c>
    </row>
    <row r="4" spans="1:3" x14ac:dyDescent="0.35">
      <c r="C4" t="s">
        <v>344</v>
      </c>
    </row>
    <row r="5" spans="1:3" x14ac:dyDescent="0.35">
      <c r="C5" t="s">
        <v>345</v>
      </c>
    </row>
    <row r="6" spans="1:3" x14ac:dyDescent="0.35">
      <c r="C6" t="s">
        <v>346</v>
      </c>
    </row>
    <row r="7" spans="1:3" x14ac:dyDescent="0.35">
      <c r="A7" s="1">
        <v>45954</v>
      </c>
      <c r="B7" s="1" t="s">
        <v>0</v>
      </c>
      <c r="C7" t="s">
        <v>641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B21" sqref="B21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359</v>
      </c>
      <c r="B1" t="s">
        <v>49</v>
      </c>
      <c r="C1" t="s">
        <v>360</v>
      </c>
      <c r="D1" t="s">
        <v>358</v>
      </c>
      <c r="E1" t="s">
        <v>357</v>
      </c>
      <c r="F1" t="s">
        <v>356</v>
      </c>
      <c r="G1" t="s">
        <v>355</v>
      </c>
      <c r="H1" t="s">
        <v>354</v>
      </c>
      <c r="I1" t="s">
        <v>353</v>
      </c>
      <c r="J1" t="s">
        <v>602</v>
      </c>
    </row>
    <row r="2" spans="1:10" x14ac:dyDescent="0.35">
      <c r="A2">
        <v>1237</v>
      </c>
      <c r="B2" t="s">
        <v>50</v>
      </c>
      <c r="C2" t="s">
        <v>51</v>
      </c>
      <c r="D2" t="s">
        <v>61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50</v>
      </c>
      <c r="C3" t="s">
        <v>52</v>
      </c>
      <c r="D3" t="s">
        <v>61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53</v>
      </c>
      <c r="C4" t="s">
        <v>54</v>
      </c>
      <c r="D4" t="s">
        <v>61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55</v>
      </c>
      <c r="C5" t="s">
        <v>56</v>
      </c>
      <c r="D5" t="s">
        <v>61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57</v>
      </c>
      <c r="C6" t="s">
        <v>58</v>
      </c>
      <c r="D6" t="s">
        <v>61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59</v>
      </c>
      <c r="C7" t="s">
        <v>60</v>
      </c>
      <c r="D7" t="s">
        <v>61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62</v>
      </c>
      <c r="C8" t="s">
        <v>63</v>
      </c>
      <c r="D8" t="s">
        <v>61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64</v>
      </c>
      <c r="C9" t="s">
        <v>63</v>
      </c>
      <c r="D9" t="s">
        <v>61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64</v>
      </c>
      <c r="C10" t="s">
        <v>65</v>
      </c>
      <c r="D10" t="s">
        <v>61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66</v>
      </c>
      <c r="C11" t="s">
        <v>67</v>
      </c>
      <c r="D11" t="s">
        <v>61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68</v>
      </c>
      <c r="C12" t="s">
        <v>352</v>
      </c>
      <c r="D12" t="s">
        <v>61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69</v>
      </c>
      <c r="C13" t="s">
        <v>70</v>
      </c>
      <c r="D13" t="s">
        <v>61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71</v>
      </c>
      <c r="C14" t="s">
        <v>72</v>
      </c>
      <c r="D14" t="s">
        <v>61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73</v>
      </c>
      <c r="C15" t="s">
        <v>74</v>
      </c>
      <c r="D15" t="s">
        <v>61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351</v>
      </c>
      <c r="C16" t="s">
        <v>75</v>
      </c>
      <c r="D16" t="s">
        <v>61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76</v>
      </c>
      <c r="C17" t="s">
        <v>77</v>
      </c>
      <c r="D17" t="s">
        <v>61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76</v>
      </c>
      <c r="C18" t="s">
        <v>78</v>
      </c>
      <c r="D18" t="s">
        <v>79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76</v>
      </c>
      <c r="C19" t="s">
        <v>80</v>
      </c>
      <c r="D19" t="s">
        <v>79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81</v>
      </c>
      <c r="C20" t="s">
        <v>82</v>
      </c>
      <c r="D20" t="s">
        <v>61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1348</v>
      </c>
      <c r="B21" t="s">
        <v>83</v>
      </c>
      <c r="C21" t="s">
        <v>84</v>
      </c>
      <c r="D21" t="s">
        <v>349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83</v>
      </c>
      <c r="C22" t="s">
        <v>85</v>
      </c>
      <c r="D22" t="s">
        <v>61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86</v>
      </c>
      <c r="C23" t="s">
        <v>87</v>
      </c>
      <c r="D23" t="s">
        <v>79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350</v>
      </c>
      <c r="C24" t="s">
        <v>88</v>
      </c>
      <c r="D24" t="s">
        <v>61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89</v>
      </c>
      <c r="C25" t="s">
        <v>90</v>
      </c>
      <c r="D25" t="s">
        <v>61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91</v>
      </c>
      <c r="C26" t="s">
        <v>92</v>
      </c>
      <c r="D26" t="s">
        <v>79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91</v>
      </c>
      <c r="C27" t="s">
        <v>93</v>
      </c>
      <c r="D27" t="s">
        <v>61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94</v>
      </c>
      <c r="C28" t="s">
        <v>95</v>
      </c>
      <c r="D28" t="s">
        <v>61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96</v>
      </c>
      <c r="C29" t="s">
        <v>97</v>
      </c>
      <c r="D29" t="s">
        <v>61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98</v>
      </c>
      <c r="C30" t="s">
        <v>99</v>
      </c>
      <c r="D30" t="s">
        <v>61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100</v>
      </c>
      <c r="C31" t="s">
        <v>82</v>
      </c>
      <c r="D31" t="s">
        <v>61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101</v>
      </c>
      <c r="C32" t="s">
        <v>102</v>
      </c>
      <c r="D32" t="s">
        <v>61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103</v>
      </c>
      <c r="C33" t="s">
        <v>82</v>
      </c>
      <c r="D33" t="s">
        <v>61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104</v>
      </c>
      <c r="C34" t="s">
        <v>105</v>
      </c>
      <c r="D34" t="s">
        <v>61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104</v>
      </c>
      <c r="C35" t="s">
        <v>106</v>
      </c>
      <c r="D35" t="s">
        <v>61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104</v>
      </c>
      <c r="C36" t="s">
        <v>107</v>
      </c>
      <c r="D36" t="s">
        <v>349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108</v>
      </c>
      <c r="C37" t="s">
        <v>60</v>
      </c>
      <c r="D37" t="s">
        <v>61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348</v>
      </c>
      <c r="C38" t="s">
        <v>347</v>
      </c>
      <c r="D38" t="s">
        <v>61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109</v>
      </c>
      <c r="C39" t="s">
        <v>110</v>
      </c>
      <c r="D39" t="s">
        <v>61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111</v>
      </c>
      <c r="C40" t="s">
        <v>112</v>
      </c>
      <c r="D40" t="s">
        <v>61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111</v>
      </c>
      <c r="C41" t="s">
        <v>97</v>
      </c>
      <c r="D41" t="s">
        <v>61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113</v>
      </c>
      <c r="C42" t="s">
        <v>60</v>
      </c>
      <c r="D42" t="s">
        <v>61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114</v>
      </c>
      <c r="C43" t="s">
        <v>54</v>
      </c>
      <c r="D43" t="s">
        <v>61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114</v>
      </c>
      <c r="C44" t="s">
        <v>363</v>
      </c>
      <c r="D44" t="s">
        <v>61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364</v>
      </c>
      <c r="C45" t="s">
        <v>365</v>
      </c>
      <c r="D45" t="s">
        <v>349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366</v>
      </c>
      <c r="C46" t="s">
        <v>367</v>
      </c>
      <c r="D46" t="s">
        <v>61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368</v>
      </c>
      <c r="C47" t="s">
        <v>369</v>
      </c>
      <c r="D47" t="s">
        <v>61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370</v>
      </c>
      <c r="C48" t="s">
        <v>88</v>
      </c>
      <c r="D48" t="s">
        <v>61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371</v>
      </c>
      <c r="C49" t="s">
        <v>372</v>
      </c>
      <c r="D49" t="s">
        <v>61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373</v>
      </c>
      <c r="C50" t="s">
        <v>374</v>
      </c>
      <c r="D50" t="s">
        <v>61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375</v>
      </c>
      <c r="C51" t="s">
        <v>376</v>
      </c>
      <c r="D51" t="s">
        <v>61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377</v>
      </c>
      <c r="C52" t="s">
        <v>378</v>
      </c>
      <c r="D52" t="s">
        <v>61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379</v>
      </c>
      <c r="C53" t="s">
        <v>67</v>
      </c>
      <c r="D53" t="s">
        <v>61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380</v>
      </c>
      <c r="C54" t="s">
        <v>381</v>
      </c>
      <c r="D54" t="s">
        <v>61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382</v>
      </c>
      <c r="C55" t="s">
        <v>383</v>
      </c>
      <c r="D55" t="s">
        <v>61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384</v>
      </c>
      <c r="C56" t="s">
        <v>95</v>
      </c>
      <c r="D56" t="s">
        <v>61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385</v>
      </c>
      <c r="C57" t="s">
        <v>386</v>
      </c>
      <c r="D57" t="s">
        <v>61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387</v>
      </c>
      <c r="C58" t="s">
        <v>388</v>
      </c>
      <c r="D58" t="s">
        <v>61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389</v>
      </c>
      <c r="C59" t="s">
        <v>390</v>
      </c>
      <c r="D59" t="s">
        <v>61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389</v>
      </c>
      <c r="C60" t="s">
        <v>72</v>
      </c>
      <c r="D60" t="s">
        <v>61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391</v>
      </c>
      <c r="C61" t="s">
        <v>388</v>
      </c>
      <c r="D61" t="s">
        <v>349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392</v>
      </c>
      <c r="C62" t="s">
        <v>393</v>
      </c>
      <c r="D62" t="s">
        <v>61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394</v>
      </c>
      <c r="C63" t="s">
        <v>68</v>
      </c>
      <c r="D63" t="s">
        <v>349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395</v>
      </c>
      <c r="C64" t="s">
        <v>396</v>
      </c>
      <c r="D64" t="s">
        <v>61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395</v>
      </c>
      <c r="C65" t="s">
        <v>397</v>
      </c>
      <c r="D65" t="s">
        <v>61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395</v>
      </c>
      <c r="C66" t="s">
        <v>398</v>
      </c>
      <c r="D66" t="s">
        <v>61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399</v>
      </c>
      <c r="C67" t="s">
        <v>400</v>
      </c>
      <c r="D67" t="s">
        <v>349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401</v>
      </c>
      <c r="C68" t="s">
        <v>402</v>
      </c>
      <c r="D68" t="s">
        <v>61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403</v>
      </c>
      <c r="C69" t="s">
        <v>404</v>
      </c>
      <c r="D69" t="s">
        <v>61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405</v>
      </c>
      <c r="C70" t="s">
        <v>406</v>
      </c>
      <c r="D70" t="s">
        <v>61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407</v>
      </c>
      <c r="C71" t="s">
        <v>408</v>
      </c>
      <c r="D71" t="s">
        <v>349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407</v>
      </c>
      <c r="C72" t="s">
        <v>97</v>
      </c>
      <c r="D72" t="s">
        <v>61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407</v>
      </c>
      <c r="C73" t="s">
        <v>409</v>
      </c>
      <c r="D73" t="s">
        <v>61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410</v>
      </c>
      <c r="C74" t="s">
        <v>411</v>
      </c>
      <c r="D74" t="s">
        <v>61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412</v>
      </c>
      <c r="C75" t="s">
        <v>413</v>
      </c>
      <c r="D75" t="s">
        <v>61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414</v>
      </c>
      <c r="C76" t="s">
        <v>415</v>
      </c>
      <c r="D76" t="s">
        <v>61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416</v>
      </c>
      <c r="C77" t="s">
        <v>417</v>
      </c>
      <c r="D77" t="s">
        <v>61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418</v>
      </c>
      <c r="C78" t="s">
        <v>419</v>
      </c>
      <c r="D78" t="s">
        <v>61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420</v>
      </c>
      <c r="C79" t="s">
        <v>376</v>
      </c>
      <c r="D79" t="s">
        <v>61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421</v>
      </c>
      <c r="C80" t="s">
        <v>80</v>
      </c>
      <c r="D80" t="s">
        <v>79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422</v>
      </c>
      <c r="C81" t="s">
        <v>423</v>
      </c>
      <c r="D81" t="s">
        <v>61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424</v>
      </c>
      <c r="C82" t="s">
        <v>425</v>
      </c>
      <c r="D82" t="s">
        <v>61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426</v>
      </c>
      <c r="C83" t="s">
        <v>427</v>
      </c>
      <c r="D83" t="s">
        <v>61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426</v>
      </c>
      <c r="C84" t="s">
        <v>428</v>
      </c>
      <c r="D84" t="s">
        <v>61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426</v>
      </c>
      <c r="C85" t="s">
        <v>429</v>
      </c>
      <c r="D85" t="s">
        <v>61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426</v>
      </c>
      <c r="C86" t="s">
        <v>430</v>
      </c>
      <c r="D86" t="s">
        <v>61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431</v>
      </c>
      <c r="C87" t="s">
        <v>432</v>
      </c>
      <c r="D87" t="s">
        <v>61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433</v>
      </c>
      <c r="C88" t="s">
        <v>434</v>
      </c>
      <c r="D88" t="s">
        <v>61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433</v>
      </c>
      <c r="C89" t="s">
        <v>435</v>
      </c>
      <c r="D89" t="s">
        <v>61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433</v>
      </c>
      <c r="C90" t="s">
        <v>436</v>
      </c>
      <c r="D90" t="s">
        <v>61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433</v>
      </c>
      <c r="C91" t="s">
        <v>429</v>
      </c>
      <c r="D91" t="s">
        <v>61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437</v>
      </c>
      <c r="C92" t="s">
        <v>383</v>
      </c>
      <c r="D92" t="s">
        <v>61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438</v>
      </c>
      <c r="C93" t="s">
        <v>429</v>
      </c>
      <c r="D93" t="s">
        <v>61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439</v>
      </c>
      <c r="C94" t="s">
        <v>440</v>
      </c>
      <c r="D94" t="s">
        <v>61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439</v>
      </c>
      <c r="C95" t="s">
        <v>441</v>
      </c>
      <c r="D95" t="s">
        <v>61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439</v>
      </c>
      <c r="C96" t="s">
        <v>442</v>
      </c>
      <c r="D96" t="s">
        <v>61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439</v>
      </c>
      <c r="C97" t="s">
        <v>427</v>
      </c>
      <c r="D97" t="s">
        <v>61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443</v>
      </c>
      <c r="C98" t="s">
        <v>444</v>
      </c>
      <c r="D98" t="s">
        <v>61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445</v>
      </c>
      <c r="C99" t="s">
        <v>446</v>
      </c>
      <c r="D99" t="s">
        <v>61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447</v>
      </c>
      <c r="C100" t="s">
        <v>448</v>
      </c>
      <c r="D100" t="s">
        <v>61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447</v>
      </c>
      <c r="C101" t="s">
        <v>92</v>
      </c>
      <c r="D101" t="s">
        <v>61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449</v>
      </c>
      <c r="C102" t="s">
        <v>393</v>
      </c>
      <c r="D102" t="s">
        <v>61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450</v>
      </c>
      <c r="C103" t="s">
        <v>451</v>
      </c>
      <c r="D103" t="s">
        <v>61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452</v>
      </c>
      <c r="C104" t="s">
        <v>428</v>
      </c>
      <c r="D104" t="s">
        <v>61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452</v>
      </c>
      <c r="C105" t="s">
        <v>453</v>
      </c>
      <c r="D105" t="s">
        <v>61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454</v>
      </c>
      <c r="C106" t="s">
        <v>72</v>
      </c>
      <c r="D106" t="s">
        <v>61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455</v>
      </c>
      <c r="C107" t="s">
        <v>456</v>
      </c>
      <c r="D107" t="s">
        <v>61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457</v>
      </c>
      <c r="C108" t="s">
        <v>363</v>
      </c>
      <c r="D108" t="s">
        <v>61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458</v>
      </c>
      <c r="C109" t="s">
        <v>459</v>
      </c>
      <c r="D109" t="s">
        <v>61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460</v>
      </c>
      <c r="C110" t="s">
        <v>365</v>
      </c>
      <c r="D110" t="s">
        <v>61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461</v>
      </c>
      <c r="C111" t="s">
        <v>462</v>
      </c>
      <c r="D111" t="s">
        <v>61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463</v>
      </c>
      <c r="C112" t="s">
        <v>67</v>
      </c>
      <c r="D112" t="s">
        <v>61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464</v>
      </c>
      <c r="C113" t="s">
        <v>465</v>
      </c>
      <c r="D113" t="s">
        <v>349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466</v>
      </c>
      <c r="C114" t="s">
        <v>467</v>
      </c>
      <c r="D114" t="s">
        <v>61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468</v>
      </c>
      <c r="C115" t="s">
        <v>469</v>
      </c>
      <c r="D115" t="s">
        <v>61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52</v>
      </c>
      <c r="C116" t="s">
        <v>470</v>
      </c>
      <c r="D116" t="s">
        <v>61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471</v>
      </c>
      <c r="C117" t="s">
        <v>429</v>
      </c>
      <c r="D117" t="s">
        <v>349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472</v>
      </c>
      <c r="C118" t="s">
        <v>473</v>
      </c>
      <c r="D118" t="s">
        <v>61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472</v>
      </c>
      <c r="C119" t="s">
        <v>474</v>
      </c>
      <c r="D119" t="s">
        <v>61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475</v>
      </c>
      <c r="C120" t="s">
        <v>476</v>
      </c>
      <c r="D120" t="s">
        <v>61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477</v>
      </c>
      <c r="C121" t="s">
        <v>374</v>
      </c>
      <c r="D121" t="s">
        <v>61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478</v>
      </c>
      <c r="C122" t="s">
        <v>479</v>
      </c>
      <c r="D122" t="s">
        <v>61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478</v>
      </c>
      <c r="C123" t="s">
        <v>432</v>
      </c>
      <c r="D123" t="s">
        <v>61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480</v>
      </c>
      <c r="C124" t="s">
        <v>481</v>
      </c>
      <c r="D124" t="s">
        <v>61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482</v>
      </c>
      <c r="C125" t="s">
        <v>429</v>
      </c>
      <c r="D125" t="s">
        <v>61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483</v>
      </c>
      <c r="C126" t="s">
        <v>374</v>
      </c>
      <c r="D126" t="s">
        <v>61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483</v>
      </c>
      <c r="C127" t="s">
        <v>484</v>
      </c>
      <c r="D127" t="s">
        <v>61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485</v>
      </c>
      <c r="C128" t="s">
        <v>429</v>
      </c>
      <c r="D128" t="s">
        <v>61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486</v>
      </c>
      <c r="C129" t="s">
        <v>487</v>
      </c>
      <c r="D129" t="s">
        <v>61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488</v>
      </c>
      <c r="C130" t="s">
        <v>489</v>
      </c>
      <c r="D130" t="s">
        <v>61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490</v>
      </c>
      <c r="C131" t="s">
        <v>491</v>
      </c>
      <c r="D131" t="s">
        <v>61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492</v>
      </c>
      <c r="C132" t="s">
        <v>112</v>
      </c>
      <c r="D132" t="s">
        <v>61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493</v>
      </c>
      <c r="C133" t="s">
        <v>494</v>
      </c>
      <c r="D133" t="s">
        <v>61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495</v>
      </c>
      <c r="C134" t="s">
        <v>63</v>
      </c>
      <c r="D134" t="s">
        <v>61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496</v>
      </c>
      <c r="C135" t="s">
        <v>6</v>
      </c>
      <c r="D135" t="s">
        <v>61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497</v>
      </c>
      <c r="C136" t="s">
        <v>54</v>
      </c>
      <c r="D136" t="s">
        <v>61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498</v>
      </c>
      <c r="C137" t="s">
        <v>499</v>
      </c>
      <c r="D137" t="s">
        <v>61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500</v>
      </c>
      <c r="C138" t="s">
        <v>501</v>
      </c>
      <c r="D138" t="s">
        <v>61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502</v>
      </c>
      <c r="C139" t="s">
        <v>427</v>
      </c>
      <c r="D139" t="s">
        <v>61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503</v>
      </c>
      <c r="C140" t="s">
        <v>504</v>
      </c>
      <c r="D140" t="s">
        <v>61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503</v>
      </c>
      <c r="C141" t="s">
        <v>505</v>
      </c>
      <c r="D141" t="s">
        <v>61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506</v>
      </c>
      <c r="C142" t="s">
        <v>507</v>
      </c>
      <c r="D142" t="s">
        <v>61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508</v>
      </c>
      <c r="C143" t="s">
        <v>509</v>
      </c>
      <c r="D143" t="s">
        <v>61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510</v>
      </c>
      <c r="C144" t="s">
        <v>511</v>
      </c>
      <c r="D144" t="s">
        <v>61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512</v>
      </c>
      <c r="C145" t="s">
        <v>513</v>
      </c>
      <c r="D145" t="s">
        <v>61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514</v>
      </c>
      <c r="C146" t="s">
        <v>515</v>
      </c>
      <c r="D146" t="s">
        <v>61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516</v>
      </c>
      <c r="C147" t="s">
        <v>515</v>
      </c>
      <c r="D147" t="s">
        <v>61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470</v>
      </c>
      <c r="C148" t="s">
        <v>517</v>
      </c>
      <c r="D148" t="s">
        <v>61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518</v>
      </c>
      <c r="C149" t="s">
        <v>82</v>
      </c>
      <c r="D149" t="s">
        <v>61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519</v>
      </c>
      <c r="C150" t="s">
        <v>520</v>
      </c>
      <c r="D150" t="s">
        <v>61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519</v>
      </c>
      <c r="C151" t="s">
        <v>52</v>
      </c>
      <c r="D151" t="s">
        <v>61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519</v>
      </c>
      <c r="C152" t="s">
        <v>409</v>
      </c>
      <c r="D152" t="s">
        <v>61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519</v>
      </c>
      <c r="C153" t="s">
        <v>436</v>
      </c>
      <c r="D153" t="s">
        <v>61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519</v>
      </c>
      <c r="C154" t="s">
        <v>521</v>
      </c>
      <c r="D154" t="s">
        <v>61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522</v>
      </c>
      <c r="C155" t="s">
        <v>54</v>
      </c>
      <c r="D155" t="s">
        <v>61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523</v>
      </c>
      <c r="C156" t="s">
        <v>97</v>
      </c>
      <c r="D156" t="s">
        <v>61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524</v>
      </c>
      <c r="C157" t="s">
        <v>456</v>
      </c>
      <c r="D157" t="s">
        <v>61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525</v>
      </c>
      <c r="C158" t="s">
        <v>515</v>
      </c>
      <c r="D158" t="s">
        <v>61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526</v>
      </c>
      <c r="C159" t="s">
        <v>527</v>
      </c>
      <c r="D159" t="s">
        <v>61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528</v>
      </c>
      <c r="C160" t="s">
        <v>529</v>
      </c>
      <c r="D160" t="s">
        <v>61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530</v>
      </c>
      <c r="C161" t="s">
        <v>80</v>
      </c>
      <c r="D161" t="s">
        <v>61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531</v>
      </c>
      <c r="C162" t="s">
        <v>532</v>
      </c>
      <c r="D162" t="s">
        <v>61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533</v>
      </c>
      <c r="C163" t="s">
        <v>67</v>
      </c>
      <c r="D163" t="s">
        <v>61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534</v>
      </c>
      <c r="C164" t="s">
        <v>63</v>
      </c>
      <c r="D164" t="s">
        <v>61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534</v>
      </c>
      <c r="C165" t="s">
        <v>535</v>
      </c>
      <c r="D165" t="s">
        <v>61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534</v>
      </c>
      <c r="C166" t="s">
        <v>80</v>
      </c>
      <c r="D166" t="s">
        <v>61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534</v>
      </c>
      <c r="C167" t="s">
        <v>536</v>
      </c>
      <c r="D167" t="s">
        <v>61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537</v>
      </c>
      <c r="C168" t="s">
        <v>97</v>
      </c>
      <c r="D168" t="s">
        <v>61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538</v>
      </c>
      <c r="C169" t="s">
        <v>539</v>
      </c>
      <c r="D169" t="s">
        <v>61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540</v>
      </c>
      <c r="C170" t="s">
        <v>541</v>
      </c>
      <c r="D170" t="s">
        <v>61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542</v>
      </c>
      <c r="C171" t="s">
        <v>95</v>
      </c>
      <c r="D171" t="s">
        <v>61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543</v>
      </c>
      <c r="C172" t="s">
        <v>544</v>
      </c>
      <c r="D172" t="s">
        <v>61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545</v>
      </c>
      <c r="C173" t="s">
        <v>521</v>
      </c>
      <c r="D173" t="s">
        <v>61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546</v>
      </c>
      <c r="C174" t="s">
        <v>513</v>
      </c>
      <c r="D174" t="s">
        <v>61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547</v>
      </c>
      <c r="C175" t="s">
        <v>548</v>
      </c>
      <c r="D175" t="s">
        <v>61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549</v>
      </c>
      <c r="C176" t="s">
        <v>54</v>
      </c>
      <c r="D176" t="s">
        <v>61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549</v>
      </c>
      <c r="C177" t="s">
        <v>107</v>
      </c>
      <c r="D177" t="s">
        <v>61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550</v>
      </c>
      <c r="C178" t="s">
        <v>88</v>
      </c>
      <c r="D178" t="s">
        <v>61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551</v>
      </c>
      <c r="C179" t="s">
        <v>552</v>
      </c>
      <c r="D179" t="s">
        <v>61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551</v>
      </c>
      <c r="C180" t="s">
        <v>553</v>
      </c>
      <c r="D180" t="s">
        <v>61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551</v>
      </c>
      <c r="C181" t="s">
        <v>70</v>
      </c>
      <c r="D181" t="s">
        <v>61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551</v>
      </c>
      <c r="C182" t="s">
        <v>554</v>
      </c>
      <c r="D182" t="s">
        <v>61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555</v>
      </c>
      <c r="C183" t="s">
        <v>556</v>
      </c>
      <c r="D183" t="s">
        <v>61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557</v>
      </c>
      <c r="C184" t="s">
        <v>558</v>
      </c>
      <c r="D184" t="s">
        <v>61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559</v>
      </c>
      <c r="C185" t="s">
        <v>429</v>
      </c>
      <c r="D185" t="s">
        <v>61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559</v>
      </c>
      <c r="C186" t="s">
        <v>560</v>
      </c>
      <c r="D186" t="s">
        <v>61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561</v>
      </c>
      <c r="C187" t="s">
        <v>562</v>
      </c>
      <c r="D187" t="s">
        <v>61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563</v>
      </c>
      <c r="C188" t="s">
        <v>63</v>
      </c>
      <c r="D188" t="s">
        <v>61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564</v>
      </c>
      <c r="C189" t="s">
        <v>565</v>
      </c>
      <c r="D189" t="s">
        <v>61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566</v>
      </c>
      <c r="C190" t="s">
        <v>567</v>
      </c>
      <c r="D190" t="s">
        <v>61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568</v>
      </c>
      <c r="C191" t="s">
        <v>428</v>
      </c>
      <c r="D191" t="s">
        <v>61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568</v>
      </c>
      <c r="C192" t="s">
        <v>82</v>
      </c>
      <c r="D192" t="s">
        <v>61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569</v>
      </c>
      <c r="C193" t="s">
        <v>383</v>
      </c>
      <c r="D193" t="s">
        <v>61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570</v>
      </c>
      <c r="C194" t="s">
        <v>571</v>
      </c>
      <c r="D194" t="s">
        <v>61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572</v>
      </c>
      <c r="C195" t="s">
        <v>467</v>
      </c>
      <c r="D195" t="s">
        <v>61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573</v>
      </c>
      <c r="C196" t="s">
        <v>95</v>
      </c>
      <c r="D196" t="s">
        <v>61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573</v>
      </c>
      <c r="C197" t="s">
        <v>574</v>
      </c>
      <c r="D197" t="s">
        <v>61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573</v>
      </c>
      <c r="C198" t="s">
        <v>575</v>
      </c>
      <c r="D198" t="s">
        <v>61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573</v>
      </c>
      <c r="C199" t="s">
        <v>413</v>
      </c>
      <c r="D199" t="s">
        <v>61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573</v>
      </c>
      <c r="C200" t="s">
        <v>467</v>
      </c>
      <c r="D200" t="s">
        <v>61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573</v>
      </c>
      <c r="C201" t="s">
        <v>576</v>
      </c>
      <c r="D201" t="s">
        <v>61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577</v>
      </c>
      <c r="C202" t="s">
        <v>578</v>
      </c>
      <c r="D202" t="s">
        <v>61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579</v>
      </c>
      <c r="C203" t="s">
        <v>580</v>
      </c>
      <c r="D203" t="s">
        <v>61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581</v>
      </c>
      <c r="C204" t="s">
        <v>582</v>
      </c>
      <c r="D204" t="s">
        <v>61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583</v>
      </c>
      <c r="C205" t="s">
        <v>584</v>
      </c>
      <c r="D205" t="s">
        <v>349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585</v>
      </c>
      <c r="C206" t="s">
        <v>586</v>
      </c>
      <c r="D206" t="s">
        <v>61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587</v>
      </c>
      <c r="C207" t="s">
        <v>54</v>
      </c>
      <c r="D207" t="s">
        <v>61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588</v>
      </c>
      <c r="C208" t="s">
        <v>419</v>
      </c>
      <c r="D208" t="s">
        <v>349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589</v>
      </c>
      <c r="C209" t="s">
        <v>590</v>
      </c>
      <c r="D209" t="s">
        <v>61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507</v>
      </c>
      <c r="C210" t="s">
        <v>591</v>
      </c>
      <c r="D210" t="s">
        <v>61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592</v>
      </c>
      <c r="C211" t="s">
        <v>97</v>
      </c>
      <c r="D211" t="s">
        <v>61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593</v>
      </c>
      <c r="C212" t="s">
        <v>80</v>
      </c>
      <c r="D212" t="s">
        <v>61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593</v>
      </c>
      <c r="C213" t="s">
        <v>558</v>
      </c>
      <c r="D213" t="s">
        <v>61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593</v>
      </c>
      <c r="C214" t="s">
        <v>594</v>
      </c>
      <c r="D214" t="s">
        <v>61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595</v>
      </c>
      <c r="C215" t="s">
        <v>596</v>
      </c>
      <c r="D215" t="s">
        <v>61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597</v>
      </c>
      <c r="C216" t="s">
        <v>598</v>
      </c>
      <c r="D216" t="s">
        <v>61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599</v>
      </c>
      <c r="C217" t="s">
        <v>434</v>
      </c>
      <c r="D217" t="s">
        <v>61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600</v>
      </c>
      <c r="C218" t="s">
        <v>82</v>
      </c>
      <c r="D218" t="s">
        <v>349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603</v>
      </c>
      <c r="C219" t="s">
        <v>604</v>
      </c>
      <c r="D219" t="s">
        <v>349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605</v>
      </c>
      <c r="C220" t="s">
        <v>606</v>
      </c>
      <c r="D220" t="s">
        <v>61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605</v>
      </c>
      <c r="C221" t="s">
        <v>607</v>
      </c>
      <c r="D221" t="s">
        <v>61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605</v>
      </c>
      <c r="C222" t="s">
        <v>608</v>
      </c>
      <c r="D222" t="s">
        <v>61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609</v>
      </c>
      <c r="C223" t="s">
        <v>556</v>
      </c>
      <c r="D223" t="s">
        <v>61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610</v>
      </c>
      <c r="C224" t="s">
        <v>517</v>
      </c>
      <c r="D224" t="s">
        <v>61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610</v>
      </c>
      <c r="C225" t="s">
        <v>611</v>
      </c>
      <c r="D225" t="s">
        <v>61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610</v>
      </c>
      <c r="C226" t="s">
        <v>612</v>
      </c>
      <c r="D226" t="s">
        <v>61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610</v>
      </c>
      <c r="C227" t="s">
        <v>72</v>
      </c>
      <c r="D227" t="s">
        <v>61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610</v>
      </c>
      <c r="C228" t="s">
        <v>613</v>
      </c>
      <c r="D228" t="s">
        <v>61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614</v>
      </c>
      <c r="C229" t="s">
        <v>615</v>
      </c>
      <c r="D229" t="s">
        <v>61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616</v>
      </c>
      <c r="C230" t="s">
        <v>68</v>
      </c>
      <c r="D230" t="s">
        <v>61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617</v>
      </c>
      <c r="C231" t="s">
        <v>462</v>
      </c>
      <c r="D231" t="s">
        <v>61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618</v>
      </c>
      <c r="C232" t="s">
        <v>381</v>
      </c>
      <c r="D232" t="s">
        <v>61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619</v>
      </c>
      <c r="C233" t="s">
        <v>51</v>
      </c>
      <c r="D233" t="s">
        <v>61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620</v>
      </c>
      <c r="C234" t="s">
        <v>507</v>
      </c>
      <c r="D234" t="s">
        <v>61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621</v>
      </c>
      <c r="C235" t="s">
        <v>622</v>
      </c>
      <c r="D235" t="s">
        <v>61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623</v>
      </c>
      <c r="C236" t="s">
        <v>82</v>
      </c>
      <c r="D236" t="s">
        <v>61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624</v>
      </c>
      <c r="C237" t="s">
        <v>625</v>
      </c>
      <c r="D237" t="s">
        <v>61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626</v>
      </c>
      <c r="C238" t="s">
        <v>627</v>
      </c>
      <c r="D238" t="s">
        <v>61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469</v>
      </c>
      <c r="C239" t="s">
        <v>411</v>
      </c>
      <c r="D239" t="s">
        <v>61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628</v>
      </c>
      <c r="C240" t="s">
        <v>515</v>
      </c>
      <c r="D240" t="s">
        <v>61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629</v>
      </c>
      <c r="C241" t="s">
        <v>110</v>
      </c>
      <c r="D241" t="s">
        <v>61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630</v>
      </c>
      <c r="C242" t="s">
        <v>402</v>
      </c>
      <c r="D242" t="s">
        <v>61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630</v>
      </c>
      <c r="C243" t="s">
        <v>631</v>
      </c>
      <c r="D243" t="s">
        <v>61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630</v>
      </c>
      <c r="C244" t="s">
        <v>54</v>
      </c>
      <c r="D244" t="s">
        <v>61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632</v>
      </c>
      <c r="C245" t="s">
        <v>633</v>
      </c>
      <c r="D245" t="s">
        <v>61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634</v>
      </c>
      <c r="C246" t="s">
        <v>469</v>
      </c>
      <c r="D246" t="s">
        <v>61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635</v>
      </c>
      <c r="C247" t="s">
        <v>636</v>
      </c>
      <c r="D247" t="s">
        <v>61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637</v>
      </c>
      <c r="C248" t="s">
        <v>459</v>
      </c>
      <c r="D248" t="s">
        <v>61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638</v>
      </c>
      <c r="C249" t="s">
        <v>52</v>
      </c>
      <c r="D249" t="s">
        <v>61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695</v>
      </c>
      <c r="B1" t="s">
        <v>696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C1" zoomScale="120" zoomScaleNormal="120" workbookViewId="0">
      <selection activeCell="E26" sqref="E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645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642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640</v>
      </c>
      <c r="M1" s="4" t="s">
        <v>639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45</v>
      </c>
      <c r="E26">
        <v>10</v>
      </c>
      <c r="F26" t="s">
        <v>45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46</v>
      </c>
      <c r="D27" t="s">
        <v>45</v>
      </c>
      <c r="E27">
        <v>10</v>
      </c>
      <c r="F27" t="s">
        <v>45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359</v>
      </c>
      <c r="B1" s="39" t="s">
        <v>693</v>
      </c>
      <c r="C1" s="40" t="s">
        <v>694</v>
      </c>
    </row>
    <row r="2" spans="1:3" x14ac:dyDescent="0.35">
      <c r="A2">
        <f t="shared" ref="A2:A33" si="0">IF(ISBLANK(B2),"",_xlfn.XLOOKUP(B2,ClubNames,ClubNumbers))</f>
        <v>1094</v>
      </c>
      <c r="B2" t="s">
        <v>646</v>
      </c>
      <c r="C2" s="41" t="s">
        <v>647</v>
      </c>
    </row>
    <row r="3" spans="1:3" x14ac:dyDescent="0.35">
      <c r="A3">
        <f t="shared" si="0"/>
        <v>933</v>
      </c>
      <c r="B3" t="s">
        <v>648</v>
      </c>
      <c r="C3" s="41" t="s">
        <v>647</v>
      </c>
    </row>
    <row r="4" spans="1:3" x14ac:dyDescent="0.35">
      <c r="A4">
        <f t="shared" si="0"/>
        <v>1023</v>
      </c>
      <c r="B4" t="s">
        <v>649</v>
      </c>
      <c r="C4" s="41" t="s">
        <v>647</v>
      </c>
    </row>
    <row r="5" spans="1:3" x14ac:dyDescent="0.35">
      <c r="A5">
        <f t="shared" si="0"/>
        <v>407</v>
      </c>
      <c r="B5" t="s">
        <v>650</v>
      </c>
      <c r="C5" s="41" t="s">
        <v>647</v>
      </c>
    </row>
    <row r="6" spans="1:3" x14ac:dyDescent="0.35">
      <c r="A6">
        <f t="shared" si="0"/>
        <v>1144</v>
      </c>
      <c r="B6" t="s">
        <v>651</v>
      </c>
      <c r="C6" s="41" t="s">
        <v>647</v>
      </c>
    </row>
    <row r="7" spans="1:3" x14ac:dyDescent="0.35">
      <c r="A7">
        <f t="shared" si="0"/>
        <v>989</v>
      </c>
      <c r="B7" t="s">
        <v>652</v>
      </c>
      <c r="C7" s="41" t="s">
        <v>647</v>
      </c>
    </row>
    <row r="8" spans="1:3" x14ac:dyDescent="0.35">
      <c r="A8">
        <f t="shared" si="0"/>
        <v>699</v>
      </c>
      <c r="B8" t="s">
        <v>653</v>
      </c>
      <c r="C8" s="41" t="s">
        <v>647</v>
      </c>
    </row>
    <row r="9" spans="1:3" x14ac:dyDescent="0.35">
      <c r="A9">
        <f t="shared" si="0"/>
        <v>1161</v>
      </c>
      <c r="B9" t="s">
        <v>654</v>
      </c>
      <c r="C9" s="41" t="s">
        <v>647</v>
      </c>
    </row>
    <row r="10" spans="1:3" x14ac:dyDescent="0.35">
      <c r="A10">
        <f t="shared" si="0"/>
        <v>35</v>
      </c>
      <c r="B10" t="s">
        <v>655</v>
      </c>
      <c r="C10" s="41" t="s">
        <v>647</v>
      </c>
    </row>
    <row r="11" spans="1:3" x14ac:dyDescent="0.35">
      <c r="A11">
        <f t="shared" si="0"/>
        <v>1055</v>
      </c>
      <c r="B11" t="s">
        <v>656</v>
      </c>
      <c r="C11" s="41">
        <v>1</v>
      </c>
    </row>
    <row r="12" spans="1:3" x14ac:dyDescent="0.35">
      <c r="A12">
        <f t="shared" si="0"/>
        <v>1192</v>
      </c>
      <c r="B12" t="s">
        <v>657</v>
      </c>
      <c r="C12" s="41">
        <v>1</v>
      </c>
    </row>
    <row r="13" spans="1:3" x14ac:dyDescent="0.35">
      <c r="A13">
        <f t="shared" si="0"/>
        <v>1137</v>
      </c>
      <c r="B13" t="s">
        <v>181</v>
      </c>
      <c r="C13" s="41">
        <v>1</v>
      </c>
    </row>
    <row r="14" spans="1:3" x14ac:dyDescent="0.35">
      <c r="A14">
        <f t="shared" si="0"/>
        <v>747</v>
      </c>
      <c r="B14" t="s">
        <v>658</v>
      </c>
      <c r="C14" s="41">
        <v>1</v>
      </c>
    </row>
    <row r="15" spans="1:3" x14ac:dyDescent="0.35">
      <c r="A15">
        <f t="shared" si="0"/>
        <v>756</v>
      </c>
      <c r="B15" t="s">
        <v>659</v>
      </c>
      <c r="C15" s="41">
        <v>1</v>
      </c>
    </row>
    <row r="16" spans="1:3" x14ac:dyDescent="0.35">
      <c r="A16">
        <f t="shared" si="0"/>
        <v>1364</v>
      </c>
      <c r="B16" t="s">
        <v>219</v>
      </c>
      <c r="C16" s="41">
        <v>1</v>
      </c>
    </row>
    <row r="17" spans="1:3" x14ac:dyDescent="0.35">
      <c r="A17">
        <f t="shared" si="0"/>
        <v>567</v>
      </c>
      <c r="B17" t="s">
        <v>660</v>
      </c>
      <c r="C17" s="41">
        <v>1</v>
      </c>
    </row>
    <row r="18" spans="1:3" x14ac:dyDescent="0.35">
      <c r="A18">
        <f t="shared" si="0"/>
        <v>415</v>
      </c>
      <c r="B18" t="s">
        <v>661</v>
      </c>
      <c r="C18" s="41">
        <v>1</v>
      </c>
    </row>
    <row r="19" spans="1:3" x14ac:dyDescent="0.35">
      <c r="A19">
        <f t="shared" si="0"/>
        <v>1375</v>
      </c>
      <c r="B19" t="s">
        <v>662</v>
      </c>
      <c r="C19" s="41">
        <v>1</v>
      </c>
    </row>
    <row r="20" spans="1:3" x14ac:dyDescent="0.35">
      <c r="A20">
        <f t="shared" si="0"/>
        <v>1129</v>
      </c>
      <c r="B20" t="s">
        <v>663</v>
      </c>
      <c r="C20" s="41">
        <v>2</v>
      </c>
    </row>
    <row r="21" spans="1:3" x14ac:dyDescent="0.35">
      <c r="A21">
        <f t="shared" si="0"/>
        <v>1339</v>
      </c>
      <c r="B21" t="s">
        <v>664</v>
      </c>
      <c r="C21" s="41">
        <v>2</v>
      </c>
    </row>
    <row r="22" spans="1:3" x14ac:dyDescent="0.35">
      <c r="A22">
        <f t="shared" si="0"/>
        <v>1237</v>
      </c>
      <c r="B22" t="s">
        <v>665</v>
      </c>
      <c r="C22" s="41">
        <v>2</v>
      </c>
    </row>
    <row r="23" spans="1:3" x14ac:dyDescent="0.35">
      <c r="A23">
        <f t="shared" si="0"/>
        <v>468</v>
      </c>
      <c r="B23" t="s">
        <v>666</v>
      </c>
      <c r="C23" s="41">
        <v>2</v>
      </c>
    </row>
    <row r="24" spans="1:3" x14ac:dyDescent="0.35">
      <c r="A24">
        <f t="shared" si="0"/>
        <v>1107</v>
      </c>
      <c r="B24" t="s">
        <v>667</v>
      </c>
      <c r="C24" s="41">
        <v>2</v>
      </c>
    </row>
    <row r="25" spans="1:3" x14ac:dyDescent="0.35">
      <c r="A25">
        <f t="shared" si="0"/>
        <v>846</v>
      </c>
      <c r="B25" t="s">
        <v>668</v>
      </c>
      <c r="C25" s="41">
        <v>2</v>
      </c>
    </row>
    <row r="26" spans="1:3" x14ac:dyDescent="0.35">
      <c r="A26">
        <f t="shared" si="0"/>
        <v>1152</v>
      </c>
      <c r="B26" t="s">
        <v>669</v>
      </c>
      <c r="C26" s="41">
        <v>2</v>
      </c>
    </row>
    <row r="27" spans="1:3" x14ac:dyDescent="0.35">
      <c r="A27">
        <f t="shared" si="0"/>
        <v>203</v>
      </c>
      <c r="B27" t="s">
        <v>670</v>
      </c>
      <c r="C27" s="41">
        <v>3</v>
      </c>
    </row>
    <row r="28" spans="1:3" x14ac:dyDescent="0.35">
      <c r="A28">
        <f t="shared" si="0"/>
        <v>1355</v>
      </c>
      <c r="B28" t="s">
        <v>671</v>
      </c>
      <c r="C28" s="41">
        <v>3</v>
      </c>
    </row>
    <row r="29" spans="1:3" x14ac:dyDescent="0.35">
      <c r="A29">
        <f t="shared" si="0"/>
        <v>704</v>
      </c>
      <c r="B29" t="s">
        <v>672</v>
      </c>
      <c r="C29" s="41">
        <v>3</v>
      </c>
    </row>
    <row r="30" spans="1:3" x14ac:dyDescent="0.35">
      <c r="A30">
        <f t="shared" si="0"/>
        <v>23</v>
      </c>
      <c r="B30" t="s">
        <v>673</v>
      </c>
      <c r="C30" s="41">
        <v>3</v>
      </c>
    </row>
    <row r="31" spans="1:3" x14ac:dyDescent="0.35">
      <c r="A31">
        <f t="shared" si="0"/>
        <v>1112</v>
      </c>
      <c r="B31" t="s">
        <v>674</v>
      </c>
      <c r="C31" s="41">
        <v>3</v>
      </c>
    </row>
    <row r="32" spans="1:3" x14ac:dyDescent="0.35">
      <c r="A32">
        <f t="shared" si="0"/>
        <v>1024</v>
      </c>
      <c r="B32" t="s">
        <v>675</v>
      </c>
      <c r="C32" s="41">
        <v>3</v>
      </c>
    </row>
    <row r="33" spans="1:3" x14ac:dyDescent="0.35">
      <c r="A33">
        <f t="shared" si="0"/>
        <v>532</v>
      </c>
      <c r="B33" t="s">
        <v>676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677</v>
      </c>
      <c r="C34" s="41">
        <v>3</v>
      </c>
    </row>
    <row r="35" spans="1:3" x14ac:dyDescent="0.35">
      <c r="A35">
        <f t="shared" si="1"/>
        <v>1194</v>
      </c>
      <c r="B35" t="s">
        <v>678</v>
      </c>
      <c r="C35" s="41">
        <v>4</v>
      </c>
    </row>
    <row r="36" spans="1:3" x14ac:dyDescent="0.35">
      <c r="A36">
        <f t="shared" si="1"/>
        <v>1048</v>
      </c>
      <c r="B36" t="s">
        <v>679</v>
      </c>
      <c r="C36" s="41">
        <v>4</v>
      </c>
    </row>
    <row r="37" spans="1:3" x14ac:dyDescent="0.35">
      <c r="A37">
        <f t="shared" si="1"/>
        <v>1195</v>
      </c>
      <c r="B37" t="s">
        <v>680</v>
      </c>
      <c r="C37" s="41">
        <v>4</v>
      </c>
    </row>
    <row r="38" spans="1:3" x14ac:dyDescent="0.35">
      <c r="A38">
        <f t="shared" si="1"/>
        <v>1298</v>
      </c>
      <c r="B38" t="s">
        <v>681</v>
      </c>
      <c r="C38" s="41">
        <v>4</v>
      </c>
    </row>
    <row r="39" spans="1:3" x14ac:dyDescent="0.35">
      <c r="A39">
        <f t="shared" si="1"/>
        <v>1332</v>
      </c>
      <c r="B39" t="s">
        <v>682</v>
      </c>
      <c r="C39" s="41">
        <v>4</v>
      </c>
    </row>
    <row r="40" spans="1:3" x14ac:dyDescent="0.35">
      <c r="A40">
        <f t="shared" si="1"/>
        <v>1377</v>
      </c>
      <c r="B40" t="s">
        <v>683</v>
      </c>
      <c r="C40" s="41">
        <v>4</v>
      </c>
    </row>
    <row r="41" spans="1:3" x14ac:dyDescent="0.35">
      <c r="A41">
        <f t="shared" si="1"/>
        <v>1193</v>
      </c>
      <c r="B41" t="s">
        <v>684</v>
      </c>
      <c r="C41" s="41">
        <v>4</v>
      </c>
    </row>
    <row r="42" spans="1:3" x14ac:dyDescent="0.35">
      <c r="A42">
        <f t="shared" si="1"/>
        <v>1244</v>
      </c>
      <c r="B42" t="s">
        <v>685</v>
      </c>
      <c r="C42" s="41">
        <v>4</v>
      </c>
    </row>
    <row r="43" spans="1:3" x14ac:dyDescent="0.35">
      <c r="A43">
        <f t="shared" si="1"/>
        <v>38</v>
      </c>
      <c r="B43" t="s">
        <v>686</v>
      </c>
      <c r="C43" s="41" t="s">
        <v>647</v>
      </c>
    </row>
    <row r="44" spans="1:3" x14ac:dyDescent="0.35">
      <c r="A44">
        <f t="shared" si="1"/>
        <v>967</v>
      </c>
      <c r="B44" t="s">
        <v>687</v>
      </c>
      <c r="C44" s="41">
        <v>1</v>
      </c>
    </row>
    <row r="45" spans="1:3" x14ac:dyDescent="0.35">
      <c r="A45">
        <f t="shared" si="1"/>
        <v>1242</v>
      </c>
      <c r="B45" t="s">
        <v>688</v>
      </c>
      <c r="C45" s="41">
        <v>2</v>
      </c>
    </row>
    <row r="46" spans="1:3" x14ac:dyDescent="0.35">
      <c r="A46">
        <f t="shared" si="1"/>
        <v>1135</v>
      </c>
      <c r="B46" t="s">
        <v>689</v>
      </c>
      <c r="C46" s="41">
        <v>2</v>
      </c>
    </row>
    <row r="47" spans="1:3" x14ac:dyDescent="0.35">
      <c r="A47">
        <f t="shared" si="1"/>
        <v>715</v>
      </c>
      <c r="B47" t="s">
        <v>690</v>
      </c>
      <c r="C47" s="41">
        <v>3</v>
      </c>
    </row>
    <row r="48" spans="1:3" x14ac:dyDescent="0.35">
      <c r="A48">
        <f t="shared" si="1"/>
        <v>1254</v>
      </c>
      <c r="B48" t="s">
        <v>691</v>
      </c>
      <c r="C48" s="41">
        <v>3</v>
      </c>
    </row>
    <row r="49" spans="1:3" x14ac:dyDescent="0.35">
      <c r="A49">
        <f t="shared" si="1"/>
        <v>1385</v>
      </c>
      <c r="B49" t="s">
        <v>223</v>
      </c>
      <c r="C49" s="41">
        <v>3</v>
      </c>
    </row>
    <row r="50" spans="1:3" x14ac:dyDescent="0.35">
      <c r="A50">
        <f t="shared" si="1"/>
        <v>7</v>
      </c>
      <c r="B50" t="s">
        <v>692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115</v>
      </c>
      <c r="B1" t="s">
        <v>116</v>
      </c>
    </row>
    <row r="2" spans="1:4" ht="14.25" x14ac:dyDescent="0.45">
      <c r="A2" t="s">
        <v>117</v>
      </c>
      <c r="B2" t="s">
        <v>118</v>
      </c>
      <c r="C2" s="9" t="str">
        <f>_xlfn.CONCAT(A2," (",B2,")")</f>
        <v>Carl Dyson (Aerologic)</v>
      </c>
      <c r="D2" s="10"/>
    </row>
    <row r="3" spans="1:4" ht="14.25" x14ac:dyDescent="0.45">
      <c r="A3" t="s">
        <v>119</v>
      </c>
      <c r="B3" t="s">
        <v>120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121</v>
      </c>
      <c r="B4" t="s">
        <v>122</v>
      </c>
      <c r="C4" s="9" t="str">
        <f t="shared" si="0"/>
        <v>Jayne Mumford (Cov Tri)</v>
      </c>
      <c r="D4" s="10"/>
    </row>
    <row r="5" spans="1:4" ht="14.25" x14ac:dyDescent="0.45">
      <c r="A5" t="s">
        <v>123</v>
      </c>
      <c r="B5" t="s">
        <v>122</v>
      </c>
      <c r="C5" s="9" t="str">
        <f t="shared" si="0"/>
        <v>Simon Clarke (Cov Tri)</v>
      </c>
      <c r="D5" s="10"/>
    </row>
    <row r="6" spans="1:4" ht="14.25" x14ac:dyDescent="0.45">
      <c r="A6" t="s">
        <v>124</v>
      </c>
      <c r="B6" t="s">
        <v>125</v>
      </c>
      <c r="C6" s="9" t="str">
        <f t="shared" si="0"/>
        <v>Evan Collett Jnr (KCC)</v>
      </c>
      <c r="D6" s="10"/>
    </row>
    <row r="7" spans="1:4" ht="14.25" x14ac:dyDescent="0.45">
      <c r="A7" t="s">
        <v>126</v>
      </c>
      <c r="B7" t="s">
        <v>127</v>
      </c>
      <c r="C7" s="9" t="str">
        <f t="shared" si="0"/>
        <v>Harriet Hughes (LFCC)</v>
      </c>
      <c r="D7" s="10"/>
    </row>
    <row r="8" spans="1:4" ht="14.25" x14ac:dyDescent="0.45">
      <c r="A8" t="s">
        <v>128</v>
      </c>
      <c r="B8" t="s">
        <v>127</v>
      </c>
      <c r="C8" s="9" t="str">
        <f t="shared" si="0"/>
        <v>Mat Mabe (LFCC)</v>
      </c>
      <c r="D8" s="10"/>
    </row>
    <row r="9" spans="1:4" ht="14.25" x14ac:dyDescent="0.45">
      <c r="A9" t="s">
        <v>129</v>
      </c>
      <c r="B9" t="s">
        <v>127</v>
      </c>
      <c r="C9" s="9" t="str">
        <f t="shared" si="0"/>
        <v>Matt Finch (LFCC)</v>
      </c>
      <c r="D9" s="10"/>
    </row>
    <row r="10" spans="1:4" ht="14.25" x14ac:dyDescent="0.45">
      <c r="A10" t="s">
        <v>130</v>
      </c>
      <c r="B10" t="s">
        <v>127</v>
      </c>
      <c r="C10" s="9" t="str">
        <f t="shared" si="0"/>
        <v>Matthew Finch (LFCC)</v>
      </c>
      <c r="D10" s="10"/>
    </row>
    <row r="11" spans="1:4" ht="14.25" x14ac:dyDescent="0.45">
      <c r="A11" t="s">
        <v>130</v>
      </c>
      <c r="B11" t="s">
        <v>127</v>
      </c>
      <c r="C11" s="9" t="str">
        <f t="shared" si="0"/>
        <v>Matthew Finch (LFCC)</v>
      </c>
      <c r="D11" s="10"/>
    </row>
    <row r="12" spans="1:4" ht="14.25" x14ac:dyDescent="0.45">
      <c r="A12" t="s">
        <v>131</v>
      </c>
      <c r="B12" t="s">
        <v>127</v>
      </c>
      <c r="C12" s="9" t="str">
        <f t="shared" si="0"/>
        <v>Morris Mabe (LFCC)</v>
      </c>
      <c r="D12" s="10"/>
    </row>
    <row r="13" spans="1:4" ht="14.25" x14ac:dyDescent="0.45">
      <c r="A13" t="s">
        <v>132</v>
      </c>
      <c r="B13" t="s">
        <v>127</v>
      </c>
      <c r="C13" s="9" t="str">
        <f t="shared" si="0"/>
        <v>Sam Nettel (LFCC)</v>
      </c>
      <c r="D13" s="10"/>
    </row>
    <row r="14" spans="1:4" ht="14.25" x14ac:dyDescent="0.45">
      <c r="A14" t="s">
        <v>133</v>
      </c>
      <c r="B14" t="s">
        <v>127</v>
      </c>
      <c r="C14" s="9" t="str">
        <f t="shared" si="0"/>
        <v>Talles Medevives (LFCC)</v>
      </c>
      <c r="D14" s="10"/>
    </row>
    <row r="15" spans="1:4" ht="14.25" x14ac:dyDescent="0.45">
      <c r="A15" t="s">
        <v>134</v>
      </c>
      <c r="B15" t="s">
        <v>135</v>
      </c>
      <c r="C15" s="9" t="str">
        <f t="shared" si="0"/>
        <v>Dean Tacey (LRC)</v>
      </c>
      <c r="D15" s="10"/>
    </row>
    <row r="16" spans="1:4" ht="14.25" x14ac:dyDescent="0.45">
      <c r="A16" t="s">
        <v>136</v>
      </c>
      <c r="B16" t="s">
        <v>137</v>
      </c>
      <c r="C16" s="9" t="str">
        <f t="shared" si="0"/>
        <v>Joe Murray (M I Racing)</v>
      </c>
    </row>
    <row r="17" spans="1:3" ht="14.25" x14ac:dyDescent="0.45">
      <c r="A17" t="s">
        <v>138</v>
      </c>
      <c r="B17" t="s">
        <v>139</v>
      </c>
      <c r="C17" s="9" t="str">
        <f t="shared" si="0"/>
        <v>Chris Booth (MOCC)</v>
      </c>
    </row>
    <row r="18" spans="1:3" ht="14.25" x14ac:dyDescent="0.45">
      <c r="A18" t="s">
        <v>140</v>
      </c>
      <c r="B18" t="s">
        <v>139</v>
      </c>
      <c r="C18" s="9" t="str">
        <f t="shared" si="0"/>
        <v>David Cooper (MOCC)</v>
      </c>
    </row>
    <row r="19" spans="1:3" ht="14.25" x14ac:dyDescent="0.45">
      <c r="A19" t="s">
        <v>141</v>
      </c>
      <c r="B19" t="s">
        <v>139</v>
      </c>
      <c r="C19" s="9" t="str">
        <f t="shared" si="0"/>
        <v>Jamie Haines (MOCC)</v>
      </c>
    </row>
    <row r="20" spans="1:3" ht="14.25" x14ac:dyDescent="0.45">
      <c r="A20" t="s">
        <v>142</v>
      </c>
      <c r="B20" t="s">
        <v>139</v>
      </c>
      <c r="C20" s="9" t="str">
        <f t="shared" si="0"/>
        <v>Laura Ayers (MOCC)</v>
      </c>
    </row>
    <row r="21" spans="1:3" ht="14.25" x14ac:dyDescent="0.45">
      <c r="A21" t="s">
        <v>143</v>
      </c>
      <c r="B21" t="s">
        <v>144</v>
      </c>
      <c r="C21" s="9" t="str">
        <f t="shared" si="0"/>
        <v>Lewis Cooper (RAF Tri)</v>
      </c>
    </row>
    <row r="22" spans="1:3" ht="14.25" x14ac:dyDescent="0.45">
      <c r="A22" t="s">
        <v>145</v>
      </c>
      <c r="B22" t="s">
        <v>146</v>
      </c>
      <c r="C22" s="9" t="str">
        <f t="shared" si="0"/>
        <v>Alex Whitmore (RATAE)</v>
      </c>
    </row>
    <row r="23" spans="1:3" ht="14.25" x14ac:dyDescent="0.45">
      <c r="A23" t="s">
        <v>147</v>
      </c>
      <c r="B23" t="s">
        <v>146</v>
      </c>
      <c r="C23" s="9" t="str">
        <f t="shared" si="0"/>
        <v>Brian Lincoln (RATAE)</v>
      </c>
    </row>
    <row r="24" spans="1:3" ht="14.25" x14ac:dyDescent="0.45">
      <c r="A24" t="s">
        <v>148</v>
      </c>
      <c r="B24" t="s">
        <v>146</v>
      </c>
      <c r="C24" s="9" t="str">
        <f t="shared" si="0"/>
        <v>Chris Bonsor (RATAE)</v>
      </c>
    </row>
    <row r="25" spans="1:3" ht="14.25" x14ac:dyDescent="0.45">
      <c r="A25" t="s">
        <v>149</v>
      </c>
      <c r="B25" t="s">
        <v>146</v>
      </c>
      <c r="C25" s="9" t="str">
        <f t="shared" si="0"/>
        <v>Chris Spray (RATAE)</v>
      </c>
    </row>
    <row r="26" spans="1:3" ht="14.25" x14ac:dyDescent="0.45">
      <c r="A26" t="s">
        <v>150</v>
      </c>
      <c r="B26" t="s">
        <v>146</v>
      </c>
      <c r="C26" s="9" t="str">
        <f t="shared" si="0"/>
        <v>Ed Watson (RATAE)</v>
      </c>
    </row>
    <row r="27" spans="1:3" ht="14.25" x14ac:dyDescent="0.45">
      <c r="A27" t="s">
        <v>151</v>
      </c>
      <c r="B27" t="s">
        <v>146</v>
      </c>
      <c r="C27" s="9" t="str">
        <f t="shared" si="0"/>
        <v>Mark Marmoy (RATAE)</v>
      </c>
    </row>
    <row r="28" spans="1:3" ht="14.25" x14ac:dyDescent="0.45">
      <c r="A28" t="s">
        <v>152</v>
      </c>
      <c r="B28" t="s">
        <v>146</v>
      </c>
      <c r="C28" s="9" t="str">
        <f t="shared" si="0"/>
        <v>Mark Newton (RATAE)</v>
      </c>
    </row>
    <row r="29" spans="1:3" ht="14.25" x14ac:dyDescent="0.45">
      <c r="A29" t="s">
        <v>153</v>
      </c>
      <c r="B29" t="s">
        <v>146</v>
      </c>
      <c r="C29" s="9" t="str">
        <f t="shared" si="0"/>
        <v>Marshall Briggs (RATAE)</v>
      </c>
    </row>
    <row r="30" spans="1:3" ht="14.25" x14ac:dyDescent="0.45">
      <c r="A30" t="s">
        <v>154</v>
      </c>
      <c r="B30" t="s">
        <v>146</v>
      </c>
      <c r="C30" s="9" t="str">
        <f t="shared" si="0"/>
        <v>Paul Eden (RATAE)</v>
      </c>
    </row>
    <row r="31" spans="1:3" ht="14.25" x14ac:dyDescent="0.45">
      <c r="A31" t="s">
        <v>155</v>
      </c>
      <c r="B31" t="s">
        <v>146</v>
      </c>
      <c r="C31" s="9" t="str">
        <f t="shared" si="0"/>
        <v>Sadie Murphy (RATAE)</v>
      </c>
    </row>
    <row r="32" spans="1:3" ht="14.25" x14ac:dyDescent="0.45">
      <c r="A32" t="s">
        <v>156</v>
      </c>
      <c r="B32" t="s">
        <v>146</v>
      </c>
      <c r="C32" s="9" t="str">
        <f t="shared" si="0"/>
        <v>Steve Pearce (RATAE)</v>
      </c>
    </row>
    <row r="33" spans="1:3" ht="14.25" x14ac:dyDescent="0.45">
      <c r="A33" t="s">
        <v>157</v>
      </c>
      <c r="B33" t="s">
        <v>158</v>
      </c>
      <c r="C33" s="9" t="str">
        <f t="shared" si="0"/>
        <v>Adam Wells (RFW)</v>
      </c>
    </row>
    <row r="34" spans="1:3" ht="14.25" x14ac:dyDescent="0.45">
      <c r="A34" t="s">
        <v>159</v>
      </c>
      <c r="B34" t="s">
        <v>158</v>
      </c>
      <c r="C34" s="9" t="str">
        <f t="shared" si="0"/>
        <v>Alex Borrowman (RFW)</v>
      </c>
    </row>
    <row r="35" spans="1:3" ht="14.25" x14ac:dyDescent="0.45">
      <c r="A35" t="s">
        <v>160</v>
      </c>
      <c r="B35" t="s">
        <v>158</v>
      </c>
      <c r="C35" s="9" t="str">
        <f t="shared" si="0"/>
        <v>Chris Fowler (RFW)</v>
      </c>
    </row>
    <row r="36" spans="1:3" ht="14.25" x14ac:dyDescent="0.45">
      <c r="A36" t="s">
        <v>161</v>
      </c>
      <c r="B36" t="s">
        <v>158</v>
      </c>
      <c r="C36" s="9" t="str">
        <f t="shared" si="0"/>
        <v>Ethan Mitchell-Clarke (RFW)</v>
      </c>
    </row>
    <row r="37" spans="1:3" ht="14.25" x14ac:dyDescent="0.45">
      <c r="A37" t="s">
        <v>162</v>
      </c>
      <c r="B37" t="s">
        <v>158</v>
      </c>
      <c r="C37" s="9" t="str">
        <f t="shared" si="0"/>
        <v>Lynne Scofield (RFW)</v>
      </c>
    </row>
    <row r="38" spans="1:3" ht="14.25" x14ac:dyDescent="0.45">
      <c r="A38" t="s">
        <v>163</v>
      </c>
      <c r="B38" t="s">
        <v>158</v>
      </c>
      <c r="C38" s="9" t="str">
        <f t="shared" si="0"/>
        <v>Michael Carter (RFW)</v>
      </c>
    </row>
    <row r="39" spans="1:3" ht="14.25" x14ac:dyDescent="0.45">
      <c r="A39" t="s">
        <v>154</v>
      </c>
      <c r="B39" t="s">
        <v>158</v>
      </c>
      <c r="C39" s="9" t="str">
        <f t="shared" si="0"/>
        <v>Paul Eden (RFW)</v>
      </c>
    </row>
    <row r="40" spans="1:3" ht="14.25" x14ac:dyDescent="0.45">
      <c r="A40" t="s">
        <v>164</v>
      </c>
      <c r="B40" t="s">
        <v>158</v>
      </c>
      <c r="C40" s="9" t="str">
        <f t="shared" si="0"/>
        <v>Phil Wilkinson (RFW)</v>
      </c>
    </row>
    <row r="41" spans="1:3" ht="14.25" x14ac:dyDescent="0.45">
      <c r="A41" t="s">
        <v>165</v>
      </c>
      <c r="B41" t="s">
        <v>158</v>
      </c>
      <c r="C41" s="9" t="str">
        <f t="shared" si="0"/>
        <v>Philip Wilkinson (RFW)</v>
      </c>
    </row>
    <row r="42" spans="1:3" ht="14.25" x14ac:dyDescent="0.45">
      <c r="A42" t="s">
        <v>166</v>
      </c>
      <c r="B42" t="s">
        <v>167</v>
      </c>
      <c r="C42" s="9" t="str">
        <f t="shared" si="0"/>
        <v>Adrian James (Rugby RCC)</v>
      </c>
    </row>
    <row r="43" spans="1:3" ht="14.25" x14ac:dyDescent="0.45">
      <c r="A43" t="s">
        <v>168</v>
      </c>
      <c r="B43" t="s">
        <v>169</v>
      </c>
      <c r="C43" s="9" t="str">
        <f t="shared" si="0"/>
        <v>Carl Shaw (Speedhub)</v>
      </c>
    </row>
    <row r="44" spans="1:3" ht="14.25" x14ac:dyDescent="0.45">
      <c r="A44" t="s">
        <v>170</v>
      </c>
      <c r="B44" t="s">
        <v>171</v>
      </c>
      <c r="C44" s="9" t="str">
        <f t="shared" si="0"/>
        <v>Oliver Searle (St Ives CC)</v>
      </c>
    </row>
    <row r="45" spans="1:3" ht="14.25" x14ac:dyDescent="0.45">
      <c r="A45" t="s">
        <v>172</v>
      </c>
      <c r="B45" t="s">
        <v>173</v>
      </c>
      <c r="C45" s="9" t="str">
        <f t="shared" si="0"/>
        <v>Colin Parkinson (SWRC)</v>
      </c>
    </row>
    <row r="46" spans="1:3" ht="14.25" x14ac:dyDescent="0.45">
      <c r="A46" t="s">
        <v>174</v>
      </c>
      <c r="C46" s="9" t="str">
        <f t="shared" si="0"/>
        <v>Derek Lawlor ()</v>
      </c>
    </row>
    <row r="47" spans="1:3" ht="14.25" x14ac:dyDescent="0.45">
      <c r="A47" t="s">
        <v>175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D17" sqref="D17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181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150</v>
      </c>
      <c r="B15" s="19">
        <v>0</v>
      </c>
      <c r="C15" s="20">
        <v>28</v>
      </c>
      <c r="D15" s="20">
        <v>42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180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55" sqref="E5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182</v>
      </c>
      <c r="B2" s="19">
        <v>0</v>
      </c>
      <c r="C2" s="19">
        <v>22</v>
      </c>
      <c r="D2" s="19">
        <v>15</v>
      </c>
      <c r="E2" s="19" t="s">
        <v>183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184</v>
      </c>
      <c r="B3" s="19">
        <v>0</v>
      </c>
      <c r="C3" s="19">
        <v>22</v>
      </c>
      <c r="D3" s="19">
        <v>20</v>
      </c>
      <c r="E3" s="19" t="s">
        <v>183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185</v>
      </c>
      <c r="B4" s="19">
        <v>0</v>
      </c>
      <c r="C4" s="19">
        <v>23</v>
      </c>
      <c r="D4" s="19">
        <v>15</v>
      </c>
      <c r="E4" s="19" t="s">
        <v>183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186</v>
      </c>
      <c r="B5" s="19">
        <v>0</v>
      </c>
      <c r="C5" s="19">
        <v>23</v>
      </c>
      <c r="D5" s="19">
        <v>43</v>
      </c>
      <c r="E5" s="19" t="s">
        <v>180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187</v>
      </c>
      <c r="B6" s="19">
        <v>0</v>
      </c>
      <c r="C6" s="19">
        <v>23</v>
      </c>
      <c r="D6" s="19">
        <v>46</v>
      </c>
      <c r="E6" s="19" t="s">
        <v>183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183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188</v>
      </c>
      <c r="B8" s="19">
        <v>0</v>
      </c>
      <c r="C8" s="19">
        <v>24</v>
      </c>
      <c r="D8" s="19">
        <v>28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189</v>
      </c>
      <c r="B9" s="19">
        <v>0</v>
      </c>
      <c r="C9" s="19">
        <v>25</v>
      </c>
      <c r="D9" s="19">
        <v>16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190</v>
      </c>
      <c r="B10" s="19">
        <v>0</v>
      </c>
      <c r="C10" s="19">
        <v>25</v>
      </c>
      <c r="D10" s="19">
        <v>19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191</v>
      </c>
      <c r="B11" s="19">
        <v>0</v>
      </c>
      <c r="C11" s="19">
        <v>25</v>
      </c>
      <c r="D11" s="19">
        <v>36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192</v>
      </c>
      <c r="B12" s="19">
        <v>0</v>
      </c>
      <c r="C12" s="19">
        <v>25</v>
      </c>
      <c r="D12" s="19">
        <v>48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193</v>
      </c>
      <c r="B13" s="19">
        <v>0</v>
      </c>
      <c r="C13" s="19">
        <v>25</v>
      </c>
      <c r="D13" s="19">
        <v>49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194</v>
      </c>
      <c r="B14" s="19">
        <v>0</v>
      </c>
      <c r="C14" s="19">
        <v>25</v>
      </c>
      <c r="D14" s="19">
        <v>58</v>
      </c>
      <c r="E14" s="19" t="s">
        <v>183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165</v>
      </c>
      <c r="B15" s="19">
        <v>0</v>
      </c>
      <c r="C15" s="19">
        <v>26</v>
      </c>
      <c r="D15" s="19">
        <v>18</v>
      </c>
      <c r="E15" s="19" t="s">
        <v>183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157</v>
      </c>
      <c r="B16" s="19">
        <v>0</v>
      </c>
      <c r="C16" s="19">
        <v>26</v>
      </c>
      <c r="D16" s="19">
        <v>40</v>
      </c>
      <c r="E16" s="19" t="s">
        <v>183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195</v>
      </c>
      <c r="B17" s="19">
        <v>0</v>
      </c>
      <c r="C17" s="19">
        <v>26</v>
      </c>
      <c r="D17" s="19">
        <v>49</v>
      </c>
      <c r="E17" s="19" t="s">
        <v>180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196</v>
      </c>
      <c r="B18" s="19">
        <v>0</v>
      </c>
      <c r="C18" s="19">
        <v>26</v>
      </c>
      <c r="D18" s="19">
        <v>50</v>
      </c>
      <c r="E18" s="19" t="s">
        <v>183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183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197</v>
      </c>
      <c r="B20" s="19">
        <v>0</v>
      </c>
      <c r="C20" s="19">
        <v>27</v>
      </c>
      <c r="D20" s="19">
        <v>56</v>
      </c>
      <c r="E20" s="19" t="s">
        <v>183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183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198</v>
      </c>
      <c r="B22" s="19">
        <v>0</v>
      </c>
      <c r="C22" s="19">
        <v>28</v>
      </c>
      <c r="D22" s="19">
        <v>38</v>
      </c>
      <c r="E22" s="19" t="s">
        <v>183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199</v>
      </c>
      <c r="B24" s="19">
        <v>0</v>
      </c>
      <c r="C24" s="19">
        <v>28</v>
      </c>
      <c r="D24" s="19">
        <v>49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200</v>
      </c>
      <c r="B26" s="19">
        <v>0</v>
      </c>
      <c r="C26" s="19">
        <v>29</v>
      </c>
      <c r="D26" s="19">
        <v>13</v>
      </c>
      <c r="E26" s="19" t="s">
        <v>183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201</v>
      </c>
      <c r="B27" s="19">
        <v>0</v>
      </c>
      <c r="C27" s="19">
        <v>29</v>
      </c>
      <c r="D27" s="19">
        <v>55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202</v>
      </c>
      <c r="B28" s="19">
        <v>0</v>
      </c>
      <c r="C28" s="19">
        <v>29</v>
      </c>
      <c r="D28" s="19">
        <v>58</v>
      </c>
      <c r="E28" s="19" t="s">
        <v>183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203</v>
      </c>
      <c r="B29" s="19">
        <v>0</v>
      </c>
      <c r="C29" s="19">
        <v>30</v>
      </c>
      <c r="D29" s="19">
        <v>17</v>
      </c>
      <c r="E29" s="19" t="s">
        <v>183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204</v>
      </c>
      <c r="B30" s="19">
        <v>0</v>
      </c>
      <c r="C30" s="19">
        <v>30</v>
      </c>
      <c r="D30" s="19">
        <v>19</v>
      </c>
      <c r="E30" s="19" t="s">
        <v>183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205</v>
      </c>
      <c r="B31" s="19">
        <v>0</v>
      </c>
      <c r="C31" s="19">
        <v>30</v>
      </c>
      <c r="D31" s="19">
        <v>36</v>
      </c>
      <c r="E31" s="19" t="s">
        <v>183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206</v>
      </c>
      <c r="B32" s="19">
        <v>0</v>
      </c>
      <c r="C32" s="19">
        <v>31</v>
      </c>
      <c r="D32" s="19">
        <v>20</v>
      </c>
      <c r="E32" s="19" t="s">
        <v>183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207</v>
      </c>
      <c r="B33" s="19">
        <v>0</v>
      </c>
      <c r="C33" s="19">
        <v>31</v>
      </c>
      <c r="D33" s="19">
        <v>20</v>
      </c>
      <c r="E33" s="19" t="s">
        <v>180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208</v>
      </c>
      <c r="B34" s="19">
        <v>0</v>
      </c>
      <c r="C34" s="19">
        <v>32</v>
      </c>
      <c r="D34" s="19">
        <v>1</v>
      </c>
      <c r="E34" s="19" t="s">
        <v>180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>
        <v>674</v>
      </c>
      <c r="B35" s="19">
        <v>0</v>
      </c>
      <c r="C35" s="19">
        <v>32</v>
      </c>
      <c r="D35" s="19">
        <v>7</v>
      </c>
      <c r="E35" s="19" t="s">
        <v>183</v>
      </c>
      <c r="F35" s="19"/>
      <c r="G35" s="21" t="str">
        <f>IF(ISBLANK($A35),"",IF($I35="X",A35,CONCATENATE(VLOOKUP(A35,Competitors!$A$2:$I$650,3, FALSE)," ",VLOOKUP(A35,Competitors!$A$2:$I$650,2,FALSE))))</f>
        <v>Jennifer Clegg</v>
      </c>
      <c r="H35" s="22">
        <f t="shared" si="0"/>
        <v>2.2303240740740742E-2</v>
      </c>
      <c r="I35" t="str">
        <f t="shared" si="1"/>
        <v/>
      </c>
    </row>
    <row r="36" spans="1:9" ht="15" x14ac:dyDescent="0.4">
      <c r="A36" s="19" t="s">
        <v>209</v>
      </c>
      <c r="B36" s="19">
        <v>0</v>
      </c>
      <c r="C36" s="19">
        <v>33</v>
      </c>
      <c r="D36" s="19">
        <v>6</v>
      </c>
      <c r="E36" s="19" t="s">
        <v>183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210</v>
      </c>
      <c r="B37" s="19">
        <v>0</v>
      </c>
      <c r="C37" s="19">
        <v>33</v>
      </c>
      <c r="D37" s="19">
        <v>42</v>
      </c>
      <c r="E37" s="19" t="s">
        <v>183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211</v>
      </c>
      <c r="B38" s="19">
        <v>0</v>
      </c>
      <c r="C38" s="19">
        <v>34</v>
      </c>
      <c r="D38" s="19">
        <v>7</v>
      </c>
      <c r="E38" s="19" t="s">
        <v>180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212</v>
      </c>
      <c r="B39" s="19">
        <v>0</v>
      </c>
      <c r="C39" s="19">
        <v>35</v>
      </c>
      <c r="D39" s="19">
        <v>28</v>
      </c>
      <c r="E39" s="19" t="s">
        <v>180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162</v>
      </c>
      <c r="B40" s="19">
        <v>0</v>
      </c>
      <c r="C40" s="19">
        <v>36</v>
      </c>
      <c r="D40" s="19">
        <v>48</v>
      </c>
      <c r="E40" s="19" t="s">
        <v>180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180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213</v>
      </c>
      <c r="B42" s="19">
        <v>0</v>
      </c>
      <c r="C42" s="19">
        <v>45</v>
      </c>
      <c r="D42" s="19">
        <v>29</v>
      </c>
      <c r="E42" s="19" t="s">
        <v>180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214</v>
      </c>
      <c r="B43" s="19">
        <v>1</v>
      </c>
      <c r="C43" s="19">
        <v>0</v>
      </c>
      <c r="D43" s="19">
        <v>0</v>
      </c>
      <c r="E43" s="19"/>
      <c r="F43" s="19" t="s">
        <v>215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216</v>
      </c>
      <c r="B44" s="19">
        <v>2</v>
      </c>
      <c r="C44" s="19">
        <v>0</v>
      </c>
      <c r="D44" s="19">
        <v>0</v>
      </c>
      <c r="E44" s="19"/>
      <c r="F44" s="19" t="s">
        <v>215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217</v>
      </c>
      <c r="B45" s="19">
        <v>3</v>
      </c>
      <c r="C45" s="19">
        <v>0</v>
      </c>
      <c r="D45" s="19">
        <v>0</v>
      </c>
      <c r="E45" s="19"/>
      <c r="F45" s="19" t="s">
        <v>215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149</v>
      </c>
      <c r="B46" s="19">
        <v>4</v>
      </c>
      <c r="C46" s="19">
        <v>0</v>
      </c>
      <c r="D46" s="19">
        <v>0</v>
      </c>
      <c r="E46" s="19"/>
      <c r="F46" s="19" t="s">
        <v>215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218</v>
      </c>
      <c r="B47" s="19">
        <v>5</v>
      </c>
      <c r="C47" s="19">
        <v>0</v>
      </c>
      <c r="D47" s="19">
        <v>0</v>
      </c>
      <c r="E47" s="19"/>
      <c r="F47" s="19" t="s">
        <v>215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219</v>
      </c>
      <c r="B48" s="19">
        <v>6</v>
      </c>
      <c r="C48" s="19">
        <v>0</v>
      </c>
      <c r="D48" s="19">
        <v>0</v>
      </c>
      <c r="E48" s="19"/>
      <c r="F48" s="19" t="s">
        <v>215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180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220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13" sqref="A1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164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>
        <v>674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Jennifer Clegg</v>
      </c>
      <c r="H13" s="22">
        <f t="shared" si="0"/>
        <v>4.8368055555555553E-2</v>
      </c>
      <c r="I13" t="str">
        <f t="shared" si="1"/>
        <v/>
      </c>
    </row>
    <row r="14" spans="1:9" ht="15" x14ac:dyDescent="0.4">
      <c r="A14" s="26" t="s">
        <v>221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225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162</v>
      </c>
      <c r="B21" s="19">
        <v>3</v>
      </c>
      <c r="C21" s="19">
        <v>0</v>
      </c>
      <c r="D21" s="19">
        <v>0</v>
      </c>
      <c r="E21" s="19"/>
      <c r="F21" s="19" t="s">
        <v>215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601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7" sqref="A27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8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145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180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222</v>
      </c>
      <c r="B5" s="19">
        <v>0</v>
      </c>
      <c r="C5" s="19">
        <v>25</v>
      </c>
      <c r="D5" s="19">
        <v>6</v>
      </c>
      <c r="E5" s="19" t="s">
        <v>47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180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180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180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180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180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47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180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180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156</v>
      </c>
      <c r="B19" s="19">
        <v>0</v>
      </c>
      <c r="C19" s="19">
        <v>29</v>
      </c>
      <c r="D19" s="19">
        <v>57</v>
      </c>
      <c r="E19" s="19" t="s">
        <v>180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223</v>
      </c>
      <c r="B20" s="19">
        <v>0</v>
      </c>
      <c r="C20" s="19">
        <v>30</v>
      </c>
      <c r="D20" s="19">
        <v>9</v>
      </c>
      <c r="E20" s="19" t="s">
        <v>180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148</v>
      </c>
      <c r="B21" s="19">
        <v>0</v>
      </c>
      <c r="C21" s="19">
        <v>31</v>
      </c>
      <c r="D21" s="19">
        <v>23</v>
      </c>
      <c r="E21" s="19" t="s">
        <v>180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180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180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147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180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180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>
        <v>1062</v>
      </c>
      <c r="B27" s="19">
        <v>1</v>
      </c>
      <c r="C27" s="19">
        <v>1</v>
      </c>
      <c r="D27" s="19">
        <v>1</v>
      </c>
      <c r="E27" s="19"/>
      <c r="F27" s="19" t="s">
        <v>220</v>
      </c>
      <c r="G27" s="27" t="str">
        <f>IF(ISBLANK($A27),"",IF($I27="X",A27,CONCATENATE(VLOOKUP(A27,Competitors!$A$2:$I$650,3, FALSE)," ",VLOOKUP(A27,Competitors!$A$2:$I$650,2,FALSE))))</f>
        <v>Mark Evans</v>
      </c>
      <c r="H27" s="22">
        <f t="shared" si="0"/>
        <v>4.2372685185185187E-2</v>
      </c>
      <c r="I27" t="str">
        <f t="shared" si="1"/>
        <v/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225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153</v>
      </c>
      <c r="B29" s="19">
        <v>1</v>
      </c>
      <c r="C29" s="19">
        <v>1</v>
      </c>
      <c r="D29" s="19">
        <v>3</v>
      </c>
      <c r="E29" s="19"/>
      <c r="F29" s="19" t="s">
        <v>215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145</v>
      </c>
      <c r="B2" s="19">
        <v>0</v>
      </c>
      <c r="C2" s="19">
        <v>20</v>
      </c>
      <c r="D2" s="19">
        <v>54</v>
      </c>
      <c r="E2" s="19" t="s">
        <v>180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180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180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148</v>
      </c>
      <c r="B11" s="19">
        <v>0</v>
      </c>
      <c r="C11" s="19">
        <v>26</v>
      </c>
      <c r="D11" s="19">
        <v>53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147</v>
      </c>
      <c r="B15" s="19"/>
      <c r="C15" s="19"/>
      <c r="D15" s="19"/>
      <c r="E15" s="19"/>
      <c r="F15" s="19" t="s">
        <v>225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225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225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226</v>
      </c>
      <c r="B18" s="19"/>
      <c r="C18" s="19"/>
      <c r="D18" s="19"/>
      <c r="E18" s="19"/>
      <c r="F18" s="19" t="s">
        <v>225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227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228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162</v>
      </c>
      <c r="B13" s="19"/>
      <c r="C13" s="19"/>
      <c r="D13" s="19"/>
      <c r="E13" s="19"/>
      <c r="F13" s="19" t="s">
        <v>225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225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164</v>
      </c>
      <c r="B15" s="19"/>
      <c r="C15" s="19"/>
      <c r="D15" s="19"/>
      <c r="E15" s="19"/>
      <c r="F15" s="19" t="s">
        <v>225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225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164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150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148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201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156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223</v>
      </c>
      <c r="B23" s="19">
        <v>0</v>
      </c>
      <c r="C23" s="19">
        <v>25</v>
      </c>
      <c r="D23" s="19">
        <v>48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19">
        <v>26</v>
      </c>
      <c r="D26" s="19">
        <v>13</v>
      </c>
      <c r="E26" s="19" t="s">
        <v>180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229</v>
      </c>
      <c r="B27" s="19">
        <v>0</v>
      </c>
      <c r="C27" s="19">
        <v>26</v>
      </c>
      <c r="D27" s="19">
        <v>26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180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154</v>
      </c>
      <c r="B29" s="19">
        <v>0</v>
      </c>
      <c r="C29" s="19">
        <v>28</v>
      </c>
      <c r="D29" s="19">
        <v>20</v>
      </c>
      <c r="E29" s="19" t="s">
        <v>180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180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162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0" sqref="A2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230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160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231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157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164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190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163</v>
      </c>
      <c r="B12" s="19">
        <v>1</v>
      </c>
      <c r="C12" s="19">
        <v>5</v>
      </c>
      <c r="D12" s="19">
        <v>6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232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233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234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>
        <v>674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Jennifer Clegg</v>
      </c>
      <c r="H20" s="22">
        <f t="shared" si="0"/>
        <v>5.0034722222222223E-2</v>
      </c>
      <c r="I20" t="str">
        <f t="shared" si="1"/>
        <v/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235</v>
      </c>
      <c r="B22" s="19">
        <v>1</v>
      </c>
      <c r="C22" s="19">
        <v>13</v>
      </c>
      <c r="D22" s="19">
        <v>1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236</v>
      </c>
      <c r="B24" s="19">
        <v>1</v>
      </c>
      <c r="C24" s="19">
        <v>17</v>
      </c>
      <c r="D24" s="19">
        <v>12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162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201</v>
      </c>
      <c r="B27" s="19"/>
      <c r="C27" s="19"/>
      <c r="D27" s="19"/>
      <c r="E27" s="19"/>
      <c r="F27" s="19" t="s">
        <v>225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157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237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238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225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239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240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148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241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156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152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153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29</v>
      </c>
      <c r="D26" s="20">
        <v>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223</v>
      </c>
      <c r="B28" s="19"/>
      <c r="C28" s="20"/>
      <c r="D28" s="20"/>
      <c r="E28" s="20"/>
      <c r="F28" s="20" t="s">
        <v>215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242</v>
      </c>
      <c r="B29" s="19"/>
      <c r="C29" s="20"/>
      <c r="D29" s="20"/>
      <c r="E29" s="20"/>
      <c r="F29" s="20" t="s">
        <v>215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243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244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241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148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240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156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245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153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162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147</v>
      </c>
      <c r="B34" s="19">
        <v>0</v>
      </c>
      <c r="C34" s="20">
        <v>28</v>
      </c>
      <c r="D34" s="20">
        <v>28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154</v>
      </c>
      <c r="B37" s="19">
        <v>0</v>
      </c>
      <c r="C37" s="20">
        <v>29</v>
      </c>
      <c r="D37" s="20">
        <v>11</v>
      </c>
      <c r="E37" s="20" t="s">
        <v>180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224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246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247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248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249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250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251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163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252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253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254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255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256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257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258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259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260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261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262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236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263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264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243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265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247</v>
      </c>
      <c r="B2" s="19">
        <v>0</v>
      </c>
      <c r="C2" s="20">
        <v>22</v>
      </c>
      <c r="D2" s="20">
        <v>58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266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267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268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260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20">
        <v>26</v>
      </c>
      <c r="D16" s="20">
        <v>21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153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263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147</v>
      </c>
      <c r="B29" s="19">
        <v>0</v>
      </c>
      <c r="C29" s="20">
        <v>30</v>
      </c>
      <c r="D29" s="20">
        <v>24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269</v>
      </c>
      <c r="B30" s="19">
        <v>0</v>
      </c>
      <c r="C30" s="20">
        <v>30</v>
      </c>
      <c r="D30" s="20">
        <v>33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265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247</v>
      </c>
      <c r="B2" s="19">
        <v>0</v>
      </c>
      <c r="C2" s="20">
        <v>23</v>
      </c>
      <c r="D2" s="20">
        <v>29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249</v>
      </c>
      <c r="B3" s="19">
        <v>0</v>
      </c>
      <c r="C3" s="20">
        <v>23</v>
      </c>
      <c r="D3" s="20">
        <v>54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248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266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252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270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163</v>
      </c>
      <c r="B12" s="19">
        <v>0</v>
      </c>
      <c r="C12" s="20">
        <v>25</v>
      </c>
      <c r="D12" s="20">
        <v>44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271</v>
      </c>
      <c r="B14" s="19">
        <v>0</v>
      </c>
      <c r="C14" s="20">
        <v>26</v>
      </c>
      <c r="D14" s="20">
        <v>23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267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272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268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245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28</v>
      </c>
      <c r="D22" s="20">
        <v>10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273</v>
      </c>
      <c r="B28" s="19">
        <v>0</v>
      </c>
      <c r="C28" s="20">
        <v>28</v>
      </c>
      <c r="D28" s="20">
        <v>42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260</v>
      </c>
      <c r="B29" s="19">
        <v>0</v>
      </c>
      <c r="C29" s="20">
        <v>29</v>
      </c>
      <c r="D29" s="20">
        <v>12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263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274</v>
      </c>
      <c r="B34" s="19">
        <v>0</v>
      </c>
      <c r="C34" s="20">
        <v>30</v>
      </c>
      <c r="D34" s="20">
        <v>48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265</v>
      </c>
      <c r="B35" s="19">
        <v>0</v>
      </c>
      <c r="C35" s="20">
        <v>31</v>
      </c>
      <c r="D35" s="20">
        <v>50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215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243</v>
      </c>
      <c r="B39" s="19"/>
      <c r="C39" s="20"/>
      <c r="D39" s="20"/>
      <c r="E39" s="20"/>
      <c r="F39" s="20" t="s">
        <v>215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9" sqref="A29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247</v>
      </c>
      <c r="B3" s="19">
        <v>0</v>
      </c>
      <c r="C3" s="20">
        <v>23</v>
      </c>
      <c r="D3" s="20">
        <v>15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275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249</v>
      </c>
      <c r="B5" s="19">
        <v>0</v>
      </c>
      <c r="C5" s="20">
        <v>23</v>
      </c>
      <c r="D5" s="20">
        <v>46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248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266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276</v>
      </c>
      <c r="B10" s="19">
        <v>0</v>
      </c>
      <c r="C10" s="20">
        <v>24</v>
      </c>
      <c r="D10" s="20">
        <v>34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277</v>
      </c>
      <c r="B11" s="19">
        <v>0</v>
      </c>
      <c r="C11" s="20">
        <v>24</v>
      </c>
      <c r="D11" s="20">
        <v>45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227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272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260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153</v>
      </c>
      <c r="B26" s="19">
        <v>0</v>
      </c>
      <c r="C26" s="20">
        <v>27</v>
      </c>
      <c r="D26" s="20">
        <v>48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151</v>
      </c>
      <c r="B27" s="19">
        <v>0</v>
      </c>
      <c r="C27" s="20">
        <v>28</v>
      </c>
      <c r="D27" s="20">
        <v>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>
        <v>674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Jennifer Clegg</v>
      </c>
      <c r="H29" s="22">
        <f t="shared" si="0"/>
        <v>1.9571759259259261E-2</v>
      </c>
      <c r="I29" t="str">
        <f t="shared" si="1"/>
        <v/>
      </c>
    </row>
    <row r="30" spans="1:9" ht="15" x14ac:dyDescent="0.4">
      <c r="A30" s="19" t="s">
        <v>278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263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170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168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279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280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281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248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282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164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283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284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260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272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175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285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166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286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287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288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174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180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289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263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290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180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291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180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292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293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294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180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172</v>
      </c>
      <c r="B53" s="19"/>
      <c r="C53" s="20"/>
      <c r="D53" s="20"/>
      <c r="E53" s="20"/>
      <c r="F53" s="20" t="s">
        <v>224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295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296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247</v>
      </c>
      <c r="B4" s="19">
        <v>0</v>
      </c>
      <c r="C4" s="20">
        <v>23</v>
      </c>
      <c r="D4" s="29">
        <v>41</v>
      </c>
      <c r="E4" s="20" t="s">
        <v>180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248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297</v>
      </c>
      <c r="B11" s="19">
        <v>0</v>
      </c>
      <c r="C11" s="20">
        <v>26</v>
      </c>
      <c r="D11" s="29">
        <v>12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298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272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285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299</v>
      </c>
      <c r="B19" s="19">
        <v>0</v>
      </c>
      <c r="C19" s="20">
        <v>28</v>
      </c>
      <c r="D19" s="29">
        <v>3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286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300</v>
      </c>
      <c r="B25" s="19">
        <v>0</v>
      </c>
      <c r="C25" s="20">
        <v>29</v>
      </c>
      <c r="D25" s="29">
        <v>56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301</v>
      </c>
      <c r="B26" s="19">
        <v>0</v>
      </c>
      <c r="C26" s="20">
        <v>31</v>
      </c>
      <c r="D26" s="29">
        <v>24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302</v>
      </c>
      <c r="B27" s="19">
        <v>0</v>
      </c>
      <c r="C27" s="20">
        <v>32</v>
      </c>
      <c r="D27" s="29">
        <v>14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260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292</v>
      </c>
      <c r="B29" s="19">
        <v>0</v>
      </c>
      <c r="C29" s="20">
        <v>32</v>
      </c>
      <c r="D29" s="29">
        <v>57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43" sqref="A43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303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295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279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281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304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47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248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305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306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307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266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237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308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255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260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284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309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310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311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312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268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313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272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314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315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316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317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286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318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180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319</v>
      </c>
      <c r="B43" s="19">
        <v>0</v>
      </c>
      <c r="C43" s="20">
        <v>26</v>
      </c>
      <c r="D43" s="20">
        <v>16</v>
      </c>
      <c r="E43" s="20" t="s">
        <v>180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180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288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320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300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180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321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263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322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292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180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323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180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30" t="s">
        <v>324</v>
      </c>
      <c r="B2" s="30">
        <v>0</v>
      </c>
      <c r="C2" s="30">
        <v>23</v>
      </c>
      <c r="D2" s="30">
        <v>12</v>
      </c>
      <c r="E2" s="30" t="s">
        <v>180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180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180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150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180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148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152</v>
      </c>
      <c r="B14" s="30">
        <v>0</v>
      </c>
      <c r="C14" s="30">
        <v>28</v>
      </c>
      <c r="D14" s="30">
        <v>27</v>
      </c>
      <c r="E14" s="30" t="s">
        <v>180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153</v>
      </c>
      <c r="B15" s="30">
        <v>0</v>
      </c>
      <c r="C15" s="30">
        <v>28</v>
      </c>
      <c r="D15" s="30">
        <v>30</v>
      </c>
      <c r="E15" s="30" t="s">
        <v>180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180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156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180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180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180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325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326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180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180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147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154</v>
      </c>
      <c r="B28" s="30">
        <v>0</v>
      </c>
      <c r="C28" s="30">
        <v>33</v>
      </c>
      <c r="D28" s="30">
        <v>15</v>
      </c>
      <c r="E28" s="30" t="s">
        <v>180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327</v>
      </c>
      <c r="B29" s="30">
        <v>0</v>
      </c>
      <c r="C29" s="30">
        <v>41</v>
      </c>
      <c r="D29" s="30">
        <v>24</v>
      </c>
      <c r="E29" s="30" t="s">
        <v>180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tabSelected="1" zoomScale="75" zoomScaleNormal="75" workbookViewId="0">
      <selection activeCell="B17" sqref="B17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36" t="s">
        <v>328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246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329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330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230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180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180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190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270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180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284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180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331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332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333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>
        <v>1348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/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180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180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180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334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180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335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180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232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271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180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180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336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180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337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203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234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233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236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196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180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180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338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339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340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180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210</v>
      </c>
      <c r="B43" s="36">
        <v>0</v>
      </c>
      <c r="C43" s="37">
        <v>6</v>
      </c>
      <c r="D43" s="38">
        <v>2.37</v>
      </c>
      <c r="E43" s="37" t="s">
        <v>47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341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644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153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156</v>
      </c>
      <c r="B21" s="19">
        <v>0</v>
      </c>
      <c r="C21" s="20">
        <v>29</v>
      </c>
      <c r="D21" s="20">
        <v>54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31</v>
      </c>
      <c r="D26" s="20">
        <v>28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10</vt:i4>
      </vt:variant>
    </vt:vector>
  </HeadingPairs>
  <TitlesOfParts>
    <vt:vector size="42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2025-11-14T16:58:04Z</dcterms:modified>
</cp:coreProperties>
</file>