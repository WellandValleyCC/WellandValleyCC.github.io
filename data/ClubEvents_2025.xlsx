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AA784EFF-BB97-4234-81A0-999A1E5CF9BB}" xr6:coauthVersionLast="47" xr6:coauthVersionMax="47" xr10:uidLastSave="{00000000-0000-0000-0000-000000000000}"/>
  <bookViews>
    <workbookView xWindow="0" yWindow="0" windowWidth="25867" windowHeight="17280" firstSheet="18" activeTab="27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" l="1"/>
  <c r="C6" i="4"/>
  <c r="C48" i="4"/>
  <c r="C49" i="4"/>
  <c r="C50" i="4"/>
  <c r="C51" i="4"/>
  <c r="C31" i="4"/>
  <c r="C52" i="4"/>
  <c r="C53" i="4"/>
  <c r="C54" i="4"/>
  <c r="C55" i="4"/>
  <c r="C56" i="4"/>
  <c r="C57" i="4"/>
  <c r="C58" i="4"/>
  <c r="C59" i="4"/>
  <c r="C60" i="4"/>
  <c r="C61" i="4"/>
  <c r="C62" i="4"/>
  <c r="C41" i="4"/>
  <c r="C63" i="4"/>
  <c r="C64" i="4"/>
  <c r="C65" i="4"/>
  <c r="C66" i="4"/>
  <c r="C8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47" i="4"/>
  <c r="C46" i="4"/>
  <c r="C2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 s="1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 s="1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 s="1"/>
  <c r="I7" i="12"/>
  <c r="G7" i="12" s="1"/>
  <c r="I8" i="12"/>
  <c r="G8" i="12" s="1"/>
  <c r="I9" i="12"/>
  <c r="G9" i="12" s="1"/>
  <c r="I10" i="12"/>
  <c r="G10" i="12" s="1"/>
  <c r="I12" i="12"/>
  <c r="G12" i="12" s="1"/>
  <c r="I13" i="12"/>
  <c r="G13" i="12" s="1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 s="1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19" i="19"/>
  <c r="G19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 s="1"/>
  <c r="I11" i="20"/>
  <c r="G11" i="20" s="1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 s="1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 s="1"/>
  <c r="I9" i="7"/>
  <c r="G9" i="7" s="1"/>
  <c r="I10" i="7"/>
  <c r="G10" i="7" s="1"/>
  <c r="I11" i="7"/>
  <c r="G11" i="7" s="1"/>
  <c r="I12" i="7"/>
  <c r="G12" i="7" s="1"/>
  <c r="I13" i="7"/>
  <c r="G13" i="7" s="1"/>
  <c r="I14" i="7"/>
  <c r="G14" i="7" s="1"/>
  <c r="I15" i="7"/>
  <c r="G15" i="7" s="1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 s="1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 s="1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C7" i="4"/>
  <c r="C45" i="4"/>
  <c r="C44" i="4"/>
  <c r="C43" i="4"/>
  <c r="A30" i="23" s="1"/>
  <c r="C42" i="4"/>
  <c r="A15" i="6" s="1"/>
  <c r="C40" i="4"/>
  <c r="C39" i="4"/>
  <c r="C38" i="4"/>
  <c r="C37" i="4"/>
  <c r="C36" i="4"/>
  <c r="C35" i="4"/>
  <c r="A10" i="19" s="1"/>
  <c r="C34" i="4"/>
  <c r="C33" i="4"/>
  <c r="C32" i="4"/>
  <c r="A44" i="23" s="1"/>
  <c r="C30" i="4"/>
  <c r="C29" i="4"/>
  <c r="C28" i="4"/>
  <c r="C27" i="4"/>
  <c r="C26" i="4"/>
  <c r="C25" i="4"/>
  <c r="C24" i="4"/>
  <c r="C23" i="4"/>
  <c r="C22" i="4"/>
  <c r="A35" i="23" s="1"/>
  <c r="C21" i="4"/>
  <c r="A26" i="24" s="1"/>
  <c r="C20" i="4"/>
  <c r="A3" i="24" s="1"/>
  <c r="C19" i="4"/>
  <c r="A15" i="24" s="1"/>
  <c r="C18" i="4"/>
  <c r="A11" i="24" s="1"/>
  <c r="A5" i="23"/>
  <c r="C17" i="4"/>
  <c r="A16" i="23" s="1"/>
  <c r="C16" i="4"/>
  <c r="A10" i="23" s="1"/>
  <c r="C15" i="4"/>
  <c r="C14" i="4"/>
  <c r="A19" i="24" s="1"/>
  <c r="A30" i="20"/>
  <c r="C13" i="4"/>
  <c r="A50" i="23" s="1"/>
  <c r="C12" i="4"/>
  <c r="A27" i="24" s="1"/>
  <c r="C11" i="4"/>
  <c r="C10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 s="1"/>
  <c r="I15" i="24"/>
  <c r="G15" i="24" s="1"/>
  <c r="I11" i="24"/>
  <c r="G11" i="24" s="1"/>
  <c r="I5" i="23"/>
  <c r="G5" i="23" s="1"/>
  <c r="I16" i="23"/>
  <c r="G16" i="23" s="1"/>
  <c r="I10" i="23"/>
  <c r="G10" i="23" s="1"/>
  <c r="A19" i="25"/>
  <c r="A18" i="19"/>
  <c r="I19" i="24"/>
  <c r="G19" i="24" s="1"/>
  <c r="I30" i="20"/>
  <c r="G30" i="20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 s="1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<sst xmlns="http://schemas.openxmlformats.org/spreadsheetml/2006/main" count="4489" uniqueCount="679">
  <si>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</si>
  <si>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</si>
  <si>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</si>
  <si>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</si>
  <si>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</si>
  <si>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</si>
  <si>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</si>
  <si>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</si>
  <si>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</si>
  <si>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</si>
  <si>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</si>
  <si>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</si>
  <si>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</si>
  <si>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</si>
  <si>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</si>
  <si>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</si>
  <si>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</si>
  <si>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</si>
  <si>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</si>
  <si>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</si>
  <si>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</si>
  <si>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</si>
  <si>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</si>
  <si>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</si>
  <si>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</si>
  <si>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</si>
  <si>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</si>
  <si>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</si>
  <si>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</si>
  <si>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</si>
  <si>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</si>
  <si>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</si>
  <si>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</si>
  <si>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</si>
  <si>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</si>
  <si>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</si>
  <si>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</si>
  <si>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</si>
  <si>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</si>
  <si>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</si>
  <si>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</si>
  <si>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</si>
  <si>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</si>
  <si>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</si>
  <si>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</si>
  <si>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</si>
  <si>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</si>
  <si>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</si>
  <si>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</si>
  <si>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</si>
  <si>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</si>
  <si>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</si>
  <si>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</si>
  <si>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</si>
  <si>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</si>
  <si>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</si>
  <si>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</si>
  <si>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</si>
  <si>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</si>
  <si>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</si>
  <si>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</si>
  <si>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</si>
  <si>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</si>
  <si>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</si>
  <si>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</si>
  <si>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</si>
  <si>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</si>
  <si>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</si>
  <si>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</si>
  <si>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</si>
  <si>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</si>
  <si>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</si>
  <si>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</si>
  <si>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</si>
  <si>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</si>
  <si>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</si>
  <si>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</si>
  <si>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</si>
  <si>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</si>
  <si>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</si>
  <si>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</si>
  <si>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</si>
  <si>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</si>
  <si>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</si>
  <si>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</si>
  <si>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</si>
  <si>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</si>
  <si>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</si>
  <si>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</si>
  <si>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</si>
  <si>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</si>
  <si>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</si>
  <si>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</si>
  <si>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</si>
  <si>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</si>
  <si>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</si>
  <si>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</si>
  <si>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</si>
  <si>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</si>
  <si>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</si>
  <si>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</si>
  <si>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</si>
  <si>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</si>
  <si>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</si>
  <si>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</si>
  <si>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</si>
  <si>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</si>
  <si>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</si>
  <si>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</si>
  <si>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</si>
  <si>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</si>
  <si>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</si>
  <si>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</si>
  <si>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</si>
  <si>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</si>
  <si>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</si>
  <si>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</si>
  <si>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</si>
  <si>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</si>
  <si>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</si>
  <si>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</si>
  <si>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</si>
  <si>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</si>
  <si>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</si>
  <si>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</si>
  <si>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</si>
  <si>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</si>
  <si>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</si>
  <si>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</si>
  <si>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</si>
  <si>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</si>
  <si>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</si>
  <si>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</si>
  <si>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</si>
  <si>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</si>
  <si>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</si>
  <si>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</si>
  <si>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</si>
  <si>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</si>
  <si>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</si>
  <si>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</si>
  <si>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</si>
  <si>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</si>
  <si>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</si>
  <si>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</si>
  <si>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</si>
  <si>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</si>
  <si>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</si>
  <si>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</si>
  <si>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</si>
  <si>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</si>
  <si>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</si>
  <si>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</si>
  <si>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</si>
  <si>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</si>
  <si>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</si>
  <si>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</si>
  <si>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</si>
  <si>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</si>
  <si>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</si>
  <si>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</si>
  <si>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</si>
  <si>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</si>
  <si>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</si>
  <si>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</si>
  <si>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</si>
  <si>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</si>
  <si>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</si>
  <si>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</si>
  <si>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</si>
  <si>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</si>
  <si>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</si>
  <si>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</si>
  <si>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</si>
  <si>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</si>
  <si>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</si>
  <si>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</si>
  <si>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</si>
  <si>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</si>
  <si>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</si>
  <si>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</si>
  <si>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</si>
  <si>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</si>
  <si>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</si>
  <si>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</si>
  <si>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</si>
  <si>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</si>
  <si>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</si>
  <si>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</si>
  <si>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</si>
  <si>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</si>
  <si>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</si>
  <si>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</si>
  <si>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</si>
  <si>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</si>
  <si>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</si>
  <si>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</si>
  <si>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</si>
  <si>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</si>
  <si>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</si>
  <si>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</si>
  <si>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</si>
  <si>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</si>
  <si>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</si>
  <si>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</si>
  <si>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</si>
  <si>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</si>
  <si>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</si>
  <si>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</si>
  <si>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</si>
  <si>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</si>
  <si>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</si>
  <si>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</si>
  <si>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</si>
  <si>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</si>
  <si>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</si>
  <si>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</si>
  <si>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</si>
  <si>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</si>
  <si>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</si>
  <si>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</si>
  <si>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</si>
  <si>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</si>
  <si>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</si>
  <si>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</si>
  <si>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</si>
  <si>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</si>
  <si>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</si>
  <si>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</si>
  <si>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</si>
  <si>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</si>
  <si>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</si>
  <si>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</si>
  <si>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</si>
  <si>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</si>
  <si>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</si>
  <si>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</si>
  <si>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</si>
  <si>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</si>
  <si>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</si>
  <si>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</si>
  <si>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</si>
  <si>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</si>
  <si>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</si>
  <si>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</si>
  <si>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</si>
  <si>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</si>
  <si>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</si>
  <si>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</si>
  <si>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</si>
  <si>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</si>
  <si>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</si>
  <si>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</si>
  <si>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</si>
  <si>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</si>
  <si>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</si>
  <si>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</si>
  <si>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</si>
  <si>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</si>
  <si>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</si>
  <si>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</si>
  <si>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</si>
  <si>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</si>
  <si>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</si>
  <si>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</si>
  <si>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</si>
  <si>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</si>
  <si>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</si>
  <si>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</si>
  <si>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</si>
  <si>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</si>
  <si>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</si>
  <si>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</si>
  <si>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</si>
  <si>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</si>
  <si>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</si>
  <si>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</si>
  <si>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</si>
  <si>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</si>
  <si>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</si>
  <si>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</si>
  <si>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</si>
  <si>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</si>
  <si>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</si>
  <si>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</si>
  <si>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</si>
  <si>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</si>
  <si>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</si>
  <si>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</si>
  <si>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</si>
  <si>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</si>
  <si>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</si>
  <si>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</si>
  <si>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</si>
  <si>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</si>
  <si>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</si>
  <si>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</si>
  <si>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</si>
  <si>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</si>
  <si>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</si>
  <si>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</si>
  <si>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</si>
  <si>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</si>
  <si>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</si>
  <si>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</si>
  <si>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</si>
  <si>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</si>
  <si>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</si>
  <si>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</si>
  <si>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</si>
  <si>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</si>
  <si>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</si>
  <si>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</si>
  <si>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</si>
  <si>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</si>
  <si>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</si>
  <si>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</si>
  <si>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</si>
  <si>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</si>
  <si>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</si>
  <si>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</si>
  <si>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</si>
  <si>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</si>
  <si>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</si>
  <si>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</si>
  <si>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</si>
  <si>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</si>
  <si>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</si>
  <si>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</si>
  <si>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</si>
  <si>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</si>
  <si>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</si>
  <si>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</si>
  <si>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</si>
  <si>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</si>
  <si>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</si>
  <si>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</si>
  <si>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</si>
  <si>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</si>
  <si>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</si>
  <si>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</si>
  <si>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</si>
  <si>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</si>
  <si>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</si>
  <si>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</si>
  <si>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</si>
  <si>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</si>
  <si>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</si>
  <si>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</si>
  <si>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</si>
  <si>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</si>
  <si>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</si>
  <si>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</si>
  <si>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</si>
  <si>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</si>
  <si>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</si>
  <si>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</si>
  <si>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</si>
  <si>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</si>
  <si>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</si>
  <si>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</si>
  <si>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</si>
  <si>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</si>
  <si>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</si>
  <si>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</si>
  <si>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</si>
  <si>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</si>
  <si>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</si>
  <si>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</si>
  <si>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</si>
  <si>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</si>
  <si>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</si>
  <si>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</si>
  <si>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</si>
  <si>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</si>
  <si>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</si>
  <si>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</si>
  <si>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</si>
  <si>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</si>
  <si>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</si>
  <si>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</si>
  <si>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</si>
  <si>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</si>
  <si>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</si>
  <si>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</si>
  <si>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</si>
  <si>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</si>
  <si>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</si>
  <si>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</si>
  <si>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</si>
  <si>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</si>
  <si>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</si>
  <si>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</si>
  <si>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</si>
  <si>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</si>
  <si>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</si>
  <si>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</si>
  <si>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</si>
  <si>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</si>
  <si>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</si>
  <si>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</si>
  <si>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</si>
  <si>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</si>
  <si>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</si>
  <si>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</si>
  <si>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</si>
  <si>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</si>
  <si>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</si>
  <si>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</si>
  <si>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</si>
  <si>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</si>
  <si>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</si>
  <si>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</si>
  <si>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</si>
  <si>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</si>
  <si>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</si>
  <si>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</si>
  <si>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</si>
  <si>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</si>
  <si>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</si>
  <si>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</si>
  <si>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</si>
  <si>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</si>
  <si>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</si>
  <si>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</si>
  <si>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</si>
  <si>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</si>
  <si>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</si>
  <si>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</si>
  <si>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</si>
  <si>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</si>
  <si>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</si>
  <si>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</si>
  <si>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</si>
  <si>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</si>
  <si>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</si>
  <si>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</si>
  <si>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</si>
  <si>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</si>
  <si>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</si>
  <si>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</si>
  <si>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</si>
  <si>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</si>
  <si>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</si>
  <si>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</si>
  <si>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</si>
  <si>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</si>
  <si>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</si>
  <si>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</si>
  <si>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</si>
  <si>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</si>
  <si>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</si>
  <si>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</si>
  <si>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</si>
  <si>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</si>
  <si>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</si>
  <si>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</si>
  <si>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</si>
  <si>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</si>
  <si>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</si>
  <si>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</si>
  <si>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</si>
  <si>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</si>
  <si>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</si>
  <si>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</si>
  <si>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</si>
  <si>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</si>
  <si>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</si>
  <si>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</si>
  <si>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</si>
  <si>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</si>
  <si>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</si>
  <si>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</si>
  <si>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</si>
  <si>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</si>
  <si>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</si>
  <si>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</si>
  <si>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</si>
  <si>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</si>
  <si>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</si>
  <si>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</si>
  <si>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</si>
  <si>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</si>
  <si>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</si>
  <si>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</si>
  <si>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</si>
  <si>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</si>
  <si>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</si>
  <si>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</si>
  <si>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</si>
  <si>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</si>
  <si>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</si>
  <si>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</si>
  <si>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</si>
  <si>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</si>
  <si>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</si>
  <si>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</si>
  <si>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</si>
  <si>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</si>
  <si>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</si>
  <si>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</si>
  <si>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</si>
  <si>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</si>
  <si>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</si>
  <si>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</si>
  <si>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</si>
  <si>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</si>
  <si>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</si>
  <si>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</si>
  <si>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</si>
  <si>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</si>
  <si>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</si>
  <si>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</si>
  <si>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</si>
  <si>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</si>
  <si>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</si>
  <si>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</si>
  <si>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</si>
  <si>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</si>
  <si>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</si>
  <si>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</si>
  <si>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</si>
  <si>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</si>
  <si>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</si>
  <si>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</si>
  <si>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</si>
  <si>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</si>
  <si>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</si>
  <si>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</si>
  <si>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</si>
  <si>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</si>
  <si>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</si>
  <si>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</si>
  <si>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</si>
  <si>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</si>
  <si>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</si>
  <si>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</si>
  <si>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</si>
  <si>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</si>
  <si>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</si>
  <si>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</si>
  <si>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</si>
  <si>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</si>
  <si>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</si>
  <si>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</si>
  <si>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</si>
  <si>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</si>
  <si>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</si>
  <si>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</si>
  <si>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</si>
  <si>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</si>
  <si>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</si>
  <si>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</si>
  <si>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</si>
  <si>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</si>
  <si>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</si>
  <si>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</si>
  <si>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</si>
  <si>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</si>
  <si>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</si>
  <si>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</si>
  <si>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</si>
  <si>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</si>
  <si>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</si>
  <si>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</si>
  <si>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</si>
  <si>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</si>
  <si>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</si>
  <si>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</si>
  <si>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</si>
  <si>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</si>
  <si>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</si>
  <si>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</si>
  <si>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</si>
  <si>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</si>
  <si>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</si>
  <si>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</si>
  <si>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</si>
  <si>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</si>
  <si>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</si>
  <si>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</si>
  <si>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</si>
  <si>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</si>
  <si>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</si>
  <si>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</si>
  <si>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</si>
  <si>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</si>
  <si>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</si>
  <si>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</si>
  <si>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</si>
  <si>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</si>
  <si>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</si>
  <si>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</si>
  <si>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</si>
  <si>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</si>
  <si>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</si>
  <si>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</si>
  <si>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</si>
  <si>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</si>
  <si>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</si>
  <si>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</si>
  <si>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</si>
  <si>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</si>
  <si>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</si>
  <si>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</si>
  <si>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</si>
  <si>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</si>
  <si>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</si>
  <si>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</si>
  <si>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</si>
  <si>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</si>
  <si>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</si>
  <si>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</si>
  <si>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</si>
  <si>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</si>
  <si>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</si>
  <si>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</si>
  <si>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</si>
  <si>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</si>
  <si>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</si>
  <si>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</si>
  <si>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</si>
  <si>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</si>
  <si>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</si>
  <si>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</si>
  <si>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</si>
  <si>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</si>
  <si>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</si>
  <si>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</si>
  <si>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</si>
  <si>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</si>
  <si>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</si>
  <si>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</si>
  <si>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</si>
  <si>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</si>
  <si>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</si>
  <si>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</si>
  <si>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</si>
  <si>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</si>
  <si>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</si>
  <si>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</si>
  <si>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</si>
  <si>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</si>
  <si>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</si>
  <si>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</si>
  <si>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</si>
  <si>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</si>
  <si>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</si>
  <si>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</si>
  <si>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</si>
  <si>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</si>
  <si>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</si>
  <si>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</si>
  <si>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</si>
  <si>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</si>
  <si>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</si>
  <si>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</si>
  <si>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</si>
  <si>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</si>
  <si>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</si>
  <si>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</si>
  <si>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</si>
  <si>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</si>
  <si>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</si>
  <si>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</si>
  <si>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</si>
  <si>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</si>
  <si>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</si>
  <si>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</si>
  <si>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</si>
  <si>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</si>
  <si>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</si>
  <si>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</si>
  <si>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</si>
  <si>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</si>
  <si>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Michael Burke</t>
  </si>
  <si>
    <t>Ratae</t>
  </si>
  <si>
    <t>Colin Parkinson (SWRC)</t>
  </si>
  <si>
    <t>Mick Wills (M I Racing)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</si>
</sst>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3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291</v>
      </c>
    </row>
    <row r="3" spans="1:3" x14ac:dyDescent="0.35">
      <c r="C3" t="s">
        <v>292</v>
      </c>
    </row>
    <row r="4" spans="1:3" x14ac:dyDescent="0.35">
      <c r="C4" t="s">
        <v>293</v>
      </c>
    </row>
    <row r="5" spans="1:3" x14ac:dyDescent="0.35">
      <c r="C5" t="s">
        <v>294</v>
      </c>
    </row>
    <row r="6" spans="1:3" ht="13.15" x14ac:dyDescent="0.4">
      <c r="C6" t="s">
        <v>650</v>
      </c>
    </row>
    <row r="7" spans="1:3" x14ac:dyDescent="0.35">
      <c r="A7" s="1">
        <v>45954</v>
      </c>
      <c r="B7" s="1" t="s">
        <v>0</v>
      </c>
      <c r="C7" t="s">
        <v>585</v>
      </c>
    </row>
    <row r="8" spans="1:3" x14ac:dyDescent="0.35">
      <c r="A8" s="1">
        <v>46046</v>
      </c>
      <c r="B8" s="1" t="s">
        <v>0</v>
      </c>
      <c r="C8" t="s">
        <v>666</v>
      </c>
    </row>
    <row r="9" spans="1:3" x14ac:dyDescent="0.35">
      <c r="C9" t="s">
        <v>667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29" zoomScaleNormal="100" workbookViewId="0">
      <selection activeCell="B157" sqref="B157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303</v>
      </c>
      <c r="B1" t="s">
        <v>48</v>
      </c>
      <c r="C1" t="s">
        <v>304</v>
      </c>
      <c r="D1" t="s">
        <v>302</v>
      </c>
      <c r="E1" t="s">
        <v>301</v>
      </c>
      <c r="F1" t="s">
        <v>643</v>
      </c>
      <c r="G1" t="s">
        <v>644</v>
      </c>
      <c r="H1" t="s">
        <v>546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645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646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645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646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645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645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645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645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646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646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300</v>
      </c>
      <c r="D12" t="s">
        <v>60</v>
      </c>
      <c r="E12" t="b">
        <v>0</v>
      </c>
      <c r="F12" t="s">
        <v>646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645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645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647</v>
      </c>
      <c r="H15" s="1">
        <v>46000</v>
      </c>
      <c r="J15" s="1"/>
    </row>
    <row r="16" spans="1:10" x14ac:dyDescent="0.35">
      <c r="A16">
        <v>1328</v>
      </c>
      <c r="B16" t="s">
        <v>299</v>
      </c>
      <c r="C16" t="s">
        <v>74</v>
      </c>
      <c r="D16" t="s">
        <v>60</v>
      </c>
      <c r="E16" t="b">
        <v>0</v>
      </c>
      <c r="F16" t="s">
        <v>645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645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645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645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645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297</v>
      </c>
      <c r="E21" t="b">
        <v>1</v>
      </c>
      <c r="F21" t="s">
        <v>646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647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645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298</v>
      </c>
      <c r="C24" t="s">
        <v>87</v>
      </c>
      <c r="D24" t="s">
        <v>60</v>
      </c>
      <c r="E24" t="b">
        <v>0</v>
      </c>
      <c r="F24" t="s">
        <v>645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646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645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645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645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645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645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645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645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645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647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647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297</v>
      </c>
      <c r="E36" t="b">
        <v>0</v>
      </c>
      <c r="F36" t="s">
        <v>646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645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296</v>
      </c>
      <c r="C38" t="s">
        <v>295</v>
      </c>
      <c r="D38" t="s">
        <v>60</v>
      </c>
      <c r="E38" t="b">
        <v>0</v>
      </c>
      <c r="F38" t="s">
        <v>646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645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645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645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645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645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307</v>
      </c>
      <c r="D44" t="s">
        <v>60</v>
      </c>
      <c r="E44" t="b">
        <v>0</v>
      </c>
      <c r="F44" t="s">
        <v>645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308</v>
      </c>
      <c r="C45" t="s">
        <v>309</v>
      </c>
      <c r="D45" t="s">
        <v>297</v>
      </c>
      <c r="E45" t="b">
        <v>1</v>
      </c>
      <c r="F45" t="s">
        <v>645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310</v>
      </c>
      <c r="C46" t="s">
        <v>311</v>
      </c>
      <c r="D46" t="s">
        <v>60</v>
      </c>
      <c r="E46" t="b">
        <v>0</v>
      </c>
      <c r="F46" t="s">
        <v>647</v>
      </c>
      <c r="H46" s="1">
        <v>46000</v>
      </c>
      <c r="J46" s="1"/>
    </row>
    <row r="47" spans="1:10" x14ac:dyDescent="0.35">
      <c r="A47">
        <v>1061</v>
      </c>
      <c r="B47" t="s">
        <v>312</v>
      </c>
      <c r="C47" t="s">
        <v>313</v>
      </c>
      <c r="D47" t="s">
        <v>60</v>
      </c>
      <c r="E47" t="b">
        <v>0</v>
      </c>
      <c r="F47" t="s">
        <v>645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314</v>
      </c>
      <c r="C48" t="s">
        <v>87</v>
      </c>
      <c r="D48" t="s">
        <v>60</v>
      </c>
      <c r="E48" t="b">
        <v>0</v>
      </c>
      <c r="F48" t="s">
        <v>645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315</v>
      </c>
      <c r="C49" t="s">
        <v>316</v>
      </c>
      <c r="D49" t="s">
        <v>60</v>
      </c>
      <c r="E49" t="b">
        <v>1</v>
      </c>
      <c r="F49" t="s">
        <v>645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317</v>
      </c>
      <c r="C50" t="s">
        <v>318</v>
      </c>
      <c r="D50" t="s">
        <v>60</v>
      </c>
      <c r="E50" t="b">
        <v>0</v>
      </c>
      <c r="F50" t="s">
        <v>645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319</v>
      </c>
      <c r="C51" t="s">
        <v>320</v>
      </c>
      <c r="D51" t="s">
        <v>60</v>
      </c>
      <c r="E51" t="b">
        <v>0</v>
      </c>
      <c r="F51" t="s">
        <v>645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321</v>
      </c>
      <c r="C52" t="s">
        <v>322</v>
      </c>
      <c r="D52" t="s">
        <v>60</v>
      </c>
      <c r="E52" t="b">
        <v>1</v>
      </c>
      <c r="F52" t="s">
        <v>646</v>
      </c>
      <c r="H52" s="1">
        <v>46000</v>
      </c>
      <c r="J52" s="1"/>
    </row>
    <row r="53" spans="1:10" x14ac:dyDescent="0.35">
      <c r="A53">
        <v>704</v>
      </c>
      <c r="B53" t="s">
        <v>323</v>
      </c>
      <c r="C53" t="s">
        <v>66</v>
      </c>
      <c r="D53" t="s">
        <v>60</v>
      </c>
      <c r="E53" t="b">
        <v>0</v>
      </c>
      <c r="F53" t="s">
        <v>645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324</v>
      </c>
      <c r="C54" t="s">
        <v>325</v>
      </c>
      <c r="D54" t="s">
        <v>60</v>
      </c>
      <c r="E54" t="b">
        <v>0</v>
      </c>
      <c r="F54" t="s">
        <v>645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326</v>
      </c>
      <c r="C55" t="s">
        <v>327</v>
      </c>
      <c r="D55" t="s">
        <v>60</v>
      </c>
      <c r="E55" t="b">
        <v>0</v>
      </c>
      <c r="F55" t="s">
        <v>645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328</v>
      </c>
      <c r="C56" t="s">
        <v>94</v>
      </c>
      <c r="D56" t="s">
        <v>60</v>
      </c>
      <c r="E56" t="b">
        <v>0</v>
      </c>
      <c r="F56" t="s">
        <v>646</v>
      </c>
      <c r="H56" s="1">
        <v>46000</v>
      </c>
      <c r="J56" s="1"/>
    </row>
    <row r="57" spans="1:10" x14ac:dyDescent="0.35">
      <c r="A57">
        <v>1226</v>
      </c>
      <c r="B57" t="s">
        <v>329</v>
      </c>
      <c r="C57" t="s">
        <v>330</v>
      </c>
      <c r="D57" t="s">
        <v>60</v>
      </c>
      <c r="E57" t="b">
        <v>1</v>
      </c>
      <c r="F57" t="s">
        <v>646</v>
      </c>
      <c r="H57" s="1">
        <v>46000</v>
      </c>
      <c r="J57" s="1"/>
    </row>
    <row r="58" spans="1:10" x14ac:dyDescent="0.35">
      <c r="A58">
        <v>1333</v>
      </c>
      <c r="B58" t="s">
        <v>331</v>
      </c>
      <c r="C58" t="s">
        <v>332</v>
      </c>
      <c r="D58" t="s">
        <v>60</v>
      </c>
      <c r="E58" t="b">
        <v>0</v>
      </c>
      <c r="F58" t="s">
        <v>645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333</v>
      </c>
      <c r="C59" t="s">
        <v>334</v>
      </c>
      <c r="D59" t="s">
        <v>60</v>
      </c>
      <c r="E59" t="b">
        <v>1</v>
      </c>
      <c r="F59" t="s">
        <v>647</v>
      </c>
      <c r="H59" s="1">
        <v>46000</v>
      </c>
      <c r="J59" s="1"/>
    </row>
    <row r="60" spans="1:10" x14ac:dyDescent="0.35">
      <c r="A60">
        <v>1065</v>
      </c>
      <c r="B60" t="s">
        <v>333</v>
      </c>
      <c r="C60" t="s">
        <v>71</v>
      </c>
      <c r="D60" t="s">
        <v>60</v>
      </c>
      <c r="E60" t="b">
        <v>0</v>
      </c>
      <c r="F60" t="s">
        <v>645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335</v>
      </c>
      <c r="C61" t="s">
        <v>332</v>
      </c>
      <c r="D61" t="s">
        <v>297</v>
      </c>
      <c r="E61" t="b">
        <v>0</v>
      </c>
      <c r="F61" t="s">
        <v>645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336</v>
      </c>
      <c r="C62" t="s">
        <v>337</v>
      </c>
      <c r="D62" t="s">
        <v>60</v>
      </c>
      <c r="E62" t="b">
        <v>0</v>
      </c>
      <c r="F62" t="s">
        <v>645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338</v>
      </c>
      <c r="C63" t="s">
        <v>67</v>
      </c>
      <c r="D63" t="s">
        <v>297</v>
      </c>
      <c r="E63" t="b">
        <v>0</v>
      </c>
      <c r="F63" t="s">
        <v>645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339</v>
      </c>
      <c r="C64" t="s">
        <v>340</v>
      </c>
      <c r="D64" t="s">
        <v>60</v>
      </c>
      <c r="E64" t="b">
        <v>0</v>
      </c>
      <c r="F64" t="s">
        <v>647</v>
      </c>
      <c r="H64" s="1">
        <v>46000</v>
      </c>
      <c r="J64" s="1"/>
    </row>
    <row r="65" spans="1:10" x14ac:dyDescent="0.35">
      <c r="A65">
        <v>1236</v>
      </c>
      <c r="B65" t="s">
        <v>339</v>
      </c>
      <c r="C65" t="s">
        <v>341</v>
      </c>
      <c r="D65" t="s">
        <v>60</v>
      </c>
      <c r="E65" t="b">
        <v>1</v>
      </c>
      <c r="F65" t="s">
        <v>645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339</v>
      </c>
      <c r="C66" t="s">
        <v>342</v>
      </c>
      <c r="D66" t="s">
        <v>60</v>
      </c>
      <c r="E66" t="b">
        <v>0</v>
      </c>
      <c r="F66" t="s">
        <v>645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343</v>
      </c>
      <c r="C67" t="s">
        <v>344</v>
      </c>
      <c r="D67" t="s">
        <v>297</v>
      </c>
      <c r="E67" t="b">
        <v>0</v>
      </c>
      <c r="F67" t="s">
        <v>645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345</v>
      </c>
      <c r="C68" t="s">
        <v>346</v>
      </c>
      <c r="D68" t="s">
        <v>60</v>
      </c>
      <c r="E68" t="b">
        <v>0</v>
      </c>
      <c r="F68" t="s">
        <v>646</v>
      </c>
      <c r="H68" s="1">
        <v>46000</v>
      </c>
      <c r="J68" s="1"/>
    </row>
    <row r="69" spans="1:10" x14ac:dyDescent="0.35">
      <c r="A69">
        <v>1332</v>
      </c>
      <c r="B69" t="s">
        <v>347</v>
      </c>
      <c r="C69" t="s">
        <v>348</v>
      </c>
      <c r="D69" t="s">
        <v>60</v>
      </c>
      <c r="E69" t="b">
        <v>1</v>
      </c>
      <c r="F69" t="s">
        <v>646</v>
      </c>
      <c r="H69" s="1">
        <v>46000</v>
      </c>
      <c r="J69" s="1"/>
    </row>
    <row r="70" spans="1:10" x14ac:dyDescent="0.35">
      <c r="A70">
        <v>1355</v>
      </c>
      <c r="B70" t="s">
        <v>349</v>
      </c>
      <c r="C70" t="s">
        <v>350</v>
      </c>
      <c r="D70" t="s">
        <v>60</v>
      </c>
      <c r="E70" t="b">
        <v>0</v>
      </c>
      <c r="F70" t="s">
        <v>647</v>
      </c>
      <c r="H70" s="1">
        <v>46000</v>
      </c>
      <c r="J70" s="1"/>
    </row>
    <row r="71" spans="1:10" x14ac:dyDescent="0.35">
      <c r="A71">
        <v>1164</v>
      </c>
      <c r="B71" t="s">
        <v>351</v>
      </c>
      <c r="C71" t="s">
        <v>352</v>
      </c>
      <c r="D71" t="s">
        <v>297</v>
      </c>
      <c r="E71" t="b">
        <v>1</v>
      </c>
      <c r="F71" t="s">
        <v>646</v>
      </c>
      <c r="H71" s="1">
        <v>46000</v>
      </c>
      <c r="J71" s="1"/>
    </row>
    <row r="72" spans="1:10" x14ac:dyDescent="0.35">
      <c r="A72">
        <v>1062</v>
      </c>
      <c r="B72" t="s">
        <v>351</v>
      </c>
      <c r="C72" t="s">
        <v>96</v>
      </c>
      <c r="D72" t="s">
        <v>60</v>
      </c>
      <c r="E72" t="b">
        <v>0</v>
      </c>
      <c r="F72" t="s">
        <v>645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351</v>
      </c>
      <c r="C73" t="s">
        <v>353</v>
      </c>
      <c r="D73" t="s">
        <v>60</v>
      </c>
      <c r="E73" t="b">
        <v>1</v>
      </c>
      <c r="F73" t="s">
        <v>645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354</v>
      </c>
      <c r="C74" t="s">
        <v>355</v>
      </c>
      <c r="D74" t="s">
        <v>60</v>
      </c>
      <c r="E74" t="b">
        <v>1</v>
      </c>
      <c r="F74" t="s">
        <v>645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356</v>
      </c>
      <c r="C75" t="s">
        <v>357</v>
      </c>
      <c r="D75" t="s">
        <v>60</v>
      </c>
      <c r="E75" t="b">
        <v>1</v>
      </c>
      <c r="F75" t="s">
        <v>645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358</v>
      </c>
      <c r="C76" t="s">
        <v>359</v>
      </c>
      <c r="D76" t="s">
        <v>60</v>
      </c>
      <c r="E76" t="b">
        <v>0</v>
      </c>
      <c r="F76" t="s">
        <v>645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360</v>
      </c>
      <c r="C77" t="s">
        <v>361</v>
      </c>
      <c r="D77" t="s">
        <v>60</v>
      </c>
      <c r="E77" t="b">
        <v>1</v>
      </c>
      <c r="F77" t="s">
        <v>646</v>
      </c>
      <c r="H77" s="1">
        <v>46000</v>
      </c>
      <c r="J77" s="1"/>
    </row>
    <row r="78" spans="1:10" x14ac:dyDescent="0.35">
      <c r="A78">
        <v>933</v>
      </c>
      <c r="B78" t="s">
        <v>362</v>
      </c>
      <c r="C78" t="s">
        <v>363</v>
      </c>
      <c r="D78" t="s">
        <v>60</v>
      </c>
      <c r="E78" t="b">
        <v>0</v>
      </c>
      <c r="F78" t="s">
        <v>646</v>
      </c>
      <c r="H78" s="1">
        <v>46000</v>
      </c>
      <c r="J78" s="1"/>
    </row>
    <row r="79" spans="1:10" x14ac:dyDescent="0.35">
      <c r="A79">
        <v>1317</v>
      </c>
      <c r="B79" t="s">
        <v>364</v>
      </c>
      <c r="C79" t="s">
        <v>320</v>
      </c>
      <c r="D79" t="s">
        <v>60</v>
      </c>
      <c r="E79" t="b">
        <v>0</v>
      </c>
      <c r="F79" t="s">
        <v>645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365</v>
      </c>
      <c r="C80" t="s">
        <v>79</v>
      </c>
      <c r="D80" t="s">
        <v>78</v>
      </c>
      <c r="E80" t="b">
        <v>0</v>
      </c>
      <c r="F80" t="s">
        <v>645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366</v>
      </c>
      <c r="C81" t="s">
        <v>367</v>
      </c>
      <c r="D81" t="s">
        <v>60</v>
      </c>
      <c r="E81" t="b">
        <v>1</v>
      </c>
      <c r="F81" t="s">
        <v>645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368</v>
      </c>
      <c r="C82" t="s">
        <v>369</v>
      </c>
      <c r="D82" t="s">
        <v>60</v>
      </c>
      <c r="E82" t="b">
        <v>0</v>
      </c>
      <c r="F82" t="s">
        <v>645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370</v>
      </c>
      <c r="C83" t="s">
        <v>371</v>
      </c>
      <c r="D83" t="s">
        <v>60</v>
      </c>
      <c r="E83" t="b">
        <v>0</v>
      </c>
      <c r="F83" t="s">
        <v>647</v>
      </c>
      <c r="H83" s="1">
        <v>46000</v>
      </c>
      <c r="J83" s="1"/>
    </row>
    <row r="84" spans="1:10" x14ac:dyDescent="0.35">
      <c r="A84">
        <v>1195</v>
      </c>
      <c r="B84" t="s">
        <v>370</v>
      </c>
      <c r="C84" t="s">
        <v>372</v>
      </c>
      <c r="D84" t="s">
        <v>60</v>
      </c>
      <c r="E84" t="b">
        <v>0</v>
      </c>
      <c r="F84" t="s">
        <v>647</v>
      </c>
      <c r="H84" s="1">
        <v>46000</v>
      </c>
      <c r="J84" s="1"/>
    </row>
    <row r="85" spans="1:10" x14ac:dyDescent="0.35">
      <c r="A85">
        <v>1193</v>
      </c>
      <c r="B85" t="s">
        <v>370</v>
      </c>
      <c r="C85" t="s">
        <v>373</v>
      </c>
      <c r="D85" t="s">
        <v>60</v>
      </c>
      <c r="E85" t="b">
        <v>0</v>
      </c>
      <c r="F85" t="s">
        <v>646</v>
      </c>
      <c r="H85" s="1">
        <v>46000</v>
      </c>
      <c r="J85" s="1"/>
    </row>
    <row r="86" spans="1:10" x14ac:dyDescent="0.35">
      <c r="A86">
        <v>1194</v>
      </c>
      <c r="B86" t="s">
        <v>370</v>
      </c>
      <c r="C86" t="s">
        <v>374</v>
      </c>
      <c r="D86" t="s">
        <v>60</v>
      </c>
      <c r="E86" t="b">
        <v>1</v>
      </c>
      <c r="F86" t="s">
        <v>646</v>
      </c>
      <c r="H86" s="1">
        <v>46000</v>
      </c>
      <c r="J86" s="1"/>
    </row>
    <row r="87" spans="1:10" x14ac:dyDescent="0.35">
      <c r="A87">
        <v>936</v>
      </c>
      <c r="B87" t="s">
        <v>375</v>
      </c>
      <c r="C87" t="s">
        <v>376</v>
      </c>
      <c r="D87" t="s">
        <v>60</v>
      </c>
      <c r="E87" t="b">
        <v>0</v>
      </c>
      <c r="F87" t="s">
        <v>645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377</v>
      </c>
      <c r="C88" t="s">
        <v>378</v>
      </c>
      <c r="D88" t="s">
        <v>60</v>
      </c>
      <c r="E88" t="b">
        <v>0</v>
      </c>
      <c r="F88" t="s">
        <v>645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377</v>
      </c>
      <c r="C89" t="s">
        <v>379</v>
      </c>
      <c r="D89" t="s">
        <v>60</v>
      </c>
      <c r="E89" t="b">
        <v>0</v>
      </c>
      <c r="F89" t="s">
        <v>647</v>
      </c>
      <c r="H89" s="1">
        <v>46000</v>
      </c>
      <c r="J89" s="1"/>
    </row>
    <row r="90" spans="1:10" x14ac:dyDescent="0.35">
      <c r="A90">
        <v>1174</v>
      </c>
      <c r="B90" t="s">
        <v>377</v>
      </c>
      <c r="C90" t="s">
        <v>380</v>
      </c>
      <c r="D90" t="s">
        <v>60</v>
      </c>
      <c r="E90" t="b">
        <v>1</v>
      </c>
      <c r="F90" t="s">
        <v>645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377</v>
      </c>
      <c r="C91" t="s">
        <v>373</v>
      </c>
      <c r="D91" t="s">
        <v>60</v>
      </c>
      <c r="E91" t="b">
        <v>0</v>
      </c>
      <c r="F91" t="s">
        <v>645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381</v>
      </c>
      <c r="C92" t="s">
        <v>327</v>
      </c>
      <c r="D92" t="s">
        <v>60</v>
      </c>
      <c r="E92" t="b">
        <v>0</v>
      </c>
      <c r="F92" t="s">
        <v>646</v>
      </c>
      <c r="H92" s="1">
        <v>46000</v>
      </c>
      <c r="J92" s="1"/>
    </row>
    <row r="93" spans="1:10" x14ac:dyDescent="0.35">
      <c r="A93">
        <v>1073</v>
      </c>
      <c r="B93" t="s">
        <v>382</v>
      </c>
      <c r="C93" t="s">
        <v>373</v>
      </c>
      <c r="D93" t="s">
        <v>60</v>
      </c>
      <c r="E93" t="b">
        <v>0</v>
      </c>
      <c r="F93" t="s">
        <v>645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383</v>
      </c>
      <c r="C94" t="s">
        <v>384</v>
      </c>
      <c r="D94" t="s">
        <v>60</v>
      </c>
      <c r="E94" t="b">
        <v>0</v>
      </c>
      <c r="F94" t="s">
        <v>645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383</v>
      </c>
      <c r="C95" t="s">
        <v>385</v>
      </c>
      <c r="D95" t="s">
        <v>60</v>
      </c>
      <c r="E95" t="b">
        <v>1</v>
      </c>
      <c r="F95" t="s">
        <v>645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383</v>
      </c>
      <c r="C96" t="s">
        <v>386</v>
      </c>
      <c r="D96" t="s">
        <v>60</v>
      </c>
      <c r="E96" t="b">
        <v>1</v>
      </c>
      <c r="F96" t="s">
        <v>646</v>
      </c>
      <c r="H96" s="1">
        <v>46000</v>
      </c>
      <c r="J96" s="1"/>
    </row>
    <row r="97" spans="1:10" x14ac:dyDescent="0.35">
      <c r="A97">
        <v>1367</v>
      </c>
      <c r="B97" t="s">
        <v>383</v>
      </c>
      <c r="C97" t="s">
        <v>371</v>
      </c>
      <c r="D97" t="s">
        <v>60</v>
      </c>
      <c r="E97" t="b">
        <v>0</v>
      </c>
      <c r="F97" t="s">
        <v>647</v>
      </c>
      <c r="H97" s="1">
        <v>46000</v>
      </c>
      <c r="J97" s="1"/>
    </row>
    <row r="98" spans="1:10" x14ac:dyDescent="0.35">
      <c r="A98">
        <v>1387</v>
      </c>
      <c r="B98" t="s">
        <v>387</v>
      </c>
      <c r="C98" t="s">
        <v>388</v>
      </c>
      <c r="D98" t="s">
        <v>60</v>
      </c>
      <c r="E98" t="b">
        <v>1</v>
      </c>
      <c r="F98" t="s">
        <v>646</v>
      </c>
      <c r="H98" s="1">
        <v>46000</v>
      </c>
      <c r="J98" s="1"/>
    </row>
    <row r="99" spans="1:10" x14ac:dyDescent="0.35">
      <c r="A99">
        <v>1308</v>
      </c>
      <c r="B99" t="s">
        <v>389</v>
      </c>
      <c r="C99" t="s">
        <v>390</v>
      </c>
      <c r="D99" t="s">
        <v>60</v>
      </c>
      <c r="E99" t="b">
        <v>1</v>
      </c>
      <c r="F99" t="s">
        <v>645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391</v>
      </c>
      <c r="C100" t="s">
        <v>392</v>
      </c>
      <c r="D100" t="s">
        <v>60</v>
      </c>
      <c r="E100" t="b">
        <v>1</v>
      </c>
      <c r="F100" t="s">
        <v>645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391</v>
      </c>
      <c r="C101" t="s">
        <v>91</v>
      </c>
      <c r="D101" t="s">
        <v>60</v>
      </c>
      <c r="E101" t="b">
        <v>0</v>
      </c>
      <c r="F101" t="s">
        <v>645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393</v>
      </c>
      <c r="C102" t="s">
        <v>337</v>
      </c>
      <c r="D102" t="s">
        <v>60</v>
      </c>
      <c r="E102" t="b">
        <v>0</v>
      </c>
      <c r="F102" t="s">
        <v>645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394</v>
      </c>
      <c r="C103" t="s">
        <v>395</v>
      </c>
      <c r="D103" t="s">
        <v>60</v>
      </c>
      <c r="E103" t="b">
        <v>0</v>
      </c>
      <c r="F103" t="s">
        <v>645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396</v>
      </c>
      <c r="C104" t="s">
        <v>372</v>
      </c>
      <c r="D104" t="s">
        <v>60</v>
      </c>
      <c r="E104" t="b">
        <v>0</v>
      </c>
      <c r="F104" t="s">
        <v>645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396</v>
      </c>
      <c r="C105" t="s">
        <v>397</v>
      </c>
      <c r="D105" t="s">
        <v>60</v>
      </c>
      <c r="E105" t="b">
        <v>0</v>
      </c>
      <c r="F105" t="s">
        <v>646</v>
      </c>
      <c r="H105" s="1">
        <v>46000</v>
      </c>
      <c r="J105" s="1"/>
    </row>
    <row r="106" spans="1:10" x14ac:dyDescent="0.35">
      <c r="A106">
        <v>746</v>
      </c>
      <c r="B106" t="s">
        <v>398</v>
      </c>
      <c r="C106" t="s">
        <v>71</v>
      </c>
      <c r="D106" t="s">
        <v>60</v>
      </c>
      <c r="E106" t="b">
        <v>0</v>
      </c>
      <c r="F106" t="s">
        <v>645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399</v>
      </c>
      <c r="C107" t="s">
        <v>400</v>
      </c>
      <c r="D107" t="s">
        <v>60</v>
      </c>
      <c r="E107" t="b">
        <v>0</v>
      </c>
      <c r="F107" t="s">
        <v>645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401</v>
      </c>
      <c r="C108" t="s">
        <v>307</v>
      </c>
      <c r="D108" t="s">
        <v>60</v>
      </c>
      <c r="E108" t="b">
        <v>0</v>
      </c>
      <c r="F108" t="s">
        <v>645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402</v>
      </c>
      <c r="C109" t="s">
        <v>403</v>
      </c>
      <c r="D109" t="s">
        <v>60</v>
      </c>
      <c r="E109" t="b">
        <v>1</v>
      </c>
      <c r="F109" t="s">
        <v>645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404</v>
      </c>
      <c r="C110" t="s">
        <v>309</v>
      </c>
      <c r="D110" t="s">
        <v>60</v>
      </c>
      <c r="E110" t="b">
        <v>1</v>
      </c>
      <c r="F110" t="s">
        <v>645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405</v>
      </c>
      <c r="C111" t="s">
        <v>406</v>
      </c>
      <c r="D111" t="s">
        <v>60</v>
      </c>
      <c r="E111" t="b">
        <v>1</v>
      </c>
      <c r="F111" t="s">
        <v>646</v>
      </c>
      <c r="H111" s="1">
        <v>46000</v>
      </c>
      <c r="J111" s="1"/>
    </row>
    <row r="112" spans="1:10" x14ac:dyDescent="0.35">
      <c r="A112">
        <v>23</v>
      </c>
      <c r="B112" t="s">
        <v>407</v>
      </c>
      <c r="C112" t="s">
        <v>66</v>
      </c>
      <c r="D112" t="s">
        <v>60</v>
      </c>
      <c r="E112" t="b">
        <v>0</v>
      </c>
      <c r="F112" t="s">
        <v>645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408</v>
      </c>
      <c r="C113" t="s">
        <v>409</v>
      </c>
      <c r="D113" t="s">
        <v>297</v>
      </c>
      <c r="E113" t="b">
        <v>1</v>
      </c>
      <c r="F113" t="s">
        <v>648</v>
      </c>
      <c r="H113" s="1">
        <v>46000</v>
      </c>
      <c r="J113" s="1"/>
    </row>
    <row r="114" spans="1:10" x14ac:dyDescent="0.35">
      <c r="A114">
        <v>581</v>
      </c>
      <c r="B114" t="s">
        <v>410</v>
      </c>
      <c r="C114" t="s">
        <v>411</v>
      </c>
      <c r="D114" t="s">
        <v>60</v>
      </c>
      <c r="E114" t="b">
        <v>0</v>
      </c>
      <c r="F114" t="s">
        <v>645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412</v>
      </c>
      <c r="C115" t="s">
        <v>413</v>
      </c>
      <c r="D115" t="s">
        <v>60</v>
      </c>
      <c r="E115" t="b">
        <v>0</v>
      </c>
      <c r="F115" t="s">
        <v>646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414</v>
      </c>
      <c r="D116" t="s">
        <v>60</v>
      </c>
      <c r="E116" t="b">
        <v>0</v>
      </c>
      <c r="F116" t="s">
        <v>645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415</v>
      </c>
      <c r="C117" t="s">
        <v>373</v>
      </c>
      <c r="D117" t="s">
        <v>297</v>
      </c>
      <c r="E117" t="b">
        <v>0</v>
      </c>
      <c r="F117" t="s">
        <v>646</v>
      </c>
      <c r="H117" s="1">
        <v>46000</v>
      </c>
      <c r="J117" s="1"/>
    </row>
    <row r="118" spans="1:10" x14ac:dyDescent="0.35">
      <c r="A118">
        <v>1144</v>
      </c>
      <c r="B118" t="s">
        <v>416</v>
      </c>
      <c r="C118" t="s">
        <v>417</v>
      </c>
      <c r="D118" t="s">
        <v>297</v>
      </c>
      <c r="E118" t="b">
        <v>0</v>
      </c>
      <c r="F118" t="s">
        <v>648</v>
      </c>
      <c r="H118" s="1">
        <v>46000</v>
      </c>
      <c r="J118" s="1"/>
    </row>
    <row r="119" spans="1:10" x14ac:dyDescent="0.35">
      <c r="A119">
        <v>415</v>
      </c>
      <c r="B119" t="s">
        <v>416</v>
      </c>
      <c r="C119" t="s">
        <v>418</v>
      </c>
      <c r="D119" t="s">
        <v>60</v>
      </c>
      <c r="E119" t="b">
        <v>0</v>
      </c>
      <c r="F119" t="s">
        <v>645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419</v>
      </c>
      <c r="C120" t="s">
        <v>420</v>
      </c>
      <c r="D120" t="s">
        <v>60</v>
      </c>
      <c r="E120" t="b">
        <v>0</v>
      </c>
      <c r="F120" t="s">
        <v>645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421</v>
      </c>
      <c r="C121" t="s">
        <v>318</v>
      </c>
      <c r="D121" t="s">
        <v>60</v>
      </c>
      <c r="E121" t="b">
        <v>0</v>
      </c>
      <c r="F121" t="s">
        <v>645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422</v>
      </c>
      <c r="C122" t="s">
        <v>423</v>
      </c>
      <c r="D122" t="s">
        <v>60</v>
      </c>
      <c r="E122" t="b">
        <v>1</v>
      </c>
      <c r="F122" t="s">
        <v>645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422</v>
      </c>
      <c r="C123" t="s">
        <v>376</v>
      </c>
      <c r="D123" t="s">
        <v>60</v>
      </c>
      <c r="E123" t="b">
        <v>0</v>
      </c>
      <c r="F123" t="s">
        <v>645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424</v>
      </c>
      <c r="C124" t="s">
        <v>425</v>
      </c>
      <c r="D124" t="s">
        <v>60</v>
      </c>
      <c r="E124" t="b">
        <v>0</v>
      </c>
      <c r="F124" t="s">
        <v>645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426</v>
      </c>
      <c r="C125" t="s">
        <v>373</v>
      </c>
      <c r="D125" t="s">
        <v>60</v>
      </c>
      <c r="E125" t="b">
        <v>0</v>
      </c>
      <c r="F125" t="s">
        <v>646</v>
      </c>
      <c r="H125" s="1">
        <v>46000</v>
      </c>
      <c r="J125" s="1"/>
    </row>
    <row r="126" spans="1:10" x14ac:dyDescent="0.35">
      <c r="A126">
        <v>1244</v>
      </c>
      <c r="B126" t="s">
        <v>427</v>
      </c>
      <c r="C126" t="s">
        <v>318</v>
      </c>
      <c r="D126" t="s">
        <v>60</v>
      </c>
      <c r="E126" t="b">
        <v>0</v>
      </c>
      <c r="F126" t="s">
        <v>645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427</v>
      </c>
      <c r="C127" t="s">
        <v>428</v>
      </c>
      <c r="D127" t="s">
        <v>60</v>
      </c>
      <c r="E127" t="b">
        <v>1</v>
      </c>
      <c r="F127" t="s">
        <v>646</v>
      </c>
      <c r="H127" s="1">
        <v>46000</v>
      </c>
      <c r="J127" s="1"/>
    </row>
    <row r="128" spans="1:10" x14ac:dyDescent="0.35">
      <c r="A128">
        <v>1296</v>
      </c>
      <c r="B128" t="s">
        <v>429</v>
      </c>
      <c r="C128" t="s">
        <v>373</v>
      </c>
      <c r="D128" t="s">
        <v>60</v>
      </c>
      <c r="E128" t="b">
        <v>0</v>
      </c>
      <c r="F128" t="s">
        <v>646</v>
      </c>
      <c r="H128" s="1">
        <v>46000</v>
      </c>
      <c r="J128" s="1"/>
    </row>
    <row r="129" spans="1:10" x14ac:dyDescent="0.35">
      <c r="A129">
        <v>1362</v>
      </c>
      <c r="B129" t="s">
        <v>430</v>
      </c>
      <c r="C129" t="s">
        <v>431</v>
      </c>
      <c r="D129" t="s">
        <v>60</v>
      </c>
      <c r="E129" t="b">
        <v>1</v>
      </c>
      <c r="F129" t="s">
        <v>645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432</v>
      </c>
      <c r="C130" t="s">
        <v>433</v>
      </c>
      <c r="D130" t="s">
        <v>60</v>
      </c>
      <c r="E130" t="b">
        <v>1</v>
      </c>
      <c r="F130" t="s">
        <v>646</v>
      </c>
      <c r="H130" s="1">
        <v>46000</v>
      </c>
      <c r="J130" s="1"/>
    </row>
    <row r="131" spans="1:10" x14ac:dyDescent="0.35">
      <c r="A131">
        <v>1198</v>
      </c>
      <c r="B131" t="s">
        <v>434</v>
      </c>
      <c r="C131" t="s">
        <v>435</v>
      </c>
      <c r="D131" t="s">
        <v>60</v>
      </c>
      <c r="E131" t="b">
        <v>0</v>
      </c>
      <c r="F131" t="s">
        <v>645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436</v>
      </c>
      <c r="C132" t="s">
        <v>111</v>
      </c>
      <c r="D132" t="s">
        <v>60</v>
      </c>
      <c r="E132" t="b">
        <v>1</v>
      </c>
      <c r="F132" t="s">
        <v>645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437</v>
      </c>
      <c r="C133" t="s">
        <v>438</v>
      </c>
      <c r="D133" t="s">
        <v>60</v>
      </c>
      <c r="E133" t="b">
        <v>0</v>
      </c>
      <c r="F133" t="s">
        <v>645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439</v>
      </c>
      <c r="C134" t="s">
        <v>62</v>
      </c>
      <c r="D134" t="s">
        <v>60</v>
      </c>
      <c r="E134" t="b">
        <v>0</v>
      </c>
      <c r="F134" t="s">
        <v>645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440</v>
      </c>
      <c r="C135" t="s">
        <v>6</v>
      </c>
      <c r="D135" t="s">
        <v>60</v>
      </c>
      <c r="E135" t="b">
        <v>0</v>
      </c>
      <c r="F135" t="s">
        <v>646</v>
      </c>
      <c r="H135" s="1">
        <v>46000</v>
      </c>
      <c r="J135" s="1"/>
    </row>
    <row r="136" spans="1:10" x14ac:dyDescent="0.35">
      <c r="A136">
        <v>1373</v>
      </c>
      <c r="B136" t="s">
        <v>441</v>
      </c>
      <c r="C136" t="s">
        <v>53</v>
      </c>
      <c r="D136" t="s">
        <v>60</v>
      </c>
      <c r="E136" t="b">
        <v>0</v>
      </c>
      <c r="F136" t="s">
        <v>645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442</v>
      </c>
      <c r="C137" t="s">
        <v>443</v>
      </c>
      <c r="D137" t="s">
        <v>60</v>
      </c>
      <c r="E137" t="b">
        <v>0</v>
      </c>
      <c r="F137" t="s">
        <v>645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444</v>
      </c>
      <c r="C138" t="s">
        <v>445</v>
      </c>
      <c r="D138" t="s">
        <v>60</v>
      </c>
      <c r="E138" t="b">
        <v>1</v>
      </c>
      <c r="F138" t="s">
        <v>646</v>
      </c>
      <c r="H138" s="1">
        <v>46000</v>
      </c>
      <c r="J138" s="1"/>
    </row>
    <row r="139" spans="1:10" x14ac:dyDescent="0.35">
      <c r="A139">
        <v>967</v>
      </c>
      <c r="B139" t="s">
        <v>446</v>
      </c>
      <c r="C139" t="s">
        <v>371</v>
      </c>
      <c r="D139" t="s">
        <v>60</v>
      </c>
      <c r="E139" t="b">
        <v>0</v>
      </c>
      <c r="F139" t="s">
        <v>645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447</v>
      </c>
      <c r="C140" t="s">
        <v>448</v>
      </c>
      <c r="D140" t="s">
        <v>60</v>
      </c>
      <c r="E140" t="b">
        <v>1</v>
      </c>
      <c r="F140" t="s">
        <v>645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447</v>
      </c>
      <c r="C141" t="s">
        <v>449</v>
      </c>
      <c r="D141" t="s">
        <v>60</v>
      </c>
      <c r="E141" t="b">
        <v>0</v>
      </c>
      <c r="F141" t="s">
        <v>645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450</v>
      </c>
      <c r="C142" t="s">
        <v>451</v>
      </c>
      <c r="D142" t="s">
        <v>60</v>
      </c>
      <c r="E142" t="b">
        <v>0</v>
      </c>
      <c r="F142" t="s">
        <v>646</v>
      </c>
      <c r="H142" s="1">
        <v>46000</v>
      </c>
      <c r="J142" s="1"/>
    </row>
    <row r="143" spans="1:10" x14ac:dyDescent="0.35">
      <c r="A143">
        <v>1349</v>
      </c>
      <c r="B143" t="s">
        <v>452</v>
      </c>
      <c r="C143" t="s">
        <v>453</v>
      </c>
      <c r="D143" t="s">
        <v>60</v>
      </c>
      <c r="E143" t="b">
        <v>0</v>
      </c>
      <c r="F143" t="s">
        <v>646</v>
      </c>
      <c r="H143" s="1">
        <v>46000</v>
      </c>
      <c r="J143" s="1"/>
    </row>
    <row r="144" spans="1:10" x14ac:dyDescent="0.35">
      <c r="A144">
        <v>1342</v>
      </c>
      <c r="B144" t="s">
        <v>454</v>
      </c>
      <c r="C144" t="s">
        <v>455</v>
      </c>
      <c r="D144" t="s">
        <v>60</v>
      </c>
      <c r="E144" t="b">
        <v>0</v>
      </c>
      <c r="F144" t="s">
        <v>645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456</v>
      </c>
      <c r="C145" t="s">
        <v>457</v>
      </c>
      <c r="D145" t="s">
        <v>60</v>
      </c>
      <c r="E145" t="b">
        <v>0</v>
      </c>
      <c r="F145" t="s">
        <v>645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458</v>
      </c>
      <c r="C146" t="s">
        <v>459</v>
      </c>
      <c r="D146" t="s">
        <v>60</v>
      </c>
      <c r="E146" t="b">
        <v>0</v>
      </c>
      <c r="F146" t="s">
        <v>645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460</v>
      </c>
      <c r="C147" t="s">
        <v>459</v>
      </c>
      <c r="D147" t="s">
        <v>60</v>
      </c>
      <c r="E147" t="b">
        <v>0</v>
      </c>
      <c r="F147" t="s">
        <v>645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414</v>
      </c>
      <c r="C148" t="s">
        <v>461</v>
      </c>
      <c r="D148" t="s">
        <v>60</v>
      </c>
      <c r="E148" t="b">
        <v>1</v>
      </c>
      <c r="F148" t="s">
        <v>646</v>
      </c>
      <c r="H148" s="1">
        <v>46000</v>
      </c>
      <c r="J148" s="1"/>
    </row>
    <row r="149" spans="1:10" x14ac:dyDescent="0.35">
      <c r="A149">
        <v>1282</v>
      </c>
      <c r="B149" t="s">
        <v>462</v>
      </c>
      <c r="C149" t="s">
        <v>81</v>
      </c>
      <c r="D149" t="s">
        <v>60</v>
      </c>
      <c r="E149" t="b">
        <v>0</v>
      </c>
      <c r="F149" t="s">
        <v>645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463</v>
      </c>
      <c r="C150" t="s">
        <v>464</v>
      </c>
      <c r="D150" t="s">
        <v>60</v>
      </c>
      <c r="E150" t="b">
        <v>1</v>
      </c>
      <c r="F150" t="s">
        <v>647</v>
      </c>
      <c r="H150" s="1">
        <v>46000</v>
      </c>
      <c r="J150" s="1"/>
    </row>
    <row r="151" spans="1:10" x14ac:dyDescent="0.35">
      <c r="A151">
        <v>747</v>
      </c>
      <c r="B151" t="s">
        <v>463</v>
      </c>
      <c r="C151" t="s">
        <v>51</v>
      </c>
      <c r="D151" t="s">
        <v>60</v>
      </c>
      <c r="E151" t="b">
        <v>0</v>
      </c>
      <c r="F151" t="s">
        <v>645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463</v>
      </c>
      <c r="C152" t="s">
        <v>353</v>
      </c>
      <c r="D152" t="s">
        <v>60</v>
      </c>
      <c r="E152" t="b">
        <v>1</v>
      </c>
      <c r="F152" t="s">
        <v>645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463</v>
      </c>
      <c r="C153" t="s">
        <v>380</v>
      </c>
      <c r="D153" t="s">
        <v>60</v>
      </c>
      <c r="E153" t="b">
        <v>1</v>
      </c>
      <c r="F153" t="s">
        <v>645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463</v>
      </c>
      <c r="C154" t="s">
        <v>465</v>
      </c>
      <c r="D154" t="s">
        <v>60</v>
      </c>
      <c r="E154" t="b">
        <v>0</v>
      </c>
      <c r="F154" t="s">
        <v>645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466</v>
      </c>
      <c r="C155" t="s">
        <v>53</v>
      </c>
      <c r="D155" t="s">
        <v>60</v>
      </c>
      <c r="E155" t="b">
        <v>0</v>
      </c>
      <c r="F155" t="s">
        <v>646</v>
      </c>
      <c r="H155" s="1">
        <v>46000</v>
      </c>
      <c r="J155" s="1"/>
    </row>
    <row r="156" spans="1:10" x14ac:dyDescent="0.35">
      <c r="A156">
        <v>900</v>
      </c>
      <c r="B156" t="s">
        <v>467</v>
      </c>
      <c r="C156" t="s">
        <v>96</v>
      </c>
      <c r="D156" t="s">
        <v>60</v>
      </c>
      <c r="E156" t="b">
        <v>0</v>
      </c>
      <c r="F156" t="s">
        <v>645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468</v>
      </c>
      <c r="C157" t="s">
        <v>400</v>
      </c>
      <c r="D157" t="s">
        <v>60</v>
      </c>
      <c r="E157" t="b">
        <v>0</v>
      </c>
      <c r="F157" t="s">
        <v>645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469</v>
      </c>
      <c r="C158" t="s">
        <v>459</v>
      </c>
      <c r="D158" t="s">
        <v>60</v>
      </c>
      <c r="E158" t="b">
        <v>0</v>
      </c>
      <c r="F158" t="s">
        <v>645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470</v>
      </c>
      <c r="C159" t="s">
        <v>471</v>
      </c>
      <c r="D159" t="s">
        <v>60</v>
      </c>
      <c r="E159" t="b">
        <v>0</v>
      </c>
      <c r="F159" t="s">
        <v>645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472</v>
      </c>
      <c r="C160" t="s">
        <v>473</v>
      </c>
      <c r="D160" t="s">
        <v>60</v>
      </c>
      <c r="E160" t="b">
        <v>0</v>
      </c>
      <c r="F160" t="s">
        <v>645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474</v>
      </c>
      <c r="C161" t="s">
        <v>79</v>
      </c>
      <c r="D161" t="s">
        <v>60</v>
      </c>
      <c r="E161" t="b">
        <v>0</v>
      </c>
      <c r="F161" t="s">
        <v>645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475</v>
      </c>
      <c r="C162" t="s">
        <v>476</v>
      </c>
      <c r="D162" t="s">
        <v>60</v>
      </c>
      <c r="E162" t="b">
        <v>0</v>
      </c>
      <c r="F162" t="s">
        <v>645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477</v>
      </c>
      <c r="C163" t="s">
        <v>66</v>
      </c>
      <c r="D163" t="s">
        <v>60</v>
      </c>
      <c r="E163" t="b">
        <v>0</v>
      </c>
      <c r="F163" t="s">
        <v>646</v>
      </c>
      <c r="H163" s="1">
        <v>46000</v>
      </c>
      <c r="J163" s="1"/>
    </row>
    <row r="164" spans="1:10" x14ac:dyDescent="0.35">
      <c r="A164">
        <v>1357</v>
      </c>
      <c r="B164" t="s">
        <v>478</v>
      </c>
      <c r="C164" t="s">
        <v>62</v>
      </c>
      <c r="D164" t="s">
        <v>60</v>
      </c>
      <c r="E164" t="b">
        <v>0</v>
      </c>
      <c r="F164" t="s">
        <v>645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478</v>
      </c>
      <c r="C165" t="s">
        <v>479</v>
      </c>
      <c r="D165" t="s">
        <v>60</v>
      </c>
      <c r="E165" t="b">
        <v>1</v>
      </c>
      <c r="F165" t="s">
        <v>645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478</v>
      </c>
      <c r="C166" t="s">
        <v>79</v>
      </c>
      <c r="D166" t="s">
        <v>60</v>
      </c>
      <c r="E166" t="b">
        <v>0</v>
      </c>
      <c r="F166" t="s">
        <v>648</v>
      </c>
      <c r="H166" s="1">
        <v>46000</v>
      </c>
      <c r="J166" s="1"/>
    </row>
    <row r="167" spans="1:10" x14ac:dyDescent="0.35">
      <c r="A167">
        <v>1360</v>
      </c>
      <c r="B167" t="s">
        <v>478</v>
      </c>
      <c r="C167" t="s">
        <v>480</v>
      </c>
      <c r="D167" t="s">
        <v>60</v>
      </c>
      <c r="E167" t="b">
        <v>1</v>
      </c>
      <c r="F167" t="s">
        <v>647</v>
      </c>
      <c r="H167" s="1">
        <v>46000</v>
      </c>
      <c r="J167" s="1"/>
    </row>
    <row r="168" spans="1:10" x14ac:dyDescent="0.35">
      <c r="A168">
        <v>1093</v>
      </c>
      <c r="B168" t="s">
        <v>481</v>
      </c>
      <c r="C168" t="s">
        <v>96</v>
      </c>
      <c r="D168" t="s">
        <v>60</v>
      </c>
      <c r="E168" t="b">
        <v>0</v>
      </c>
      <c r="F168" t="s">
        <v>646</v>
      </c>
      <c r="H168" s="1">
        <v>46000</v>
      </c>
      <c r="J168" s="1"/>
    </row>
    <row r="169" spans="1:10" x14ac:dyDescent="0.35">
      <c r="A169">
        <v>1107</v>
      </c>
      <c r="B169" t="s">
        <v>482</v>
      </c>
      <c r="C169" t="s">
        <v>483</v>
      </c>
      <c r="D169" t="s">
        <v>60</v>
      </c>
      <c r="E169" t="b">
        <v>1</v>
      </c>
      <c r="F169" t="s">
        <v>646</v>
      </c>
      <c r="H169" s="1">
        <v>46000</v>
      </c>
      <c r="J169" s="1"/>
    </row>
    <row r="170" spans="1:10" x14ac:dyDescent="0.35">
      <c r="A170">
        <v>35</v>
      </c>
      <c r="B170" t="s">
        <v>484</v>
      </c>
      <c r="C170" t="s">
        <v>485</v>
      </c>
      <c r="D170" t="s">
        <v>60</v>
      </c>
      <c r="E170" t="b">
        <v>0</v>
      </c>
      <c r="F170" t="s">
        <v>645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486</v>
      </c>
      <c r="C171" t="s">
        <v>94</v>
      </c>
      <c r="D171" t="s">
        <v>60</v>
      </c>
      <c r="E171" t="b">
        <v>0</v>
      </c>
      <c r="F171" t="s">
        <v>645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487</v>
      </c>
      <c r="C172" t="s">
        <v>488</v>
      </c>
      <c r="D172" t="s">
        <v>60</v>
      </c>
      <c r="E172" t="b">
        <v>0</v>
      </c>
      <c r="F172" t="s">
        <v>645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489</v>
      </c>
      <c r="C173" t="s">
        <v>465</v>
      </c>
      <c r="D173" t="s">
        <v>60</v>
      </c>
      <c r="E173" t="b">
        <v>0</v>
      </c>
      <c r="F173" t="s">
        <v>645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490</v>
      </c>
      <c r="C174" t="s">
        <v>457</v>
      </c>
      <c r="D174" t="s">
        <v>60</v>
      </c>
      <c r="E174" t="b">
        <v>0</v>
      </c>
      <c r="F174" t="s">
        <v>645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491</v>
      </c>
      <c r="C175" t="s">
        <v>492</v>
      </c>
      <c r="D175" t="s">
        <v>60</v>
      </c>
      <c r="E175" t="b">
        <v>0</v>
      </c>
      <c r="F175" t="s">
        <v>645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493</v>
      </c>
      <c r="C176" t="s">
        <v>53</v>
      </c>
      <c r="D176" t="s">
        <v>60</v>
      </c>
      <c r="E176" t="b">
        <v>0</v>
      </c>
      <c r="F176" t="s">
        <v>645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493</v>
      </c>
      <c r="C177" t="s">
        <v>106</v>
      </c>
      <c r="D177" t="s">
        <v>60</v>
      </c>
      <c r="E177" t="b">
        <v>0</v>
      </c>
      <c r="F177" t="s">
        <v>645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494</v>
      </c>
      <c r="C178" t="s">
        <v>87</v>
      </c>
      <c r="D178" t="s">
        <v>60</v>
      </c>
      <c r="E178" t="b">
        <v>0</v>
      </c>
      <c r="F178" t="s">
        <v>645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495</v>
      </c>
      <c r="C179" t="s">
        <v>496</v>
      </c>
      <c r="D179" t="s">
        <v>60</v>
      </c>
      <c r="E179" t="b">
        <v>0</v>
      </c>
      <c r="F179" t="s">
        <v>647</v>
      </c>
      <c r="H179" s="1">
        <v>46000</v>
      </c>
      <c r="J179" s="1"/>
    </row>
    <row r="180" spans="1:10" x14ac:dyDescent="0.35">
      <c r="A180">
        <v>1024</v>
      </c>
      <c r="B180" t="s">
        <v>495</v>
      </c>
      <c r="C180" t="s">
        <v>497</v>
      </c>
      <c r="D180" t="s">
        <v>60</v>
      </c>
      <c r="E180" t="b">
        <v>0</v>
      </c>
      <c r="F180" t="s">
        <v>648</v>
      </c>
      <c r="H180" s="1">
        <v>46000</v>
      </c>
      <c r="J180" s="1"/>
    </row>
    <row r="181" spans="1:10" x14ac:dyDescent="0.35">
      <c r="A181">
        <v>1023</v>
      </c>
      <c r="B181" t="s">
        <v>495</v>
      </c>
      <c r="C181" t="s">
        <v>69</v>
      </c>
      <c r="D181" t="s">
        <v>60</v>
      </c>
      <c r="E181" t="b">
        <v>0</v>
      </c>
      <c r="F181" t="s">
        <v>646</v>
      </c>
      <c r="H181" s="1">
        <v>46000</v>
      </c>
      <c r="J181" s="1"/>
    </row>
    <row r="182" spans="1:10" x14ac:dyDescent="0.35">
      <c r="A182">
        <v>1232</v>
      </c>
      <c r="B182" t="s">
        <v>495</v>
      </c>
      <c r="C182" t="s">
        <v>498</v>
      </c>
      <c r="D182" t="s">
        <v>60</v>
      </c>
      <c r="E182" t="b">
        <v>1</v>
      </c>
      <c r="F182" t="s">
        <v>645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499</v>
      </c>
      <c r="C183" t="s">
        <v>500</v>
      </c>
      <c r="D183" t="s">
        <v>60</v>
      </c>
      <c r="E183" t="b">
        <v>1</v>
      </c>
      <c r="F183" t="s">
        <v>645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501</v>
      </c>
      <c r="C184" t="s">
        <v>502</v>
      </c>
      <c r="D184" t="s">
        <v>60</v>
      </c>
      <c r="E184" t="b">
        <v>1</v>
      </c>
      <c r="F184" t="s">
        <v>646</v>
      </c>
      <c r="H184" s="1">
        <v>46000</v>
      </c>
      <c r="J184" s="1"/>
    </row>
    <row r="185" spans="1:10" x14ac:dyDescent="0.35">
      <c r="A185">
        <v>1191</v>
      </c>
      <c r="B185" t="s">
        <v>503</v>
      </c>
      <c r="C185" t="s">
        <v>373</v>
      </c>
      <c r="D185" t="s">
        <v>60</v>
      </c>
      <c r="E185" t="b">
        <v>0</v>
      </c>
      <c r="F185" t="s">
        <v>645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503</v>
      </c>
      <c r="C186" t="s">
        <v>504</v>
      </c>
      <c r="D186" t="s">
        <v>60</v>
      </c>
      <c r="E186" t="b">
        <v>0</v>
      </c>
      <c r="F186" t="s">
        <v>646</v>
      </c>
      <c r="H186" s="1">
        <v>46000</v>
      </c>
      <c r="J186" s="1"/>
    </row>
    <row r="187" spans="1:10" x14ac:dyDescent="0.35">
      <c r="A187">
        <v>1350</v>
      </c>
      <c r="B187" t="s">
        <v>505</v>
      </c>
      <c r="C187" t="s">
        <v>506</v>
      </c>
      <c r="D187" t="s">
        <v>60</v>
      </c>
      <c r="E187" t="b">
        <v>0</v>
      </c>
      <c r="F187" t="s">
        <v>646</v>
      </c>
      <c r="H187" s="1">
        <v>46000</v>
      </c>
      <c r="J187" s="1"/>
    </row>
    <row r="188" spans="1:10" x14ac:dyDescent="0.35">
      <c r="A188">
        <v>1352</v>
      </c>
      <c r="B188" t="s">
        <v>507</v>
      </c>
      <c r="C188" t="s">
        <v>62</v>
      </c>
      <c r="D188" t="s">
        <v>60</v>
      </c>
      <c r="E188" t="b">
        <v>0</v>
      </c>
      <c r="F188" t="s">
        <v>645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508</v>
      </c>
      <c r="C189" t="s">
        <v>509</v>
      </c>
      <c r="D189" t="s">
        <v>60</v>
      </c>
      <c r="E189" t="b">
        <v>0</v>
      </c>
      <c r="F189" t="s">
        <v>645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510</v>
      </c>
      <c r="C190" t="s">
        <v>511</v>
      </c>
      <c r="D190" t="s">
        <v>60</v>
      </c>
      <c r="E190" t="b">
        <v>0</v>
      </c>
      <c r="F190" t="s">
        <v>646</v>
      </c>
      <c r="H190" s="1">
        <v>46000</v>
      </c>
      <c r="J190" s="1"/>
    </row>
    <row r="191" spans="1:10" x14ac:dyDescent="0.35">
      <c r="A191">
        <v>914</v>
      </c>
      <c r="B191" t="s">
        <v>512</v>
      </c>
      <c r="C191" t="s">
        <v>372</v>
      </c>
      <c r="D191" t="s">
        <v>60</v>
      </c>
      <c r="E191" t="b">
        <v>0</v>
      </c>
      <c r="F191" t="s">
        <v>645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512</v>
      </c>
      <c r="C192" t="s">
        <v>81</v>
      </c>
      <c r="D192" t="s">
        <v>60</v>
      </c>
      <c r="E192" t="b">
        <v>0</v>
      </c>
      <c r="F192" t="s">
        <v>645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513</v>
      </c>
      <c r="C193" t="s">
        <v>327</v>
      </c>
      <c r="D193" t="s">
        <v>60</v>
      </c>
      <c r="E193" t="b">
        <v>0</v>
      </c>
      <c r="F193" t="s">
        <v>646</v>
      </c>
      <c r="H193" s="1">
        <v>46000</v>
      </c>
      <c r="J193" s="1"/>
    </row>
    <row r="194" spans="1:10" x14ac:dyDescent="0.35">
      <c r="A194">
        <v>1380</v>
      </c>
      <c r="B194" t="s">
        <v>514</v>
      </c>
      <c r="C194" t="s">
        <v>515</v>
      </c>
      <c r="D194" t="s">
        <v>60</v>
      </c>
      <c r="E194" t="b">
        <v>1</v>
      </c>
      <c r="F194" t="s">
        <v>645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516</v>
      </c>
      <c r="C195" t="s">
        <v>411</v>
      </c>
      <c r="D195" t="s">
        <v>60</v>
      </c>
      <c r="E195" t="b">
        <v>0</v>
      </c>
      <c r="F195" t="s">
        <v>645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517</v>
      </c>
      <c r="C196" t="s">
        <v>94</v>
      </c>
      <c r="D196" t="s">
        <v>60</v>
      </c>
      <c r="E196" t="b">
        <v>0</v>
      </c>
      <c r="F196" t="s">
        <v>645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517</v>
      </c>
      <c r="C197" t="s">
        <v>518</v>
      </c>
      <c r="D197" t="s">
        <v>60</v>
      </c>
      <c r="E197" t="b">
        <v>0</v>
      </c>
      <c r="F197" t="s">
        <v>645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517</v>
      </c>
      <c r="C198" t="s">
        <v>519</v>
      </c>
      <c r="D198" t="s">
        <v>60</v>
      </c>
      <c r="E198" t="b">
        <v>0</v>
      </c>
      <c r="F198" t="s">
        <v>645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517</v>
      </c>
      <c r="C199" t="s">
        <v>357</v>
      </c>
      <c r="D199" t="s">
        <v>60</v>
      </c>
      <c r="E199" t="b">
        <v>1</v>
      </c>
      <c r="F199" t="s">
        <v>645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517</v>
      </c>
      <c r="C200" t="s">
        <v>411</v>
      </c>
      <c r="D200" t="s">
        <v>60</v>
      </c>
      <c r="E200" t="b">
        <v>0</v>
      </c>
      <c r="F200" t="s">
        <v>645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517</v>
      </c>
      <c r="C201" t="s">
        <v>520</v>
      </c>
      <c r="D201" t="s">
        <v>60</v>
      </c>
      <c r="E201" t="b">
        <v>0</v>
      </c>
      <c r="F201" t="s">
        <v>645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521</v>
      </c>
      <c r="C202" t="s">
        <v>522</v>
      </c>
      <c r="D202" t="s">
        <v>60</v>
      </c>
      <c r="E202" t="b">
        <v>0</v>
      </c>
      <c r="F202" t="s">
        <v>646</v>
      </c>
      <c r="H202" s="1">
        <v>46000</v>
      </c>
      <c r="J202" s="1"/>
    </row>
    <row r="203" spans="1:10" x14ac:dyDescent="0.35">
      <c r="A203">
        <v>1382</v>
      </c>
      <c r="B203" t="s">
        <v>523</v>
      </c>
      <c r="C203" t="s">
        <v>524</v>
      </c>
      <c r="D203" t="s">
        <v>60</v>
      </c>
      <c r="E203" t="b">
        <v>0</v>
      </c>
      <c r="F203" t="s">
        <v>646</v>
      </c>
      <c r="H203" s="1">
        <v>46000</v>
      </c>
      <c r="J203" s="1"/>
    </row>
    <row r="204" spans="1:10" x14ac:dyDescent="0.35">
      <c r="A204">
        <v>1161</v>
      </c>
      <c r="B204" t="s">
        <v>525</v>
      </c>
      <c r="C204" t="s">
        <v>526</v>
      </c>
      <c r="D204" t="s">
        <v>60</v>
      </c>
      <c r="E204" t="b">
        <v>0</v>
      </c>
      <c r="F204" t="s">
        <v>646</v>
      </c>
      <c r="H204" s="1">
        <v>46000</v>
      </c>
      <c r="J204" s="1"/>
    </row>
    <row r="205" spans="1:10" x14ac:dyDescent="0.35">
      <c r="A205">
        <v>890</v>
      </c>
      <c r="B205" t="s">
        <v>527</v>
      </c>
      <c r="C205" t="s">
        <v>528</v>
      </c>
      <c r="D205" t="s">
        <v>297</v>
      </c>
      <c r="E205" t="b">
        <v>0</v>
      </c>
      <c r="F205" t="s">
        <v>645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529</v>
      </c>
      <c r="C206" t="s">
        <v>530</v>
      </c>
      <c r="D206" t="s">
        <v>60</v>
      </c>
      <c r="E206" t="b">
        <v>1</v>
      </c>
      <c r="F206" t="s">
        <v>646</v>
      </c>
      <c r="H206" s="1">
        <v>46000</v>
      </c>
      <c r="J206" s="1"/>
    </row>
    <row r="207" spans="1:10" x14ac:dyDescent="0.35">
      <c r="A207">
        <v>780</v>
      </c>
      <c r="B207" t="s">
        <v>531</v>
      </c>
      <c r="C207" t="s">
        <v>53</v>
      </c>
      <c r="D207" t="s">
        <v>60</v>
      </c>
      <c r="E207" t="b">
        <v>0</v>
      </c>
      <c r="F207" t="s">
        <v>645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532</v>
      </c>
      <c r="C208" t="s">
        <v>363</v>
      </c>
      <c r="D208" t="s">
        <v>297</v>
      </c>
      <c r="E208" t="b">
        <v>0</v>
      </c>
      <c r="F208" t="s">
        <v>645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533</v>
      </c>
      <c r="C209" t="s">
        <v>534</v>
      </c>
      <c r="D209" t="s">
        <v>60</v>
      </c>
      <c r="E209" t="b">
        <v>0</v>
      </c>
      <c r="F209" t="s">
        <v>645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451</v>
      </c>
      <c r="C210" t="s">
        <v>535</v>
      </c>
      <c r="D210" t="s">
        <v>60</v>
      </c>
      <c r="E210" t="b">
        <v>0</v>
      </c>
      <c r="F210" t="s">
        <v>646</v>
      </c>
      <c r="H210" s="1">
        <v>46000</v>
      </c>
      <c r="J210" s="1"/>
    </row>
    <row r="211" spans="1:10" x14ac:dyDescent="0.35">
      <c r="A211">
        <v>1341</v>
      </c>
      <c r="B211" t="s">
        <v>536</v>
      </c>
      <c r="C211" t="s">
        <v>96</v>
      </c>
      <c r="D211" t="s">
        <v>60</v>
      </c>
      <c r="E211" t="b">
        <v>0</v>
      </c>
      <c r="F211" t="s">
        <v>646</v>
      </c>
      <c r="H211" s="1">
        <v>46000</v>
      </c>
      <c r="J211" s="1"/>
    </row>
    <row r="212" spans="1:10" x14ac:dyDescent="0.35">
      <c r="A212">
        <v>945</v>
      </c>
      <c r="B212" t="s">
        <v>537</v>
      </c>
      <c r="C212" t="s">
        <v>79</v>
      </c>
      <c r="D212" t="s">
        <v>60</v>
      </c>
      <c r="E212" t="b">
        <v>0</v>
      </c>
      <c r="F212" t="s">
        <v>646</v>
      </c>
      <c r="H212" s="1">
        <v>46000</v>
      </c>
      <c r="J212" s="1"/>
    </row>
    <row r="213" spans="1:10" x14ac:dyDescent="0.35">
      <c r="A213">
        <v>813</v>
      </c>
      <c r="B213" t="s">
        <v>537</v>
      </c>
      <c r="C213" t="s">
        <v>502</v>
      </c>
      <c r="D213" t="s">
        <v>60</v>
      </c>
      <c r="E213" t="b">
        <v>1</v>
      </c>
      <c r="F213" t="s">
        <v>645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537</v>
      </c>
      <c r="C214" t="s">
        <v>538</v>
      </c>
      <c r="D214" t="s">
        <v>60</v>
      </c>
      <c r="E214" t="b">
        <v>0</v>
      </c>
      <c r="F214" t="s">
        <v>645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539</v>
      </c>
      <c r="C215" t="s">
        <v>540</v>
      </c>
      <c r="D215" t="s">
        <v>60</v>
      </c>
      <c r="E215" t="b">
        <v>0</v>
      </c>
      <c r="F215" t="s">
        <v>645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541</v>
      </c>
      <c r="C216" t="s">
        <v>542</v>
      </c>
      <c r="D216" t="s">
        <v>60</v>
      </c>
      <c r="E216" t="b">
        <v>1</v>
      </c>
      <c r="F216" t="s">
        <v>645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543</v>
      </c>
      <c r="C217" t="s">
        <v>378</v>
      </c>
      <c r="D217" t="s">
        <v>60</v>
      </c>
      <c r="E217" t="b">
        <v>0</v>
      </c>
      <c r="F217" t="s">
        <v>646</v>
      </c>
      <c r="H217" s="1">
        <v>46000</v>
      </c>
      <c r="J217" s="1"/>
    </row>
    <row r="218" spans="1:10" x14ac:dyDescent="0.35">
      <c r="A218">
        <v>1209</v>
      </c>
      <c r="B218" t="s">
        <v>544</v>
      </c>
      <c r="C218" t="s">
        <v>81</v>
      </c>
      <c r="D218" t="s">
        <v>297</v>
      </c>
      <c r="E218" t="b">
        <v>0</v>
      </c>
      <c r="F218" t="s">
        <v>645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547</v>
      </c>
      <c r="C219" t="s">
        <v>548</v>
      </c>
      <c r="D219" t="s">
        <v>297</v>
      </c>
      <c r="E219" t="b">
        <v>0</v>
      </c>
      <c r="F219" t="s">
        <v>645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549</v>
      </c>
      <c r="C220" t="s">
        <v>550</v>
      </c>
      <c r="D220" t="s">
        <v>60</v>
      </c>
      <c r="E220" t="b">
        <v>1</v>
      </c>
      <c r="F220" t="s">
        <v>646</v>
      </c>
      <c r="H220" s="1">
        <v>46000</v>
      </c>
      <c r="J220" s="1"/>
    </row>
    <row r="221" spans="1:10" x14ac:dyDescent="0.35">
      <c r="A221">
        <v>756</v>
      </c>
      <c r="B221" t="s">
        <v>549</v>
      </c>
      <c r="C221" t="s">
        <v>551</v>
      </c>
      <c r="D221" t="s">
        <v>60</v>
      </c>
      <c r="E221" t="b">
        <v>0</v>
      </c>
      <c r="F221" t="s">
        <v>646</v>
      </c>
      <c r="H221" s="1">
        <v>46000</v>
      </c>
      <c r="J221" s="1"/>
    </row>
    <row r="222" spans="1:10" x14ac:dyDescent="0.35">
      <c r="A222">
        <v>407</v>
      </c>
      <c r="B222" t="s">
        <v>549</v>
      </c>
      <c r="C222" t="s">
        <v>552</v>
      </c>
      <c r="D222" t="s">
        <v>60</v>
      </c>
      <c r="E222" t="b">
        <v>0</v>
      </c>
      <c r="F222" t="s">
        <v>645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553</v>
      </c>
      <c r="C223" t="s">
        <v>500</v>
      </c>
      <c r="D223" t="s">
        <v>60</v>
      </c>
      <c r="E223" t="b">
        <v>1</v>
      </c>
      <c r="F223" t="s">
        <v>645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554</v>
      </c>
      <c r="C224" t="s">
        <v>461</v>
      </c>
      <c r="D224" t="s">
        <v>60</v>
      </c>
      <c r="E224" t="b">
        <v>1</v>
      </c>
      <c r="F224" t="s">
        <v>646</v>
      </c>
      <c r="H224" s="1">
        <v>46000</v>
      </c>
      <c r="J224" s="1"/>
    </row>
    <row r="225" spans="1:10" x14ac:dyDescent="0.35">
      <c r="A225">
        <v>999</v>
      </c>
      <c r="B225" t="s">
        <v>554</v>
      </c>
      <c r="C225" t="s">
        <v>555</v>
      </c>
      <c r="D225" t="s">
        <v>60</v>
      </c>
      <c r="E225" t="b">
        <v>1</v>
      </c>
      <c r="F225" t="s">
        <v>646</v>
      </c>
      <c r="H225" s="1">
        <v>46000</v>
      </c>
      <c r="J225" s="1"/>
    </row>
    <row r="226" spans="1:10" x14ac:dyDescent="0.35">
      <c r="A226">
        <v>998</v>
      </c>
      <c r="B226" t="s">
        <v>554</v>
      </c>
      <c r="C226" t="s">
        <v>556</v>
      </c>
      <c r="D226" t="s">
        <v>60</v>
      </c>
      <c r="E226" t="b">
        <v>1</v>
      </c>
      <c r="F226" t="s">
        <v>645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554</v>
      </c>
      <c r="C227" t="s">
        <v>71</v>
      </c>
      <c r="D227" t="s">
        <v>60</v>
      </c>
      <c r="E227" t="b">
        <v>0</v>
      </c>
      <c r="F227" t="s">
        <v>645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554</v>
      </c>
      <c r="C228" t="s">
        <v>557</v>
      </c>
      <c r="D228" t="s">
        <v>60</v>
      </c>
      <c r="E228" t="b">
        <v>1</v>
      </c>
      <c r="F228" t="s">
        <v>645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558</v>
      </c>
      <c r="C229" t="s">
        <v>559</v>
      </c>
      <c r="D229" t="s">
        <v>60</v>
      </c>
      <c r="E229" t="b">
        <v>1</v>
      </c>
      <c r="F229" t="s">
        <v>645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560</v>
      </c>
      <c r="C230" t="s">
        <v>67</v>
      </c>
      <c r="D230" t="s">
        <v>60</v>
      </c>
      <c r="E230" t="b">
        <v>0</v>
      </c>
      <c r="F230" t="s">
        <v>645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561</v>
      </c>
      <c r="C231" t="s">
        <v>406</v>
      </c>
      <c r="D231" t="s">
        <v>60</v>
      </c>
      <c r="E231" t="b">
        <v>1</v>
      </c>
      <c r="F231" t="s">
        <v>647</v>
      </c>
      <c r="H231" s="1">
        <v>46000</v>
      </c>
      <c r="J231" s="1"/>
    </row>
    <row r="232" spans="1:10" x14ac:dyDescent="0.35">
      <c r="A232">
        <v>707</v>
      </c>
      <c r="B232" t="s">
        <v>562</v>
      </c>
      <c r="C232" t="s">
        <v>325</v>
      </c>
      <c r="D232" t="s">
        <v>60</v>
      </c>
      <c r="E232" t="b">
        <v>0</v>
      </c>
      <c r="F232" t="s">
        <v>645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563</v>
      </c>
      <c r="C233" t="s">
        <v>50</v>
      </c>
      <c r="D233" t="s">
        <v>60</v>
      </c>
      <c r="E233" t="b">
        <v>0</v>
      </c>
      <c r="F233" t="s">
        <v>645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564</v>
      </c>
      <c r="C234" t="s">
        <v>451</v>
      </c>
      <c r="D234" t="s">
        <v>60</v>
      </c>
      <c r="E234" t="b">
        <v>0</v>
      </c>
      <c r="F234" t="s">
        <v>646</v>
      </c>
      <c r="H234" s="1">
        <v>46000</v>
      </c>
      <c r="J234" s="1"/>
    </row>
    <row r="235" spans="1:10" x14ac:dyDescent="0.35">
      <c r="A235">
        <v>1378</v>
      </c>
      <c r="B235" t="s">
        <v>565</v>
      </c>
      <c r="C235" t="s">
        <v>566</v>
      </c>
      <c r="D235" t="s">
        <v>60</v>
      </c>
      <c r="E235" t="b">
        <v>0</v>
      </c>
      <c r="F235" t="s">
        <v>646</v>
      </c>
      <c r="H235" s="1">
        <v>46000</v>
      </c>
      <c r="J235" s="1"/>
    </row>
    <row r="236" spans="1:10" x14ac:dyDescent="0.35">
      <c r="A236">
        <v>1254</v>
      </c>
      <c r="B236" t="s">
        <v>567</v>
      </c>
      <c r="C236" t="s">
        <v>81</v>
      </c>
      <c r="D236" t="s">
        <v>60</v>
      </c>
      <c r="E236" t="b">
        <v>0</v>
      </c>
      <c r="F236" t="s">
        <v>645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568</v>
      </c>
      <c r="C237" t="s">
        <v>569</v>
      </c>
      <c r="D237" t="s">
        <v>60</v>
      </c>
      <c r="E237" t="b">
        <v>0</v>
      </c>
      <c r="F237" t="s">
        <v>647</v>
      </c>
      <c r="H237" s="1">
        <v>46000</v>
      </c>
      <c r="J237" s="1"/>
    </row>
    <row r="238" spans="1:10" x14ac:dyDescent="0.35">
      <c r="A238">
        <v>1200</v>
      </c>
      <c r="B238" t="s">
        <v>570</v>
      </c>
      <c r="C238" t="s">
        <v>571</v>
      </c>
      <c r="D238" t="s">
        <v>60</v>
      </c>
      <c r="E238" t="b">
        <v>0</v>
      </c>
      <c r="F238" t="s">
        <v>645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413</v>
      </c>
      <c r="C239" t="s">
        <v>355</v>
      </c>
      <c r="D239" t="s">
        <v>60</v>
      </c>
      <c r="E239" t="b">
        <v>1</v>
      </c>
      <c r="F239" t="s">
        <v>646</v>
      </c>
      <c r="H239" s="1">
        <v>46000</v>
      </c>
      <c r="J239" s="1"/>
    </row>
    <row r="240" spans="1:10" x14ac:dyDescent="0.35">
      <c r="A240">
        <v>1140</v>
      </c>
      <c r="B240" t="s">
        <v>572</v>
      </c>
      <c r="C240" t="s">
        <v>459</v>
      </c>
      <c r="D240" t="s">
        <v>60</v>
      </c>
      <c r="E240" t="b">
        <v>0</v>
      </c>
      <c r="F240" t="s">
        <v>646</v>
      </c>
      <c r="H240" s="1">
        <v>46000</v>
      </c>
      <c r="J240" s="1"/>
    </row>
    <row r="241" spans="1:10" x14ac:dyDescent="0.35">
      <c r="A241">
        <v>989</v>
      </c>
      <c r="B241" t="s">
        <v>573</v>
      </c>
      <c r="C241" t="s">
        <v>109</v>
      </c>
      <c r="D241" t="s">
        <v>60</v>
      </c>
      <c r="E241" t="b">
        <v>0</v>
      </c>
      <c r="F241" t="s">
        <v>645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574</v>
      </c>
      <c r="C242" t="s">
        <v>346</v>
      </c>
      <c r="D242" t="s">
        <v>60</v>
      </c>
      <c r="E242" t="b">
        <v>0</v>
      </c>
      <c r="F242" t="s">
        <v>646</v>
      </c>
      <c r="H242" s="1">
        <v>46000</v>
      </c>
      <c r="J242" s="1"/>
    </row>
    <row r="243" spans="1:10" x14ac:dyDescent="0.35">
      <c r="A243">
        <v>875</v>
      </c>
      <c r="B243" t="s">
        <v>574</v>
      </c>
      <c r="C243" t="s">
        <v>575</v>
      </c>
      <c r="D243" t="s">
        <v>60</v>
      </c>
      <c r="E243" t="b">
        <v>0</v>
      </c>
      <c r="F243" t="s">
        <v>646</v>
      </c>
      <c r="H243" s="1">
        <v>46000</v>
      </c>
      <c r="J243" s="1"/>
    </row>
    <row r="244" spans="1:10" x14ac:dyDescent="0.35">
      <c r="A244">
        <v>62</v>
      </c>
      <c r="B244" t="s">
        <v>574</v>
      </c>
      <c r="C244" t="s">
        <v>53</v>
      </c>
      <c r="D244" t="s">
        <v>60</v>
      </c>
      <c r="E244" t="b">
        <v>0</v>
      </c>
      <c r="F244" t="s">
        <v>645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576</v>
      </c>
      <c r="C245" t="s">
        <v>577</v>
      </c>
      <c r="D245" t="s">
        <v>60</v>
      </c>
      <c r="E245" t="b">
        <v>1</v>
      </c>
      <c r="F245" t="s">
        <v>645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578</v>
      </c>
      <c r="C246" t="s">
        <v>413</v>
      </c>
      <c r="D246" t="s">
        <v>60</v>
      </c>
      <c r="E246" t="b">
        <v>0</v>
      </c>
      <c r="F246" t="s">
        <v>646</v>
      </c>
      <c r="H246" s="1">
        <v>46000</v>
      </c>
      <c r="J246" s="1"/>
    </row>
    <row r="247" spans="1:10" x14ac:dyDescent="0.35">
      <c r="A247">
        <v>744</v>
      </c>
      <c r="B247" t="s">
        <v>579</v>
      </c>
      <c r="C247" t="s">
        <v>580</v>
      </c>
      <c r="D247" t="s">
        <v>60</v>
      </c>
      <c r="E247" t="b">
        <v>0</v>
      </c>
      <c r="F247" t="s">
        <v>645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581</v>
      </c>
      <c r="C248" t="s">
        <v>403</v>
      </c>
      <c r="D248" t="s">
        <v>60</v>
      </c>
      <c r="E248" t="b">
        <v>1</v>
      </c>
      <c r="F248" t="s">
        <v>645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582</v>
      </c>
      <c r="C249" t="s">
        <v>51</v>
      </c>
      <c r="D249" t="s">
        <v>60</v>
      </c>
      <c r="E249" t="b">
        <v>0</v>
      </c>
      <c r="F249" t="s">
        <v>646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639</v>
      </c>
      <c r="B1" t="s">
        <v>640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M26" sqref="M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2" width="9.1328125" style="8"/>
    <col min="13" max="13" width="7.796875" style="8" customWidth="1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589</v>
      </c>
      <c r="B1" s="3" t="s">
        <v>3</v>
      </c>
      <c r="C1" s="4" t="s">
        <v>4</v>
      </c>
      <c r="D1" s="5" t="s">
        <v>5</v>
      </c>
      <c r="E1" s="6" t="s">
        <v>669</v>
      </c>
      <c r="F1" s="3" t="s">
        <v>6</v>
      </c>
      <c r="G1" s="5" t="s">
        <v>7</v>
      </c>
      <c r="H1" s="5" t="s">
        <v>586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668</v>
      </c>
      <c r="N1" s="5" t="s">
        <v>584</v>
      </c>
      <c r="O1" s="4" t="s">
        <v>583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154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670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154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670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671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671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672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 t="s">
        <v>15</v>
      </c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45916</v>
      </c>
      <c r="C26" s="32" t="s">
        <v>12</v>
      </c>
      <c r="D26" t="s">
        <v>642</v>
      </c>
      <c r="E26"/>
      <c r="F26">
        <v>10</v>
      </c>
      <c r="G26" t="s">
        <v>641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45923</v>
      </c>
      <c r="C27" s="32" t="s">
        <v>45</v>
      </c>
      <c r="D27" t="s">
        <v>642</v>
      </c>
      <c r="E27"/>
      <c r="F27">
        <v>10</v>
      </c>
      <c r="G27" t="s">
        <v>641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303</v>
      </c>
      <c r="B1" s="38" t="s">
        <v>637</v>
      </c>
      <c r="C1" s="39" t="s">
        <v>638</v>
      </c>
    </row>
    <row r="2" spans="1:3" x14ac:dyDescent="0.35">
      <c r="A2">
        <f t="shared" ref="A2:A33" si="0">IF(ISBLANK(B2),"",_xlfn.XLOOKUP(B2,ClubNames,ClubNumbers))</f>
        <v>1094</v>
      </c>
      <c r="B2" t="s">
        <v>590</v>
      </c>
      <c r="C2" s="40" t="s">
        <v>591</v>
      </c>
    </row>
    <row r="3" spans="1:3" x14ac:dyDescent="0.35">
      <c r="A3">
        <f t="shared" si="0"/>
        <v>933</v>
      </c>
      <c r="B3" t="s">
        <v>592</v>
      </c>
      <c r="C3" s="40" t="s">
        <v>591</v>
      </c>
    </row>
    <row r="4" spans="1:3" x14ac:dyDescent="0.35">
      <c r="A4">
        <f t="shared" si="0"/>
        <v>1023</v>
      </c>
      <c r="B4" t="s">
        <v>593</v>
      </c>
      <c r="C4" s="40" t="s">
        <v>591</v>
      </c>
    </row>
    <row r="5" spans="1:3" x14ac:dyDescent="0.35">
      <c r="A5">
        <f t="shared" si="0"/>
        <v>407</v>
      </c>
      <c r="B5" t="s">
        <v>594</v>
      </c>
      <c r="C5" s="40" t="s">
        <v>591</v>
      </c>
    </row>
    <row r="6" spans="1:3" x14ac:dyDescent="0.35">
      <c r="A6">
        <f t="shared" si="0"/>
        <v>1144</v>
      </c>
      <c r="B6" t="s">
        <v>595</v>
      </c>
      <c r="C6" s="40" t="s">
        <v>591</v>
      </c>
    </row>
    <row r="7" spans="1:3" x14ac:dyDescent="0.35">
      <c r="A7">
        <f t="shared" si="0"/>
        <v>989</v>
      </c>
      <c r="B7" t="s">
        <v>596</v>
      </c>
      <c r="C7" s="40" t="s">
        <v>591</v>
      </c>
    </row>
    <row r="8" spans="1:3" x14ac:dyDescent="0.35">
      <c r="A8">
        <f t="shared" si="0"/>
        <v>699</v>
      </c>
      <c r="B8" t="s">
        <v>597</v>
      </c>
      <c r="C8" s="40" t="s">
        <v>591</v>
      </c>
    </row>
    <row r="9" spans="1:3" x14ac:dyDescent="0.35">
      <c r="A9">
        <f t="shared" si="0"/>
        <v>1161</v>
      </c>
      <c r="B9" t="s">
        <v>598</v>
      </c>
      <c r="C9" s="40" t="s">
        <v>591</v>
      </c>
    </row>
    <row r="10" spans="1:3" x14ac:dyDescent="0.35">
      <c r="A10">
        <f t="shared" si="0"/>
        <v>35</v>
      </c>
      <c r="B10" t="s">
        <v>599</v>
      </c>
      <c r="C10" s="40" t="s">
        <v>591</v>
      </c>
    </row>
    <row r="11" spans="1:3" x14ac:dyDescent="0.35">
      <c r="A11">
        <f t="shared" si="0"/>
        <v>1055</v>
      </c>
      <c r="B11" t="s">
        <v>600</v>
      </c>
      <c r="C11" s="40">
        <v>1</v>
      </c>
    </row>
    <row r="12" spans="1:3" x14ac:dyDescent="0.35">
      <c r="A12">
        <f t="shared" si="0"/>
        <v>1192</v>
      </c>
      <c r="B12" t="s">
        <v>601</v>
      </c>
      <c r="C12" s="40">
        <v>1</v>
      </c>
    </row>
    <row r="13" spans="1:3" x14ac:dyDescent="0.35">
      <c r="A13">
        <f t="shared" si="0"/>
        <v>1137</v>
      </c>
      <c r="B13" t="s">
        <v>174</v>
      </c>
      <c r="C13" s="40">
        <v>1</v>
      </c>
    </row>
    <row r="14" spans="1:3" x14ac:dyDescent="0.35">
      <c r="A14">
        <f t="shared" si="0"/>
        <v>747</v>
      </c>
      <c r="B14" t="s">
        <v>602</v>
      </c>
      <c r="C14" s="40">
        <v>1</v>
      </c>
    </row>
    <row r="15" spans="1:3" x14ac:dyDescent="0.35">
      <c r="A15">
        <f t="shared" si="0"/>
        <v>756</v>
      </c>
      <c r="B15" t="s">
        <v>603</v>
      </c>
      <c r="C15" s="40">
        <v>1</v>
      </c>
    </row>
    <row r="16" spans="1:3" x14ac:dyDescent="0.35">
      <c r="A16">
        <f t="shared" si="0"/>
        <v>1364</v>
      </c>
      <c r="B16" t="s">
        <v>212</v>
      </c>
      <c r="C16" s="40">
        <v>1</v>
      </c>
    </row>
    <row r="17" spans="1:3" x14ac:dyDescent="0.35">
      <c r="A17">
        <f t="shared" si="0"/>
        <v>567</v>
      </c>
      <c r="B17" t="s">
        <v>604</v>
      </c>
      <c r="C17" s="40">
        <v>1</v>
      </c>
    </row>
    <row r="18" spans="1:3" x14ac:dyDescent="0.35">
      <c r="A18">
        <f t="shared" si="0"/>
        <v>415</v>
      </c>
      <c r="B18" t="s">
        <v>605</v>
      </c>
      <c r="C18" s="40">
        <v>1</v>
      </c>
    </row>
    <row r="19" spans="1:3" x14ac:dyDescent="0.35">
      <c r="A19">
        <f t="shared" si="0"/>
        <v>1375</v>
      </c>
      <c r="B19" t="s">
        <v>606</v>
      </c>
      <c r="C19" s="40">
        <v>1</v>
      </c>
    </row>
    <row r="20" spans="1:3" x14ac:dyDescent="0.35">
      <c r="A20">
        <f t="shared" si="0"/>
        <v>1129</v>
      </c>
      <c r="B20" t="s">
        <v>607</v>
      </c>
      <c r="C20" s="40">
        <v>2</v>
      </c>
    </row>
    <row r="21" spans="1:3" x14ac:dyDescent="0.35">
      <c r="A21">
        <f t="shared" si="0"/>
        <v>1339</v>
      </c>
      <c r="B21" t="s">
        <v>608</v>
      </c>
      <c r="C21" s="40">
        <v>2</v>
      </c>
    </row>
    <row r="22" spans="1:3" x14ac:dyDescent="0.35">
      <c r="A22">
        <f t="shared" si="0"/>
        <v>1237</v>
      </c>
      <c r="B22" t="s">
        <v>609</v>
      </c>
      <c r="C22" s="40">
        <v>2</v>
      </c>
    </row>
    <row r="23" spans="1:3" x14ac:dyDescent="0.35">
      <c r="A23">
        <f t="shared" si="0"/>
        <v>468</v>
      </c>
      <c r="B23" t="s">
        <v>610</v>
      </c>
      <c r="C23" s="40">
        <v>2</v>
      </c>
    </row>
    <row r="24" spans="1:3" x14ac:dyDescent="0.35">
      <c r="A24">
        <f t="shared" si="0"/>
        <v>1107</v>
      </c>
      <c r="B24" t="s">
        <v>611</v>
      </c>
      <c r="C24" s="40">
        <v>2</v>
      </c>
    </row>
    <row r="25" spans="1:3" x14ac:dyDescent="0.35">
      <c r="A25">
        <f t="shared" si="0"/>
        <v>846</v>
      </c>
      <c r="B25" t="s">
        <v>612</v>
      </c>
      <c r="C25" s="40">
        <v>2</v>
      </c>
    </row>
    <row r="26" spans="1:3" x14ac:dyDescent="0.35">
      <c r="A26">
        <f t="shared" si="0"/>
        <v>1152</v>
      </c>
      <c r="B26" t="s">
        <v>613</v>
      </c>
      <c r="C26" s="40">
        <v>2</v>
      </c>
    </row>
    <row r="27" spans="1:3" x14ac:dyDescent="0.35">
      <c r="A27">
        <f t="shared" si="0"/>
        <v>203</v>
      </c>
      <c r="B27" t="s">
        <v>614</v>
      </c>
      <c r="C27" s="40">
        <v>3</v>
      </c>
    </row>
    <row r="28" spans="1:3" x14ac:dyDescent="0.35">
      <c r="A28">
        <f t="shared" si="0"/>
        <v>1355</v>
      </c>
      <c r="B28" t="s">
        <v>615</v>
      </c>
      <c r="C28" s="40">
        <v>3</v>
      </c>
    </row>
    <row r="29" spans="1:3" x14ac:dyDescent="0.35">
      <c r="A29">
        <f t="shared" si="0"/>
        <v>704</v>
      </c>
      <c r="B29" t="s">
        <v>616</v>
      </c>
      <c r="C29" s="40">
        <v>3</v>
      </c>
    </row>
    <row r="30" spans="1:3" x14ac:dyDescent="0.35">
      <c r="A30">
        <f t="shared" si="0"/>
        <v>23</v>
      </c>
      <c r="B30" t="s">
        <v>617</v>
      </c>
      <c r="C30" s="40">
        <v>3</v>
      </c>
    </row>
    <row r="31" spans="1:3" x14ac:dyDescent="0.35">
      <c r="A31">
        <f t="shared" si="0"/>
        <v>1112</v>
      </c>
      <c r="B31" t="s">
        <v>618</v>
      </c>
      <c r="C31" s="40">
        <v>3</v>
      </c>
    </row>
    <row r="32" spans="1:3" x14ac:dyDescent="0.35">
      <c r="A32">
        <f t="shared" si="0"/>
        <v>1024</v>
      </c>
      <c r="B32" t="s">
        <v>619</v>
      </c>
      <c r="C32" s="40">
        <v>3</v>
      </c>
    </row>
    <row r="33" spans="1:3" x14ac:dyDescent="0.35">
      <c r="A33">
        <f t="shared" si="0"/>
        <v>532</v>
      </c>
      <c r="B33" t="s">
        <v>620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621</v>
      </c>
      <c r="C34" s="40">
        <v>3</v>
      </c>
    </row>
    <row r="35" spans="1:3" x14ac:dyDescent="0.35">
      <c r="A35">
        <f t="shared" si="1"/>
        <v>1194</v>
      </c>
      <c r="B35" t="s">
        <v>622</v>
      </c>
      <c r="C35" s="40">
        <v>4</v>
      </c>
    </row>
    <row r="36" spans="1:3" x14ac:dyDescent="0.35">
      <c r="A36">
        <f t="shared" si="1"/>
        <v>1048</v>
      </c>
      <c r="B36" t="s">
        <v>623</v>
      </c>
      <c r="C36" s="40">
        <v>4</v>
      </c>
    </row>
    <row r="37" spans="1:3" x14ac:dyDescent="0.35">
      <c r="A37">
        <f t="shared" si="1"/>
        <v>1195</v>
      </c>
      <c r="B37" t="s">
        <v>624</v>
      </c>
      <c r="C37" s="40">
        <v>4</v>
      </c>
    </row>
    <row r="38" spans="1:3" x14ac:dyDescent="0.35">
      <c r="A38">
        <f t="shared" si="1"/>
        <v>1298</v>
      </c>
      <c r="B38" t="s">
        <v>625</v>
      </c>
      <c r="C38" s="40">
        <v>4</v>
      </c>
    </row>
    <row r="39" spans="1:3" x14ac:dyDescent="0.35">
      <c r="A39">
        <f t="shared" si="1"/>
        <v>1332</v>
      </c>
      <c r="B39" t="s">
        <v>626</v>
      </c>
      <c r="C39" s="40">
        <v>4</v>
      </c>
    </row>
    <row r="40" spans="1:3" x14ac:dyDescent="0.35">
      <c r="A40">
        <f t="shared" si="1"/>
        <v>1377</v>
      </c>
      <c r="B40" t="s">
        <v>627</v>
      </c>
      <c r="C40" s="40">
        <v>4</v>
      </c>
    </row>
    <row r="41" spans="1:3" x14ac:dyDescent="0.35">
      <c r="A41">
        <f t="shared" si="1"/>
        <v>1193</v>
      </c>
      <c r="B41" t="s">
        <v>628</v>
      </c>
      <c r="C41" s="40">
        <v>4</v>
      </c>
    </row>
    <row r="42" spans="1:3" x14ac:dyDescent="0.35">
      <c r="A42">
        <f t="shared" si="1"/>
        <v>1244</v>
      </c>
      <c r="B42" t="s">
        <v>629</v>
      </c>
      <c r="C42" s="40">
        <v>4</v>
      </c>
    </row>
    <row r="43" spans="1:3" x14ac:dyDescent="0.35">
      <c r="A43">
        <f t="shared" si="1"/>
        <v>38</v>
      </c>
      <c r="B43" t="s">
        <v>630</v>
      </c>
      <c r="C43" s="40" t="s">
        <v>591</v>
      </c>
    </row>
    <row r="44" spans="1:3" x14ac:dyDescent="0.35">
      <c r="A44">
        <f t="shared" si="1"/>
        <v>967</v>
      </c>
      <c r="B44" t="s">
        <v>631</v>
      </c>
      <c r="C44" s="40">
        <v>1</v>
      </c>
    </row>
    <row r="45" spans="1:3" x14ac:dyDescent="0.35">
      <c r="A45">
        <f t="shared" si="1"/>
        <v>1242</v>
      </c>
      <c r="B45" t="s">
        <v>632</v>
      </c>
      <c r="C45" s="40">
        <v>2</v>
      </c>
    </row>
    <row r="46" spans="1:3" x14ac:dyDescent="0.35">
      <c r="A46">
        <f t="shared" si="1"/>
        <v>1135</v>
      </c>
      <c r="B46" t="s">
        <v>633</v>
      </c>
      <c r="C46" s="40">
        <v>2</v>
      </c>
    </row>
    <row r="47" spans="1:3" x14ac:dyDescent="0.35">
      <c r="A47">
        <f t="shared" si="1"/>
        <v>715</v>
      </c>
      <c r="B47" t="s">
        <v>634</v>
      </c>
      <c r="C47" s="40">
        <v>3</v>
      </c>
    </row>
    <row r="48" spans="1:3" x14ac:dyDescent="0.35">
      <c r="A48">
        <f t="shared" si="1"/>
        <v>1254</v>
      </c>
      <c r="B48" t="s">
        <v>635</v>
      </c>
      <c r="C48" s="40">
        <v>3</v>
      </c>
    </row>
    <row r="49" spans="1:3" x14ac:dyDescent="0.35">
      <c r="A49">
        <f t="shared" si="1"/>
        <v>1385</v>
      </c>
      <c r="B49" t="s">
        <v>216</v>
      </c>
      <c r="C49" s="40">
        <v>3</v>
      </c>
    </row>
    <row r="50" spans="1:3" x14ac:dyDescent="0.35">
      <c r="A50">
        <f t="shared" si="1"/>
        <v>7</v>
      </c>
      <c r="B50" t="s">
        <v>636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89"/>
  <sheetViews>
    <sheetView workbookViewId="0">
      <selection activeCell="A8" sqref="A8"/>
    </sheetView>
  </sheetViews>
  <sheetFormatPr defaultRowHeight="12.75" x14ac:dyDescent="0.35"/>
  <cols>
    <col min="1" max="1" width="24.86328125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649</v>
      </c>
      <c r="D1" s="38" t="s">
        <v>301</v>
      </c>
    </row>
    <row r="2" spans="1:4" ht="14.25" x14ac:dyDescent="0.45">
      <c r="A2" t="s">
        <v>116</v>
      </c>
      <c r="B2" t="s">
        <v>117</v>
      </c>
      <c r="C2" s="9" t="str">
        <f t="shared" ref="C2:C47" si="0">_xlfn.CONCAT(A2," (",B2,")")</f>
        <v>Carl Dyson (Aerologic)</v>
      </c>
    </row>
    <row r="3" spans="1:4" ht="14.25" x14ac:dyDescent="0.45">
      <c r="A3" t="s">
        <v>118</v>
      </c>
      <c r="B3" t="s">
        <v>119</v>
      </c>
      <c r="C3" s="9" t="str">
        <f t="shared" si="0"/>
        <v>Tommy Nolan (Ashby ICC)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s">
        <v>15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</row>
    <row r="6" spans="1:4" ht="14.25" x14ac:dyDescent="0.45">
      <c r="A6" t="s">
        <v>263</v>
      </c>
      <c r="B6" t="s">
        <v>671</v>
      </c>
      <c r="C6" s="42" t="str">
        <f t="shared" si="0"/>
        <v>Andy Thomas (HCRC)</v>
      </c>
    </row>
    <row r="7" spans="1:4" ht="14.25" x14ac:dyDescent="0.45">
      <c r="A7" t="s">
        <v>677</v>
      </c>
      <c r="B7" t="s">
        <v>671</v>
      </c>
      <c r="C7" s="9" t="str">
        <f t="shared" si="0"/>
        <v>Colin Parkinson (SWRC) (HCRC)</v>
      </c>
    </row>
    <row r="8" spans="1:4" ht="14.25" x14ac:dyDescent="0.45">
      <c r="A8" t="s">
        <v>673</v>
      </c>
      <c r="B8" t="s">
        <v>671</v>
      </c>
      <c r="C8" s="42" t="str">
        <f t="shared" si="0"/>
        <v>Joe Murray (M I Racing) (HCRC)</v>
      </c>
    </row>
    <row r="9" spans="1:4" ht="14.25" x14ac:dyDescent="0.45">
      <c r="A9" t="s">
        <v>678</v>
      </c>
      <c r="B9" t="s">
        <v>671</v>
      </c>
      <c r="C9" s="42" t="str">
        <f t="shared" si="0"/>
        <v>Mick Wills (M I Racing) (HCRC)</v>
      </c>
    </row>
    <row r="10" spans="1:4" ht="14.25" x14ac:dyDescent="0.45">
      <c r="A10" t="s">
        <v>123</v>
      </c>
      <c r="B10" t="s">
        <v>124</v>
      </c>
      <c r="C10" s="9" t="str">
        <f t="shared" si="0"/>
        <v>Evan Collett Jnr (KCC)</v>
      </c>
    </row>
    <row r="11" spans="1:4" ht="14.25" x14ac:dyDescent="0.45">
      <c r="A11" t="s">
        <v>125</v>
      </c>
      <c r="B11" t="s">
        <v>126</v>
      </c>
      <c r="C11" s="9" t="str">
        <f t="shared" si="0"/>
        <v>Harriet Hughes (LFCC)</v>
      </c>
      <c r="D11" t="s">
        <v>15</v>
      </c>
    </row>
    <row r="12" spans="1:4" ht="14.25" x14ac:dyDescent="0.45">
      <c r="A12" t="s">
        <v>127</v>
      </c>
      <c r="B12" t="s">
        <v>126</v>
      </c>
      <c r="C12" s="9" t="str">
        <f t="shared" si="0"/>
        <v>Mat Mabe (LFCC)</v>
      </c>
    </row>
    <row r="13" spans="1:4" ht="14.25" x14ac:dyDescent="0.45">
      <c r="A13" t="s">
        <v>128</v>
      </c>
      <c r="B13" t="s">
        <v>126</v>
      </c>
      <c r="C13" s="9" t="str">
        <f t="shared" si="0"/>
        <v>Matt Finch (LFCC)</v>
      </c>
    </row>
    <row r="14" spans="1:4" ht="14.25" x14ac:dyDescent="0.45">
      <c r="A14" t="s">
        <v>130</v>
      </c>
      <c r="B14" t="s">
        <v>126</v>
      </c>
      <c r="C14" s="9" t="str">
        <f t="shared" si="0"/>
        <v>Morris Mabe (LFCC)</v>
      </c>
    </row>
    <row r="15" spans="1:4" ht="14.25" x14ac:dyDescent="0.45">
      <c r="A15" t="s">
        <v>131</v>
      </c>
      <c r="B15" t="s">
        <v>126</v>
      </c>
      <c r="C15" s="9" t="str">
        <f t="shared" si="0"/>
        <v>Sam Nettel (LFCC)</v>
      </c>
    </row>
    <row r="16" spans="1:4" ht="14.25" x14ac:dyDescent="0.45">
      <c r="A16" t="s">
        <v>132</v>
      </c>
      <c r="B16" t="s">
        <v>126</v>
      </c>
      <c r="C16" s="9" t="str">
        <f t="shared" si="0"/>
        <v>Talles Medevives (LFCC)</v>
      </c>
    </row>
    <row r="17" spans="1:4" ht="14.25" x14ac:dyDescent="0.45">
      <c r="A17" t="s">
        <v>133</v>
      </c>
      <c r="B17" t="s">
        <v>134</v>
      </c>
      <c r="C17" s="9" t="str">
        <f t="shared" si="0"/>
        <v>Dean Tacey (LRC)</v>
      </c>
    </row>
    <row r="18" spans="1:4" ht="14.25" x14ac:dyDescent="0.45">
      <c r="A18" t="s">
        <v>135</v>
      </c>
      <c r="B18" t="s">
        <v>136</v>
      </c>
      <c r="C18" s="9" t="str">
        <f t="shared" si="0"/>
        <v>Chris Booth (MOCC)</v>
      </c>
    </row>
    <row r="19" spans="1:4" ht="14.25" x14ac:dyDescent="0.45">
      <c r="A19" t="s">
        <v>137</v>
      </c>
      <c r="B19" t="s">
        <v>136</v>
      </c>
      <c r="C19" s="9" t="str">
        <f t="shared" si="0"/>
        <v>David Cooper (MOCC)</v>
      </c>
    </row>
    <row r="20" spans="1:4" ht="14.25" x14ac:dyDescent="0.45">
      <c r="A20" t="s">
        <v>138</v>
      </c>
      <c r="B20" t="s">
        <v>136</v>
      </c>
      <c r="C20" s="9" t="str">
        <f t="shared" si="0"/>
        <v>Jamie Haines (MOCC)</v>
      </c>
    </row>
    <row r="21" spans="1:4" ht="14.25" x14ac:dyDescent="0.45">
      <c r="A21" t="s">
        <v>139</v>
      </c>
      <c r="B21" t="s">
        <v>136</v>
      </c>
      <c r="C21" s="9" t="str">
        <f t="shared" si="0"/>
        <v>Laura Ayers (MOCC)</v>
      </c>
      <c r="D21" t="s">
        <v>15</v>
      </c>
    </row>
    <row r="22" spans="1:4" ht="14.25" x14ac:dyDescent="0.45">
      <c r="A22" t="s">
        <v>140</v>
      </c>
      <c r="B22" t="s">
        <v>141</v>
      </c>
      <c r="C22" s="9" t="str">
        <f t="shared" si="0"/>
        <v>Lewis Cooper (RAF Tri)</v>
      </c>
    </row>
    <row r="23" spans="1:4" ht="14.25" x14ac:dyDescent="0.45">
      <c r="A23" t="s">
        <v>142</v>
      </c>
      <c r="B23" t="s">
        <v>676</v>
      </c>
      <c r="C23" s="9" t="str">
        <f t="shared" si="0"/>
        <v>Alex Whitmore (Ratae)</v>
      </c>
    </row>
    <row r="24" spans="1:4" ht="14.25" x14ac:dyDescent="0.45">
      <c r="A24" t="s">
        <v>143</v>
      </c>
      <c r="B24" t="s">
        <v>676</v>
      </c>
      <c r="C24" s="9" t="str">
        <f t="shared" si="0"/>
        <v>Brian Lincoln (Ratae)</v>
      </c>
    </row>
    <row r="25" spans="1:4" ht="14.25" x14ac:dyDescent="0.45">
      <c r="A25" t="s">
        <v>144</v>
      </c>
      <c r="B25" t="s">
        <v>676</v>
      </c>
      <c r="C25" s="9" t="str">
        <f t="shared" si="0"/>
        <v>Chris Bonsor (Ratae)</v>
      </c>
    </row>
    <row r="26" spans="1:4" ht="14.25" x14ac:dyDescent="0.45">
      <c r="A26" t="s">
        <v>145</v>
      </c>
      <c r="B26" t="s">
        <v>676</v>
      </c>
      <c r="C26" s="9" t="str">
        <f t="shared" si="0"/>
        <v>Chris Spray (Ratae)</v>
      </c>
    </row>
    <row r="27" spans="1:4" ht="14.25" x14ac:dyDescent="0.45">
      <c r="A27" t="s">
        <v>146</v>
      </c>
      <c r="B27" t="s">
        <v>676</v>
      </c>
      <c r="C27" s="9" t="str">
        <f t="shared" si="0"/>
        <v>Ed Watson (Ratae)</v>
      </c>
    </row>
    <row r="28" spans="1:4" ht="14.25" x14ac:dyDescent="0.45">
      <c r="A28" t="s">
        <v>147</v>
      </c>
      <c r="B28" t="s">
        <v>676</v>
      </c>
      <c r="C28" s="9" t="str">
        <f t="shared" si="0"/>
        <v>Mark Marmoy (Ratae)</v>
      </c>
    </row>
    <row r="29" spans="1:4" ht="14.25" x14ac:dyDescent="0.45">
      <c r="A29" t="s">
        <v>148</v>
      </c>
      <c r="B29" t="s">
        <v>676</v>
      </c>
      <c r="C29" s="9" t="str">
        <f t="shared" si="0"/>
        <v>Mark Newton (Ratae)</v>
      </c>
    </row>
    <row r="30" spans="1:4" ht="14.25" x14ac:dyDescent="0.45">
      <c r="A30" t="s">
        <v>149</v>
      </c>
      <c r="B30" t="s">
        <v>676</v>
      </c>
      <c r="C30" s="9" t="str">
        <f t="shared" si="0"/>
        <v>Marshall Briggs (Ratae)</v>
      </c>
    </row>
    <row r="31" spans="1:4" ht="14.25" x14ac:dyDescent="0.45">
      <c r="A31" t="s">
        <v>150</v>
      </c>
      <c r="B31" t="s">
        <v>676</v>
      </c>
      <c r="C31" s="42" t="str">
        <f t="shared" si="0"/>
        <v>Paul Eden (Ratae)</v>
      </c>
    </row>
    <row r="32" spans="1:4" ht="14.25" x14ac:dyDescent="0.45">
      <c r="A32" t="s">
        <v>151</v>
      </c>
      <c r="B32" t="s">
        <v>676</v>
      </c>
      <c r="C32" s="9" t="str">
        <f t="shared" si="0"/>
        <v>Sadie Murphy (Ratae)</v>
      </c>
      <c r="D32" t="s">
        <v>15</v>
      </c>
    </row>
    <row r="33" spans="1:4" ht="14.25" x14ac:dyDescent="0.45">
      <c r="A33" t="s">
        <v>152</v>
      </c>
      <c r="B33" t="s">
        <v>676</v>
      </c>
      <c r="C33" s="9" t="str">
        <f t="shared" si="0"/>
        <v>Steve Pearce (Ratae)</v>
      </c>
    </row>
    <row r="34" spans="1:4" ht="14.25" x14ac:dyDescent="0.45">
      <c r="A34" t="s">
        <v>153</v>
      </c>
      <c r="B34" t="s">
        <v>154</v>
      </c>
      <c r="C34" s="9" t="str">
        <f t="shared" si="0"/>
        <v>Adam Wells (RFW)</v>
      </c>
    </row>
    <row r="35" spans="1:4" ht="14.25" x14ac:dyDescent="0.45">
      <c r="A35" t="s">
        <v>155</v>
      </c>
      <c r="B35" t="s">
        <v>154</v>
      </c>
      <c r="C35" s="9" t="str">
        <f t="shared" si="0"/>
        <v>Alex Borrowman (RFW)</v>
      </c>
    </row>
    <row r="36" spans="1:4" ht="14.25" x14ac:dyDescent="0.45">
      <c r="A36" t="s">
        <v>156</v>
      </c>
      <c r="B36" t="s">
        <v>154</v>
      </c>
      <c r="C36" s="9" t="str">
        <f t="shared" si="0"/>
        <v>Chris Fowler (RFW)</v>
      </c>
    </row>
    <row r="37" spans="1:4" ht="14.25" x14ac:dyDescent="0.45">
      <c r="A37" t="s">
        <v>157</v>
      </c>
      <c r="B37" t="s">
        <v>154</v>
      </c>
      <c r="C37" s="9" t="str">
        <f t="shared" si="0"/>
        <v>Ethan Mitchell-Clarke (RFW)</v>
      </c>
    </row>
    <row r="38" spans="1:4" ht="14.25" x14ac:dyDescent="0.45">
      <c r="A38" t="s">
        <v>158</v>
      </c>
      <c r="B38" t="s">
        <v>154</v>
      </c>
      <c r="C38" s="9" t="str">
        <f t="shared" si="0"/>
        <v>Lynne Scofield (RFW)</v>
      </c>
      <c r="D38" t="s">
        <v>15</v>
      </c>
    </row>
    <row r="39" spans="1:4" ht="14.25" x14ac:dyDescent="0.45">
      <c r="A39" t="s">
        <v>159</v>
      </c>
      <c r="B39" t="s">
        <v>154</v>
      </c>
      <c r="C39" s="9" t="str">
        <f t="shared" si="0"/>
        <v>Michael Carter (RFW)</v>
      </c>
    </row>
    <row r="40" spans="1:4" ht="14.25" x14ac:dyDescent="0.45">
      <c r="A40" t="s">
        <v>150</v>
      </c>
      <c r="B40" t="s">
        <v>154</v>
      </c>
      <c r="C40" s="9" t="str">
        <f t="shared" si="0"/>
        <v>Paul Eden (RFW)</v>
      </c>
    </row>
    <row r="41" spans="1:4" ht="14.25" x14ac:dyDescent="0.45">
      <c r="A41" t="s">
        <v>254</v>
      </c>
      <c r="B41" t="s">
        <v>154</v>
      </c>
      <c r="C41" s="42" t="str">
        <f t="shared" si="0"/>
        <v>Paul Russell (RFW)</v>
      </c>
    </row>
    <row r="42" spans="1:4" ht="14.25" x14ac:dyDescent="0.45">
      <c r="A42" t="s">
        <v>160</v>
      </c>
      <c r="B42" t="s">
        <v>154</v>
      </c>
      <c r="C42" s="9" t="str">
        <f t="shared" si="0"/>
        <v>Phil Wilkinson (RFW)</v>
      </c>
    </row>
    <row r="43" spans="1:4" ht="14.25" x14ac:dyDescent="0.45">
      <c r="A43" t="s">
        <v>161</v>
      </c>
      <c r="B43" t="s">
        <v>162</v>
      </c>
      <c r="C43" s="9" t="str">
        <f t="shared" si="0"/>
        <v>Adrian James (Rugby RCC)</v>
      </c>
    </row>
    <row r="44" spans="1:4" ht="14.25" x14ac:dyDescent="0.45">
      <c r="A44" t="s">
        <v>163</v>
      </c>
      <c r="B44" t="s">
        <v>164</v>
      </c>
      <c r="C44" s="9" t="str">
        <f t="shared" si="0"/>
        <v>Carl Shaw (Speedhub)</v>
      </c>
    </row>
    <row r="45" spans="1:4" ht="14.25" x14ac:dyDescent="0.45">
      <c r="A45" t="s">
        <v>165</v>
      </c>
      <c r="B45" t="s">
        <v>166</v>
      </c>
      <c r="C45" s="9" t="str">
        <f t="shared" si="0"/>
        <v>Oliver Searle (St Ives CC)</v>
      </c>
    </row>
    <row r="46" spans="1:4" ht="14.25" x14ac:dyDescent="0.45">
      <c r="A46" t="s">
        <v>167</v>
      </c>
      <c r="C46" s="42" t="str">
        <f t="shared" si="0"/>
        <v>Derek Lawlor ()</v>
      </c>
      <c r="D46" s="42"/>
    </row>
    <row r="47" spans="1:4" ht="14.25" x14ac:dyDescent="0.45">
      <c r="A47" t="s">
        <v>168</v>
      </c>
      <c r="C47" s="42" t="str">
        <f t="shared" si="0"/>
        <v>Tyler Dyson ()</v>
      </c>
      <c r="D47" s="42"/>
    </row>
    <row r="48" spans="1:4" ht="14.25" x14ac:dyDescent="0.45">
      <c r="C48" s="42" t="str">
        <f t="shared" ref="C48:C88" si="1">_xlfn.CONCAT(A48," (",B48,")")</f>
        <v xml:space="preserve"> ()</v>
      </c>
    </row>
    <row r="49" spans="3:3" ht="14.25" x14ac:dyDescent="0.45">
      <c r="C49" s="42" t="str">
        <f t="shared" si="1"/>
        <v xml:space="preserve"> ()</v>
      </c>
    </row>
    <row r="50" spans="3:3" ht="14.25" x14ac:dyDescent="0.45">
      <c r="C50" s="42" t="str">
        <f t="shared" si="1"/>
        <v xml:space="preserve"> ()</v>
      </c>
    </row>
    <row r="51" spans="3:3" ht="14.25" x14ac:dyDescent="0.45">
      <c r="C51" s="42" t="str">
        <f t="shared" si="1"/>
        <v xml:space="preserve"> ()</v>
      </c>
    </row>
    <row r="52" spans="3:3" ht="14.25" x14ac:dyDescent="0.45">
      <c r="C52" s="42" t="str">
        <f t="shared" si="1"/>
        <v xml:space="preserve"> ()</v>
      </c>
    </row>
    <row r="53" spans="3:3" ht="14.25" x14ac:dyDescent="0.45">
      <c r="C53" s="42" t="str">
        <f t="shared" si="1"/>
        <v xml:space="preserve"> ()</v>
      </c>
    </row>
    <row r="54" spans="3:3" ht="14.25" x14ac:dyDescent="0.45">
      <c r="C54" s="42" t="str">
        <f t="shared" si="1"/>
        <v xml:space="preserve"> ()</v>
      </c>
    </row>
    <row r="55" spans="3:3" ht="14.25" x14ac:dyDescent="0.45">
      <c r="C55" s="42" t="str">
        <f t="shared" si="1"/>
        <v xml:space="preserve"> ()</v>
      </c>
    </row>
    <row r="56" spans="3:3" ht="14.25" x14ac:dyDescent="0.45">
      <c r="C56" s="42" t="str">
        <f t="shared" si="1"/>
        <v xml:space="preserve"> ()</v>
      </c>
    </row>
    <row r="57" spans="3:3" ht="14.25" x14ac:dyDescent="0.45">
      <c r="C57" s="42" t="str">
        <f t="shared" si="1"/>
        <v xml:space="preserve"> ()</v>
      </c>
    </row>
    <row r="58" spans="3:3" ht="14.25" x14ac:dyDescent="0.45">
      <c r="C58" s="42" t="str">
        <f t="shared" si="1"/>
        <v xml:space="preserve"> ()</v>
      </c>
    </row>
    <row r="59" spans="3:3" ht="14.25" x14ac:dyDescent="0.45">
      <c r="C59" s="42" t="str">
        <f t="shared" si="1"/>
        <v xml:space="preserve"> ()</v>
      </c>
    </row>
    <row r="60" spans="3:3" ht="14.25" x14ac:dyDescent="0.45">
      <c r="C60" s="42" t="str">
        <f t="shared" si="1"/>
        <v xml:space="preserve"> ()</v>
      </c>
    </row>
    <row r="61" spans="3:3" ht="14.25" x14ac:dyDescent="0.45">
      <c r="C61" s="42" t="str">
        <f t="shared" si="1"/>
        <v xml:space="preserve"> ()</v>
      </c>
    </row>
    <row r="62" spans="3:3" ht="14.25" x14ac:dyDescent="0.45">
      <c r="C62" s="42" t="str">
        <f t="shared" si="1"/>
        <v xml:space="preserve"> ()</v>
      </c>
    </row>
    <row r="63" spans="3:3" ht="14.25" x14ac:dyDescent="0.45">
      <c r="C63" s="42" t="str">
        <f t="shared" si="1"/>
        <v xml:space="preserve"> ()</v>
      </c>
    </row>
    <row r="64" spans="3:3" ht="14.25" x14ac:dyDescent="0.45">
      <c r="C64" s="42" t="str">
        <f t="shared" si="1"/>
        <v xml:space="preserve"> ()</v>
      </c>
    </row>
    <row r="65" spans="3:3" ht="14.25" x14ac:dyDescent="0.45">
      <c r="C65" s="42" t="str">
        <f t="shared" si="1"/>
        <v xml:space="preserve"> ()</v>
      </c>
    </row>
    <row r="66" spans="3:3" ht="14.25" x14ac:dyDescent="0.45">
      <c r="C66" s="42" t="str">
        <f t="shared" si="1"/>
        <v xml:space="preserve"> ()</v>
      </c>
    </row>
    <row r="67" spans="3:3" ht="14.25" x14ac:dyDescent="0.45">
      <c r="C67" s="42" t="str">
        <f t="shared" si="1"/>
        <v xml:space="preserve"> ()</v>
      </c>
    </row>
    <row r="68" spans="3:3" ht="14.25" x14ac:dyDescent="0.45">
      <c r="C68" s="42" t="str">
        <f t="shared" si="1"/>
        <v xml:space="preserve"> ()</v>
      </c>
    </row>
    <row r="69" spans="3:3" ht="14.25" x14ac:dyDescent="0.45">
      <c r="C69" s="42" t="str">
        <f t="shared" si="1"/>
        <v xml:space="preserve"> ()</v>
      </c>
    </row>
    <row r="70" spans="3:3" ht="14.25" x14ac:dyDescent="0.45">
      <c r="C70" s="42" t="str">
        <f t="shared" si="1"/>
        <v xml:space="preserve"> ()</v>
      </c>
    </row>
    <row r="71" spans="3:3" ht="14.25" x14ac:dyDescent="0.45">
      <c r="C71" s="42" t="str">
        <f t="shared" si="1"/>
        <v xml:space="preserve"> ()</v>
      </c>
    </row>
    <row r="72" spans="3:3" ht="14.25" x14ac:dyDescent="0.45">
      <c r="C72" s="42" t="str">
        <f t="shared" si="1"/>
        <v xml:space="preserve"> ()</v>
      </c>
    </row>
    <row r="73" spans="3:3" ht="14.25" x14ac:dyDescent="0.45">
      <c r="C73" s="42" t="str">
        <f t="shared" si="1"/>
        <v xml:space="preserve"> ()</v>
      </c>
    </row>
    <row r="74" spans="3:3" ht="14.25" x14ac:dyDescent="0.45">
      <c r="C74" s="42" t="str">
        <f t="shared" si="1"/>
        <v xml:space="preserve"> ()</v>
      </c>
    </row>
    <row r="75" spans="3:3" ht="14.25" x14ac:dyDescent="0.45">
      <c r="C75" s="42" t="str">
        <f t="shared" si="1"/>
        <v xml:space="preserve"> ()</v>
      </c>
    </row>
    <row r="76" spans="3:3" ht="14.25" x14ac:dyDescent="0.45">
      <c r="C76" s="42" t="str">
        <f t="shared" si="1"/>
        <v xml:space="preserve"> ()</v>
      </c>
    </row>
    <row r="77" spans="3:3" ht="14.25" x14ac:dyDescent="0.45">
      <c r="C77" s="42" t="str">
        <f t="shared" si="1"/>
        <v xml:space="preserve"> ()</v>
      </c>
    </row>
    <row r="78" spans="3:3" ht="14.25" x14ac:dyDescent="0.45">
      <c r="C78" s="42" t="str">
        <f t="shared" si="1"/>
        <v xml:space="preserve"> ()</v>
      </c>
    </row>
    <row r="79" spans="3:3" ht="14.25" x14ac:dyDescent="0.45">
      <c r="C79" s="42" t="str">
        <f t="shared" si="1"/>
        <v xml:space="preserve"> ()</v>
      </c>
    </row>
    <row r="80" spans="3:3" ht="14.25" x14ac:dyDescent="0.45">
      <c r="C80" s="42" t="str">
        <f t="shared" si="1"/>
        <v xml:space="preserve"> ()</v>
      </c>
    </row>
    <row r="81" spans="3:3" ht="14.25" x14ac:dyDescent="0.45">
      <c r="C81" s="42" t="str">
        <f t="shared" si="1"/>
        <v xml:space="preserve"> ()</v>
      </c>
    </row>
    <row r="82" spans="3:3" ht="14.25" x14ac:dyDescent="0.45">
      <c r="C82" s="42" t="str">
        <f t="shared" si="1"/>
        <v xml:space="preserve"> ()</v>
      </c>
    </row>
    <row r="83" spans="3:3" ht="14.25" x14ac:dyDescent="0.45">
      <c r="C83" s="42" t="str">
        <f t="shared" si="1"/>
        <v xml:space="preserve"> ()</v>
      </c>
    </row>
    <row r="84" spans="3:3" ht="14.25" x14ac:dyDescent="0.45">
      <c r="C84" s="42" t="str">
        <f t="shared" si="1"/>
        <v xml:space="preserve"> ()</v>
      </c>
    </row>
    <row r="85" spans="3:3" ht="14.25" x14ac:dyDescent="0.45">
      <c r="C85" s="42" t="str">
        <f t="shared" si="1"/>
        <v xml:space="preserve"> ()</v>
      </c>
    </row>
    <row r="86" spans="3:3" ht="14.25" x14ac:dyDescent="0.45">
      <c r="C86" s="42" t="str">
        <f t="shared" si="1"/>
        <v xml:space="preserve"> ()</v>
      </c>
    </row>
    <row r="87" spans="3:3" ht="14.25" x14ac:dyDescent="0.45">
      <c r="C87" s="42" t="str">
        <f t="shared" si="1"/>
        <v xml:space="preserve"> ()</v>
      </c>
    </row>
    <row r="88" spans="3:3" ht="14.25" x14ac:dyDescent="0.45">
      <c r="C88" s="42" t="str">
        <f t="shared" si="1"/>
        <v xml:space="preserve"> ()</v>
      </c>
    </row>
    <row r="89" spans="3:3" s="10" customFormat="1" x14ac:dyDescent="0.35"/>
  </sheetData>
  <sortState xmlns:xlrd2="http://schemas.microsoft.com/office/spreadsheetml/2017/richdata2" ref="A2:D47">
    <sortCondition ref="B2:B47"/>
    <sortCondition ref="A2:A47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173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595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594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212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599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173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613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173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605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601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173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600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590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173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597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173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609</v>
      </c>
    </row>
    <row r="13" spans="1:10" ht="15" x14ac:dyDescent="0.4">
      <c r="A13" s="18" t="s">
        <v>174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>X</v>
      </c>
      <c r="J13" s="41" t="s">
        <v>174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173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610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173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146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612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614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173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620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173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616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617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618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621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176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176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175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176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177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176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178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173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179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176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180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176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594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173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181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173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182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173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183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173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184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173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185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173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186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187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160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176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153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173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188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176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189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176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598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176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190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590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176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191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173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604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173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192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173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611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176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193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173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194</v>
      </c>
    </row>
    <row r="28" spans="1:10" ht="15" x14ac:dyDescent="0.4">
      <c r="A28" s="18" t="s">
        <v>195</v>
      </c>
      <c r="B28" s="18">
        <v>0</v>
      </c>
      <c r="C28" s="18">
        <v>29</v>
      </c>
      <c r="D28" s="18">
        <v>58</v>
      </c>
      <c r="E28" s="18" t="s">
        <v>176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>X</v>
      </c>
      <c r="J28" s="41" t="s">
        <v>195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176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196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176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197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176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198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176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199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173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173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201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176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652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176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202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176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203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173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204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173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205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173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158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173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625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173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206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208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207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208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209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208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210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208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145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208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211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208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594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173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592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173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595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590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599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593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606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212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603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173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605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601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619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173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613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173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609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612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614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621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173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611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607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173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629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596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213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634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594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590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160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593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597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173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595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598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600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173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605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607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612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652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214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173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611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621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617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616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619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218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625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208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158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545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614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176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7" t="s">
        <v>114</v>
      </c>
      <c r="H1" s="17" t="s">
        <v>172</v>
      </c>
      <c r="I1" t="s">
        <v>305</v>
      </c>
      <c r="J1" s="17" t="s">
        <v>651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594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173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595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215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173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596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598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597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173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605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173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600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590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173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601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173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609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607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613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614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173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611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173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616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173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152</v>
      </c>
    </row>
    <row r="20" spans="1:10" ht="15" x14ac:dyDescent="0.4">
      <c r="A20" s="18" t="s">
        <v>216</v>
      </c>
      <c r="B20" s="18">
        <v>0</v>
      </c>
      <c r="C20" s="18">
        <v>30</v>
      </c>
      <c r="D20" s="18">
        <v>9</v>
      </c>
      <c r="E20" s="18" t="s">
        <v>173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>X</v>
      </c>
      <c r="J20" s="41" t="s">
        <v>216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173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144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173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623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173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624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143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173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626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173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625</v>
      </c>
    </row>
    <row r="27" spans="1:10" ht="15" x14ac:dyDescent="0.4">
      <c r="A27" s="18" t="s">
        <v>674</v>
      </c>
      <c r="B27" s="18">
        <v>1</v>
      </c>
      <c r="C27" s="18">
        <v>1</v>
      </c>
      <c r="D27" s="18">
        <v>1</v>
      </c>
      <c r="E27" s="18"/>
      <c r="F27" s="18" t="s">
        <v>213</v>
      </c>
      <c r="G27" s="26" t="str">
        <f>IF($A27="","",IF($I27="X",A27,CONCATENATE(VLOOKUP(A27,Competitors!$A$2:$I$650,3, FALSE)," ",VLOOKUP(A27,Competitors!$A$2:$I$650,2,FALSE))))</f>
        <v>Harriet Evans</v>
      </c>
      <c r="H27" s="21">
        <f t="shared" si="1"/>
        <v>4.2372685185185187E-2</v>
      </c>
      <c r="I27" t="str">
        <f t="shared" si="2"/>
        <v>X</v>
      </c>
      <c r="J27" s="41" t="s">
        <v>674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218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629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208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149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173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142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594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606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595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593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597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590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173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602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173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608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600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601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619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173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605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173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611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614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621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173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615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173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616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173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628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173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624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173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173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622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176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176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176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176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176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176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176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176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176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176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176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176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176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176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176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176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176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176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176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176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176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176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594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599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590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601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614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612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617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621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173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144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173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616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173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607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173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624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218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143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218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611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218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609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218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219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176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176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176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176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176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594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173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595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220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599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601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173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605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614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221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612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634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173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624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218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158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218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212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218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160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218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635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176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176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176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176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176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176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176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594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597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630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599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160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601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173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631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146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603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600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144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614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612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194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607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632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617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621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152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173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633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635</v>
      </c>
    </row>
    <row r="23" spans="1:10" ht="15" x14ac:dyDescent="0.4">
      <c r="A23" s="18" t="s">
        <v>216</v>
      </c>
      <c r="B23" s="18">
        <v>0</v>
      </c>
      <c r="C23" s="18">
        <v>25</v>
      </c>
      <c r="D23" s="18">
        <v>48</v>
      </c>
      <c r="E23" s="18" t="s">
        <v>173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>X</v>
      </c>
      <c r="J23" s="41" t="s">
        <v>216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173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616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634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173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148</v>
      </c>
    </row>
    <row r="27" spans="1:10" ht="15" x14ac:dyDescent="0.4">
      <c r="A27" s="18" t="s">
        <v>222</v>
      </c>
      <c r="B27" s="18">
        <v>0</v>
      </c>
      <c r="C27" s="18">
        <v>26</v>
      </c>
      <c r="D27" s="18">
        <v>26</v>
      </c>
      <c r="E27" s="18" t="s">
        <v>173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>X</v>
      </c>
      <c r="J27" s="41" t="s">
        <v>222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173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611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173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173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622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158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J22" sqref="J22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223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594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156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224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595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153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597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160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173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631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183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173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159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605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599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601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225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614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226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227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652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612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173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228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634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173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229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173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624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158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218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194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594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597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153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160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630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599</v>
      </c>
    </row>
    <row r="8" spans="1:10" ht="15" x14ac:dyDescent="0.4">
      <c r="A8" s="18" t="s">
        <v>230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>X</v>
      </c>
      <c r="J8" s="41" t="s">
        <v>230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605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231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173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631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173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633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612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614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600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635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621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617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634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173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611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173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222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173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622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218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216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594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232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599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630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173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631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601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233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144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600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173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633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614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234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607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173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664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173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613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152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635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148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654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616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149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617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173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611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622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173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143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173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626</v>
      </c>
    </row>
    <row r="28" spans="1:10" ht="15" x14ac:dyDescent="0.4">
      <c r="A28" s="18" t="s">
        <v>216</v>
      </c>
      <c r="B28" s="18"/>
      <c r="C28" s="19"/>
      <c r="D28" s="19"/>
      <c r="E28" s="19"/>
      <c r="F28" s="19" t="s">
        <v>208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>X</v>
      </c>
      <c r="J28" s="41" t="s">
        <v>216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208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235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662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topLeftCell="G1"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594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595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597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160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236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599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237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630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173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596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173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608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601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614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600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234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144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173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605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607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173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664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233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173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609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617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152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621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654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173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216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634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238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149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173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611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660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158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173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173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143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173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629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173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665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173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150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173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625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662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217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635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A38" sqref="A38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594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239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602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153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156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173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595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240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155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600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601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159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241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242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243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173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605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656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244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245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246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247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173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604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663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173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611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607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148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173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616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248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249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173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624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229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173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655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158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250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236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A33" sqref="A33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173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142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153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602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160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173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595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145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600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173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605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146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601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614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635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656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148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173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152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618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654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612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173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216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173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609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173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611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173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663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149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624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621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173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655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158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173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143</v>
      </c>
      <c r="K29" s="24"/>
    </row>
    <row r="30" spans="1:11" ht="15" x14ac:dyDescent="0.4">
      <c r="A30" s="18" t="str">
        <f t="shared" si="0"/>
        <v>Matthew Finch</v>
      </c>
      <c r="B30" s="18">
        <v>0</v>
      </c>
      <c r="C30" s="19">
        <v>30</v>
      </c>
      <c r="D30" s="19">
        <v>33</v>
      </c>
      <c r="E30" s="19" t="s">
        <v>173</v>
      </c>
      <c r="F30" s="19"/>
      <c r="G30" s="20" t="str">
        <f>IF($A30="","",IF($I30="X",A30,CONCATENATE(VLOOKUP(A30,Competitors!$A$2:$I$650,3, FALSE)," ",VLOOKUP(A30,Competitors!$A$2:$I$650,2,FALSE))))</f>
        <v>Matthew Finch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150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173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636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662</v>
      </c>
      <c r="K33" s="24"/>
    </row>
    <row r="34" spans="1:11" ht="15" x14ac:dyDescent="0.4">
      <c r="A34" s="18"/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142</v>
      </c>
      <c r="K34" s="24"/>
    </row>
    <row r="35" spans="1:11" ht="15" x14ac:dyDescent="0.4">
      <c r="A35" s="18"/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ref="A36:A65" si="3">IF(J36="","",_xlfn.XLOOKUP(J36,ClubNames,ClubNumbers,_xlfn.XLOOKUP(J36,RoundRobinRiderNames,RoundRobinRiderDecoratedNames,J36)))</f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176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176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176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176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176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176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176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176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176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176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176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176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176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176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176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176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176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176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176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176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176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176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176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176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176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176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176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176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176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176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176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176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176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176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176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176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176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176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176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176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176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176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176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176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176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176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176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176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176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176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176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176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176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176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176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176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176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176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176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176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176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176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176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176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176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587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173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142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173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156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602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173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596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153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160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241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600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157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601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173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159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630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173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251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597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145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144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146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173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609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238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173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216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173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152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173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655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612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611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660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173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663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173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252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173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148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621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173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616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158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173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173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253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173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150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173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636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662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208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617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208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236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G24" sqref="G24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173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 t="str">
        <f t="shared" si="0"/>
        <v>Paul Russell (RFW)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 (RFW)</v>
      </c>
      <c r="H4" s="21">
        <f t="shared" si="1"/>
        <v>1.6377314814814813E-2</v>
      </c>
      <c r="I4" t="str">
        <f t="shared" si="2"/>
        <v>X</v>
      </c>
      <c r="J4" s="41" t="s">
        <v>254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173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156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153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160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173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255</v>
      </c>
    </row>
    <row r="11" spans="1:10" ht="15" x14ac:dyDescent="0.4">
      <c r="A11" s="18" t="s">
        <v>675</v>
      </c>
      <c r="B11" s="18">
        <v>0</v>
      </c>
      <c r="C11" s="19">
        <v>24</v>
      </c>
      <c r="D11" s="19">
        <v>45</v>
      </c>
      <c r="E11" s="19" t="s">
        <v>173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>X</v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220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173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173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144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148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152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173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149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173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147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173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256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173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173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158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173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173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topLeftCell="A5" zoomScale="75" zoomScaleNormal="75" workbookViewId="0">
      <selection activeCell="G5" sqref="G5"/>
    </sheetView>
  </sheetViews>
  <sheetFormatPr defaultColWidth="9.1328125" defaultRowHeight="12.75" x14ac:dyDescent="0.35"/>
  <cols>
    <col min="1" max="1" width="31.7304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165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163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(M I Racing) (HCRC)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(M I Racing) (HCRC)</v>
      </c>
      <c r="H5" s="21">
        <f t="shared" si="1"/>
        <v>1.5243055555555555E-2</v>
      </c>
      <c r="I5" t="str">
        <f t="shared" si="2"/>
        <v>X</v>
      </c>
      <c r="J5" s="41" t="s">
        <v>673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153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160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173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173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159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148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144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168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149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161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173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152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173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140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147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173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173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167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173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158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151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173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143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173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150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173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 (HCRC)</v>
      </c>
      <c r="B53" s="18"/>
      <c r="C53" s="19"/>
      <c r="D53" s="19"/>
      <c r="E53" s="19"/>
      <c r="F53" s="19" t="s">
        <v>217</v>
      </c>
      <c r="G53" s="20" t="str">
        <f>IF($A53="","",IF($I53="X",A53,CONCATENATE(VLOOKUP(A53,Competitors!$A$2:$I$650,3, FALSE)," ",VLOOKUP(A53,Competitors!$A$2:$I$650,2,FALSE))))</f>
        <v>Colin Parkinson (SWRC) (HCRC)</v>
      </c>
      <c r="H53" s="21">
        <f t="shared" si="1"/>
        <v>0</v>
      </c>
      <c r="I53" t="str">
        <f t="shared" si="2"/>
        <v>X</v>
      </c>
      <c r="J53" s="41" t="s">
        <v>677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163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138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173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602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594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173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595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153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173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596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630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173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135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597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601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173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605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144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173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609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149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173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612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152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618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173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216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660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173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139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173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148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173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150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zoomScale="75" zoomScaleNormal="75" workbookViewId="0">
      <selection activeCell="M10" sqref="M10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257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163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165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602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153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258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597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259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173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596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605</v>
      </c>
    </row>
    <row r="14" spans="1:10" ht="15" x14ac:dyDescent="0.4">
      <c r="A14" s="18" t="str">
        <f t="shared" si="0"/>
        <v>Mick Wills (M I Racing) (HCRC)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>Mick Wills (M I Racing) (HCRC)</v>
      </c>
      <c r="H14" s="21">
        <f t="shared" si="1"/>
        <v>1.6562500000000001E-2</v>
      </c>
      <c r="I14" t="str">
        <f t="shared" si="2"/>
        <v>X</v>
      </c>
      <c r="J14" s="41" t="s">
        <v>678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160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173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631</v>
      </c>
    </row>
    <row r="17" spans="1:10" ht="15" x14ac:dyDescent="0.4">
      <c r="A17" s="18" t="s">
        <v>230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>X</v>
      </c>
      <c r="J17" s="41" t="s">
        <v>230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260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148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159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261</v>
      </c>
    </row>
    <row r="23" spans="1:10" ht="15" x14ac:dyDescent="0.4">
      <c r="A23" s="18" t="str">
        <f t="shared" si="0"/>
        <v>Colin Parkinson (SWRC) (HCRC)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 (HCRC)</v>
      </c>
      <c r="H23" s="21">
        <f t="shared" si="1"/>
        <v>1.7002314814814814E-2</v>
      </c>
      <c r="I23" t="str">
        <f t="shared" si="2"/>
        <v>X</v>
      </c>
      <c r="J23" s="41" t="s">
        <v>677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262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168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173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609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146</v>
      </c>
    </row>
    <row r="28" spans="1:10" ht="15" x14ac:dyDescent="0.4">
      <c r="A28" s="18" t="str">
        <f t="shared" si="0"/>
        <v>Andy Thomas (HCRC)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 (HCRC)</v>
      </c>
      <c r="H28" s="21">
        <f t="shared" si="1"/>
        <v>1.7210648148148149E-2</v>
      </c>
      <c r="I28" t="str">
        <f t="shared" si="2"/>
        <v>X</v>
      </c>
      <c r="J28" s="41" t="s">
        <v>263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612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144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264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617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265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266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654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267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616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618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173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628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152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268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173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216</v>
      </c>
    </row>
    <row r="43" spans="1:10" ht="15" x14ac:dyDescent="0.4">
      <c r="A43" s="18">
        <v>1348</v>
      </c>
      <c r="B43" s="18">
        <v>0</v>
      </c>
      <c r="C43" s="19">
        <v>26</v>
      </c>
      <c r="D43" s="19">
        <v>16</v>
      </c>
      <c r="E43" s="19" t="s">
        <v>173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269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173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611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147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621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270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173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622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271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158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272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150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173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661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273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173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636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tabSelected="1" zoomScale="75" zoomScaleNormal="75" workbookViewId="0">
      <selection activeCell="K2" sqref="K2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Whitmore (Ratae)</v>
      </c>
      <c r="B2" s="29">
        <v>0</v>
      </c>
      <c r="C2" s="29">
        <v>23</v>
      </c>
      <c r="D2" s="29">
        <v>12</v>
      </c>
      <c r="E2" s="29" t="s">
        <v>173</v>
      </c>
      <c r="F2" s="2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142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594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602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173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631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173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596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597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598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146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173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216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144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612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654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173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148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173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149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617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660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173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628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152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173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632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173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624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173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615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274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275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173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622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173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621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143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173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150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173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276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17" sqref="J17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277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239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278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279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223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173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602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173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595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183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157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173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613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159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173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653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280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281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282</v>
      </c>
    </row>
    <row r="17" spans="1:10" ht="15" x14ac:dyDescent="0.4">
      <c r="A17" s="35"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269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173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609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173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656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173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657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283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173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658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284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173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659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225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251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173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216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173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632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285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173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611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286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196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227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226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229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189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173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624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173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627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287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288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289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173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622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203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290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588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602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173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595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597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173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596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598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173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653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173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605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173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609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611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614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173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216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173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600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173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613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612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149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635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654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621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173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624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173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152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173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623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173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622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173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627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626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173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143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173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655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173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636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176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176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176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176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176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176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176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176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176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176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176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176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176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176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176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176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176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176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176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176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176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176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306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305</v>
      </c>
      <c r="J1" s="16" t="s">
        <v>651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176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176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176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176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176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176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176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176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176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176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176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176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176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176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176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176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176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176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176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176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176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176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587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588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2026-02-20T20:57:21Z</dcterms:modified>
</cp:coreProperties>
</file>