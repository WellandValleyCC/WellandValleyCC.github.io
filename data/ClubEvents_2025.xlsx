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8BBE17B-AFFE-43B9-A2A9-61CC30247975}" xr6:coauthVersionLast="47" xr6:coauthVersionMax="47" xr10:uidLastSave="{00000000-0000-0000-0000-000000000000}"/>
  <bookViews>
    <workbookView xWindow="-98" yWindow="-98" windowWidth="28996" windowHeight="17475" firstSheet="2" activeTab="32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34" l="1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A28" i="2"/>
  <c r="I28" i="2"/>
  <c r="K28" i="2"/>
  <c r="L28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L3" i="2" l="1"/>
  <c r="B104" i="6" s="1"/>
  <c r="A4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L4" i="2" l="1"/>
  <c r="A5" i="2"/>
  <c r="B104" i="7" l="1"/>
  <c r="B104" i="8"/>
  <c r="L5" i="2"/>
  <c r="A6" i="2"/>
  <c r="L6" i="2" l="1"/>
  <c r="A7" i="2"/>
  <c r="B104" i="9" l="1"/>
  <c r="L7" i="2"/>
  <c r="A8" i="2"/>
  <c r="A9" i="2" l="1"/>
  <c r="L8" i="2"/>
  <c r="B104" i="10"/>
  <c r="L9" i="2" l="1"/>
  <c r="B104" i="12" s="1"/>
  <c r="A10" i="2"/>
  <c r="B104" i="11"/>
  <c r="L10" i="2" l="1"/>
  <c r="A11" i="2"/>
  <c r="B104" i="13" l="1"/>
  <c r="L11" i="2"/>
  <c r="A12" i="2"/>
  <c r="L12" i="2" l="1"/>
  <c r="B104" i="15" s="1"/>
  <c r="A13" i="2"/>
  <c r="L13" i="2" l="1"/>
  <c r="A14" i="2"/>
  <c r="L14" i="2" l="1"/>
  <c r="B104" i="17" s="1"/>
  <c r="A15" i="2"/>
  <c r="L15" i="2" l="1"/>
  <c r="A16" i="2"/>
  <c r="L16" i="2" l="1"/>
  <c r="A17" i="2"/>
  <c r="L17" i="2" l="1"/>
  <c r="A18" i="2"/>
  <c r="L18" i="2" l="1"/>
  <c r="A19" i="2"/>
  <c r="A20" i="2" l="1"/>
  <c r="L19" i="2"/>
  <c r="A21" i="2" l="1"/>
  <c r="L20" i="2"/>
  <c r="A22" i="2" l="1"/>
  <c r="L21" i="2"/>
  <c r="A23" i="2" l="1"/>
  <c r="L22" i="2"/>
  <c r="B104" i="25" s="1"/>
  <c r="B104" i="16"/>
  <c r="B104" i="18"/>
  <c r="B104" i="19"/>
  <c r="B104" i="23"/>
  <c r="B104" i="22"/>
  <c r="B104" i="21"/>
  <c r="B104" i="24"/>
  <c r="B104" i="20"/>
  <c r="L23" i="2" l="1"/>
  <c r="A24" i="2"/>
  <c r="B104" i="26" l="1"/>
  <c r="L24" i="2"/>
  <c r="B104" i="27" s="1"/>
  <c r="A25" i="2"/>
  <c r="L25" i="2" l="1"/>
  <c r="A26" i="2"/>
  <c r="B104" i="28" l="1"/>
  <c r="A27" i="2"/>
  <c r="L27" i="2" s="1"/>
  <c r="B104" i="14" s="1"/>
  <c r="L26" i="2"/>
  <c r="B104" i="29" l="1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<sst xmlns="http://schemas.openxmlformats.org/spreadsheetml/2006/main" count="2187" uniqueCount="703">
  <si>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</si>
  <si>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</si>
  <si>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</si>
  <si>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</si>
  <si>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</si>
  <si>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</si>
  <si>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</si>
  <si>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</si>
  <si>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</si>
  <si>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</si>
  <si>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</si>
  <si>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</si>
  <si>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</si>
  <si>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</si>
  <si>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</si>
  <si>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</si>
  <si>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</si>
  <si>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</si>
  <si>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</si>
  <si>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</si>
  <si>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</si>
  <si>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</si>
  <si>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</si>
  <si>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</si>
  <si>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</si>
  <si>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</si>
  <si>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</si>
  <si>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</si>
  <si>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</si>
  <si>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</si>
  <si>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</si>
  <si>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</si>
  <si>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</si>
  <si>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</si>
  <si>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</si>
  <si>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</si>
  <si>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</si>
  <si>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</si>
  <si>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</si>
  <si>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</si>
  <si>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</si>
  <si>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</si>
  <si>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</si>
  <si>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</si>
  <si>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</si>
  <si>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</si>
  <si>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</si>
  <si>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</si>
  <si>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</si>
  <si>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</si>
  <si>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</si>
  <si>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</si>
  <si>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</si>
  <si>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</si>
  <si>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</si>
  <si>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</si>
  <si>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</si>
  <si>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</si>
  <si>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</si>
  <si>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</si>
  <si>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</si>
  <si>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</si>
  <si>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</si>
  <si>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</si>
  <si>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</si>
  <si>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</si>
  <si>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</si>
  <si>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</si>
  <si>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</si>
  <si>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</si>
  <si>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</si>
  <si>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</si>
  <si>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</si>
  <si>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</si>
  <si>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</si>
  <si>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</si>
  <si>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</si>
  <si>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</si>
  <si>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</si>
  <si>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</si>
  <si>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</si>
  <si>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</si>
  <si>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</si>
  <si>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</si>
  <si>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</si>
  <si>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</si>
  <si>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</si>
  <si>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</si>
  <si>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</si>
  <si>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</si>
  <si>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</si>
  <si>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</si>
  <si>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</si>
  <si>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</si>
  <si>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</si>
  <si>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</si>
  <si>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</si>
  <si>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</si>
  <si>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</si>
  <si>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</si>
  <si>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</si>
  <si>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</si>
  <si>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</si>
  <si>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</si>
  <si>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</si>
  <si>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</si>
  <si>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</si>
  <si>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</si>
  <si>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</si>
  <si>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</si>
  <si>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</si>
  <si>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</si>
  <si>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</si>
  <si>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</si>
  <si>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</si>
  <si>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</si>
  <si>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</si>
  <si>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</si>
  <si>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</si>
  <si>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</si>
  <si>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</si>
  <si>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</si>
  <si>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</si>
  <si>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</si>
  <si>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</si>
  <si>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</si>
  <si>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</si>
  <si>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</si>
  <si>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</si>
  <si>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</si>
  <si>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</si>
  <si>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</si>
  <si>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</si>
  <si>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</si>
  <si>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</si>
  <si>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</si>
  <si>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</si>
  <si>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</si>
  <si>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</si>
  <si>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</si>
  <si>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</si>
  <si>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</si>
  <si>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</si>
  <si>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</si>
  <si>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</si>
  <si>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</si>
  <si>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</si>
  <si>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</si>
  <si>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</si>
  <si>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</si>
  <si>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</si>
  <si>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</si>
  <si>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</si>
  <si>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</si>
  <si>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</si>
  <si>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</si>
  <si>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</si>
  <si>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</si>
  <si>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</si>
  <si>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</si>
  <si>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</si>
  <si>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</si>
  <si>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</si>
  <si>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</si>
  <si>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</si>
  <si>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</si>
  <si>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</si>
  <si>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</si>
  <si>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</si>
  <si>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</si>
  <si>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</si>
  <si>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</si>
  <si>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</si>
  <si>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</si>
  <si>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</si>
  <si>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</si>
  <si>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</si>
  <si>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</si>
  <si>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</si>
  <si>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</si>
  <si>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</si>
  <si>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</si>
  <si>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</si>
  <si>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</si>
  <si>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</si>
  <si>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</si>
  <si>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</si>
  <si>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</si>
  <si>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</si>
  <si>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</si>
  <si>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</si>
  <si>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</si>
  <si>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</si>
  <si>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</si>
  <si>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</si>
  <si>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</si>
  <si>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</si>
  <si>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</si>
  <si>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</si>
  <si>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</si>
  <si>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</si>
  <si>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</si>
  <si>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</si>
  <si>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</si>
  <si>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</si>
  <si>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</si>
  <si>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</si>
  <si>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</si>
  <si>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</si>
  <si>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</si>
  <si>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</si>
  <si>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</si>
  <si>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</si>
  <si>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</si>
  <si>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</si>
  <si>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</si>
  <si>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</si>
  <si>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</si>
  <si>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</si>
  <si>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</si>
  <si>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</si>
  <si>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</si>
  <si>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</si>
  <si>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</si>
  <si>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</si>
  <si>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</si>
  <si>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</si>
  <si>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</si>
  <si>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</si>
  <si>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</si>
  <si>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</si>
  <si>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</si>
  <si>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</si>
  <si>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</si>
  <si>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</si>
  <si>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</si>
  <si>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</si>
  <si>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</si>
  <si>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</si>
  <si>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</si>
  <si>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</si>
  <si>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</si>
  <si>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</si>
  <si>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</si>
  <si>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</si>
  <si>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</si>
  <si>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</si>
  <si>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</si>
  <si>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</si>
  <si>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</si>
  <si>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</si>
  <si>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</si>
  <si>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</si>
  <si>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</si>
  <si>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</si>
  <si>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</si>
  <si>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</si>
  <si>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</si>
  <si>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</si>
  <si>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</si>
  <si>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</si>
  <si>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</si>
  <si>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</si>
  <si>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</si>
  <si>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</si>
  <si>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</si>
  <si>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</si>
  <si>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</si>
  <si>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</si>
  <si>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</si>
  <si>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</si>
  <si>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</si>
  <si>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</si>
  <si>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</si>
  <si>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</si>
  <si>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</si>
  <si>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</si>
  <si>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</si>
  <si>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</si>
  <si>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</si>
  <si>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</si>
  <si>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</si>
  <si>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</si>
  <si>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</si>
  <si>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</si>
  <si>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</si>
  <si>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</si>
  <si>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</si>
  <si>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</si>
  <si>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</si>
  <si>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</si>
  <si>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</si>
  <si>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</si>
  <si>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</si>
  <si>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</si>
  <si>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</si>
  <si>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</si>
  <si>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</si>
  <si>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</si>
  <si>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</si>
  <si>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</si>
  <si>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</si>
  <si>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</si>
  <si>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</si>
  <si>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</si>
  <si>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</si>
  <si>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</si>
  <si>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</si>
  <si>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</si>
  <si>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</si>
  <si>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</si>
  <si>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</si>
  <si>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</si>
  <si>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</si>
  <si>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</si>
  <si>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</si>
  <si>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</si>
  <si>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</si>
  <si>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</si>
  <si>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</si>
  <si>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</si>
  <si>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</si>
  <si>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</si>
  <si>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</si>
  <si>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</si>
  <si>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</si>
  <si>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</si>
  <si>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</si>
  <si>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</si>
  <si>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</si>
  <si>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</si>
  <si>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</si>
  <si>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</si>
  <si>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</si>
  <si>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</si>
  <si>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</si>
  <si>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</si>
  <si>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</si>
  <si>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</si>
  <si>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</si>
  <si>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</si>
  <si>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</si>
  <si>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</si>
  <si>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</si>
  <si>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</si>
  <si>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</si>
  <si>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</si>
  <si>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</si>
  <si>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</si>
  <si>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</si>
  <si>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</si>
  <si>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</si>
  <si>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</si>
  <si>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</si>
  <si>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</si>
  <si>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</si>
  <si>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</si>
  <si>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</si>
  <si>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</si>
  <si>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</si>
  <si>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</si>
  <si>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</si>
  <si>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</si>
  <si>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</si>
  <si>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</si>
  <si>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</si>
  <si>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</si>
  <si>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</si>
  <si>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</si>
  <si>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</si>
  <si>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</si>
  <si>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</si>
  <si>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</si>
  <si>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</si>
  <si>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</si>
  <si>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</si>
  <si>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</si>
  <si>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</si>
  <si>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</si>
  <si>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</si>
  <si>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</si>
  <si>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</si>
  <si>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</si>
  <si>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</si>
  <si>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</si>
  <si>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</si>
  <si>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</si>
  <si>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</si>
  <si>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</si>
  <si>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</si>
  <si>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</si>
  <si>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</si>
  <si>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</si>
  <si>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</si>
  <si>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</si>
  <si>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</si>
  <si>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</si>
  <si>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</si>
  <si>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</si>
  <si>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</si>
  <si>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</si>
  <si>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</si>
  <si>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</si>
  <si>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</si>
  <si>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</si>
  <si>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</si>
  <si>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</si>
  <si>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</si>
  <si>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</si>
  <si>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</si>
  <si>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</si>
  <si>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</si>
  <si>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</si>
  <si>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</si>
  <si>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</si>
  <si>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</si>
  <si>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</si>
  <si>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</si>
  <si>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</si>
  <si>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</si>
  <si>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</si>
  <si>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</si>
  <si>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</si>
  <si>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</si>
  <si>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</si>
  <si>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</si>
  <si>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</si>
  <si>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</si>
  <si>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</si>
  <si>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</si>
  <si>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</si>
  <si>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</si>
  <si>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</si>
  <si>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</si>
  <si>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</si>
  <si>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</si>
  <si>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</si>
  <si>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</si>
  <si>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</si>
  <si>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</si>
  <si>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</si>
  <si>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</si>
  <si>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</si>
  <si>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</si>
  <si>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</si>
  <si>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</si>
  <si>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</si>
  <si>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</si>
  <si>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</si>
  <si>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</si>
  <si>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</si>
  <si>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</si>
  <si>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</si>
  <si>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</si>
  <si>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</si>
  <si>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</si>
  <si>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</si>
  <si>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</si>
  <si>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</si>
  <si>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</si>
  <si>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</si>
  <si>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</si>
  <si>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</si>
  <si>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</si>
  <si>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</si>
  <si>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</si>
  <si>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</si>
  <si>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</si>
  <si>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</si>
  <si>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</si>
  <si>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</si>
  <si>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</si>
  <si>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</si>
  <si>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</si>
  <si>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</si>
  <si>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</si>
  <si>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</si>
  <si>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</si>
  <si>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</si>
  <si>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</si>
  <si>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</si>
  <si>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</si>
  <si>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</si>
  <si>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</si>
  <si>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</si>
  <si>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</si>
  <si>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</si>
  <si>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</si>
  <si>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</si>
  <si>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</si>
  <si>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</si>
  <si>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</si>
  <si>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</si>
  <si>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</si>
  <si>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</si>
  <si>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</si>
  <si>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</si>
  <si>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</si>
  <si>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</si>
  <si>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</si>
  <si>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</si>
  <si>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</si>
  <si>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</si>
  <si>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</si>
  <si>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</si>
  <si>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</si>
  <si>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</si>
  <si>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</si>
  <si>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</si>
  <si>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</si>
  <si>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</si>
  <si>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</si>
  <si>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</si>
  <si>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</si>
  <si>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</si>
  <si>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</si>
  <si>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</si>
  <si>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</si>
  <si>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</si>
  <si>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</si>
  <si>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</si>
  <si>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</si>
  <si>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</si>
  <si>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</si>
  <si>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</si>
  <si>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</si>
  <si>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</si>
  <si>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</si>
  <si>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</si>
  <si>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</si>
  <si>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</si>
  <si>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</si>
  <si>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</si>
  <si>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</si>
  <si>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</si>
  <si>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</si>
  <si>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</si>
  <si>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</si>
  <si>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</si>
  <si>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</si>
  <si>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</si>
  <si>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</si>
  <si>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</si>
  <si>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</si>
  <si>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</si>
  <si>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</si>
  <si>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</si>
  <si>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</si>
  <si>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</si>
  <si>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</si>
  <si>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</si>
  <si>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</si>
  <si>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</si>
  <si>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</si>
  <si>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</si>
  <si>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</si>
  <si>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</si>
  <si>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</si>
  <si>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</si>
  <si>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</si>
  <si>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</si>
  <si>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</si>
  <si>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</si>
  <si>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</si>
  <si>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</si>
  <si>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</si>
  <si>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</si>
  <si>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</si>
  <si>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</si>
  <si>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</si>
  <si>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</si>
  <si>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</si>
  <si>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</si>
  <si>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</si>
  <si>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</si>
  <si>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</si>
  <si>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</si>
  <si>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</si>
  <si>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</si>
  <si>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</si>
  <si>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</si>
  <si>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</si>
  <si>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</si>
  <si>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</si>
  <si>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</si>
  <si>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</si>
  <si>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</si>
  <si>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</si>
  <si>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</si>
  <si>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</si>
  <si>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</si>
  <si>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</si>
  <si>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</si>
  <si>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</si>
  <si>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</si>
  <si>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</si>
  <si>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</si>
  <si>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</si>
  <si>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</si>
  <si>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</si>
  <si>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</si>
  <si>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</si>
  <si>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</si>
  <si>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</si>
  <si>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</si>
  <si>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</si>
  <si>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</si>
  <si>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</si>
  <si>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</si>
  <si>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</si>
  <si>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</si>
  <si>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</si>
  <si>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</si>
  <si>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</si>
  <si>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</si>
  <si>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</si>
  <si>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</si>
  <si>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</si>
  <si>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</si>
  <si>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</si>
  <si>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</si>
  <si>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</si>
  <si>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</si>
  <si>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</si>
  <si>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</si>
  <si>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</si>
  <si>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</si>
  <si>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</si>
  <si>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</si>
  <si>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</si>
  <si>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</si>
  <si>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</si>
  <si>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</si>
  <si>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</si>
  <si>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</si>
  <si>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</si>
  <si>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</si>
  <si>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</si>
  <si>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</si>
  <si>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</si>
  <si>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</si>
  <si>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</si>
  <si>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</si>
  <si>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</si>
  <si>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</si>
  <si>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</si>
  <si>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</si>
  <si>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</si>
  <si>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</si>
  <si>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</si>
  <si>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</si>
  <si>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</si>
  <si>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</si>
  <si>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</si>
  <si>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</si>
  <si>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</si>
  <si>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</si>
  <si>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</si>
  <si>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</si>
  <si>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</si>
  <si>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</si>
  <si>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</si>
  <si>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</si>
  <si>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</si>
  <si>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</si>
  <si>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</si>
  <si>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</si>
  <si>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</si>
  <si>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</si>
  <si>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</si>
  <si>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</si>
  <si>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</si>
  <si>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</si>
  <si>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</si>
  <si>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</si>
  <si>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</si>
  <si>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</si>
  <si>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</si>
  <si>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</si>
  <si>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</si>
  <si>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</si>
  <si>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</si>
  <si>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</si>
  <si>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</si>
  <si>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</si>
  <si>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</si>
  <si>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</si>
  <si>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</si>
  <si>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</si>
  <si>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</si>
  <si>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</si>
  <si>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</si>
  <si>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</si>
  <si>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</si>
  <si>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</si>
  <si>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</si>
  <si>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</si>
  <si>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</si>
  <si>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</si>
  <si>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</si>
  <si>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10</t>
  </si>
  <si>
    <t>y</t>
  </si>
  <si>
    <t>Nicholas Claus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</si>
</sst>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2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8"/>
  <sheetViews>
    <sheetView topLeftCell="AO1" zoomScale="120" zoomScaleNormal="120" workbookViewId="0">
      <selection activeCell="M28" sqref="M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700</v>
      </c>
      <c r="E28">
        <v>10</v>
      </c>
      <c r="F28" t="s">
        <v>44</v>
      </c>
      <c r="G28"/>
      <c r="H28" s="34"/>
      <c r="I28" s="34" t="str">
        <f t="shared" si="0"/>
        <v/>
      </c>
      <c r="J28" s="34"/>
      <c r="K28" s="34" t="str">
        <f t="shared" si="2"/>
        <v/>
      </c>
      <c r="L28" t="str">
        <f t="shared" ref="L28" si="5">"Event_" &amp; TEXT(A28,"00")</f>
        <v>Event_27</v>
      </c>
      <c r="M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8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33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672</v>
      </c>
      <c r="C34" s="41">
        <v>3</v>
      </c>
    </row>
    <row r="35" spans="1:3" x14ac:dyDescent="0.35">
      <c r="A35">
        <f t="shared" si="1"/>
        <v>1194</v>
      </c>
      <c r="B35" t="s">
        <v>673</v>
      </c>
      <c r="C35" s="41">
        <v>4</v>
      </c>
    </row>
    <row r="36" spans="1:3" x14ac:dyDescent="0.35">
      <c r="A36">
        <f t="shared" si="1"/>
        <v>1048</v>
      </c>
      <c r="B36" t="s">
        <v>674</v>
      </c>
      <c r="C36" s="41">
        <v>4</v>
      </c>
    </row>
    <row r="37" spans="1:3" x14ac:dyDescent="0.35">
      <c r="A37">
        <f t="shared" si="1"/>
        <v>1195</v>
      </c>
      <c r="B37" t="s">
        <v>675</v>
      </c>
      <c r="C37" s="41">
        <v>4</v>
      </c>
    </row>
    <row r="38" spans="1:3" x14ac:dyDescent="0.35">
      <c r="A38">
        <f t="shared" si="1"/>
        <v>1298</v>
      </c>
      <c r="B38" t="s">
        <v>676</v>
      </c>
      <c r="C38" s="41">
        <v>4</v>
      </c>
    </row>
    <row r="39" spans="1:3" x14ac:dyDescent="0.35">
      <c r="A39">
        <f t="shared" si="1"/>
        <v>1332</v>
      </c>
      <c r="B39" t="s">
        <v>677</v>
      </c>
      <c r="C39" s="41">
        <v>4</v>
      </c>
    </row>
    <row r="40" spans="1:3" x14ac:dyDescent="0.35">
      <c r="A40">
        <f t="shared" si="1"/>
        <v>1377</v>
      </c>
      <c r="B40" t="s">
        <v>678</v>
      </c>
      <c r="C40" s="41">
        <v>4</v>
      </c>
    </row>
    <row r="41" spans="1:3" x14ac:dyDescent="0.35">
      <c r="A41">
        <f t="shared" si="1"/>
        <v>1193</v>
      </c>
      <c r="B41" t="s">
        <v>679</v>
      </c>
      <c r="C41" s="41">
        <v>4</v>
      </c>
    </row>
    <row r="42" spans="1:3" x14ac:dyDescent="0.35">
      <c r="A42">
        <f t="shared" si="1"/>
        <v>1244</v>
      </c>
      <c r="B42" t="s">
        <v>680</v>
      </c>
      <c r="C42" s="41">
        <v>4</v>
      </c>
    </row>
    <row r="43" spans="1:3" x14ac:dyDescent="0.35">
      <c r="A43">
        <f t="shared" si="1"/>
        <v>38</v>
      </c>
      <c r="B43" t="s">
        <v>681</v>
      </c>
      <c r="C43" s="41" t="s">
        <v>642</v>
      </c>
    </row>
    <row r="44" spans="1:3" x14ac:dyDescent="0.35">
      <c r="A44">
        <f t="shared" si="1"/>
        <v>967</v>
      </c>
      <c r="B44" t="s">
        <v>682</v>
      </c>
      <c r="C44" s="41">
        <v>1</v>
      </c>
    </row>
    <row r="45" spans="1:3" x14ac:dyDescent="0.35">
      <c r="A45">
        <f t="shared" si="1"/>
        <v>1242</v>
      </c>
      <c r="B45" t="s">
        <v>683</v>
      </c>
      <c r="C45" s="41">
        <v>2</v>
      </c>
    </row>
    <row r="46" spans="1:3" x14ac:dyDescent="0.35">
      <c r="A46">
        <f t="shared" si="1"/>
        <v>1135</v>
      </c>
      <c r="B46" t="s">
        <v>684</v>
      </c>
      <c r="C46" s="41">
        <v>2</v>
      </c>
    </row>
    <row r="47" spans="1:3" x14ac:dyDescent="0.35">
      <c r="A47">
        <f t="shared" si="1"/>
        <v>715</v>
      </c>
      <c r="B47" t="s">
        <v>685</v>
      </c>
      <c r="C47" s="41">
        <v>3</v>
      </c>
    </row>
    <row r="48" spans="1:3" x14ac:dyDescent="0.35">
      <c r="A48">
        <f t="shared" si="1"/>
        <v>1254</v>
      </c>
      <c r="B48" t="s">
        <v>686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687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tabSelected="1" zoomScale="75" zoomScaleNormal="75" workbookViewId="0">
      <selection activeCell="F3" sqref="F3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581</v>
      </c>
      <c r="B2" s="19"/>
      <c r="C2" s="20">
        <v>29</v>
      </c>
      <c r="D2" s="20">
        <v>55</v>
      </c>
      <c r="E2" s="20" t="s">
        <v>701</v>
      </c>
      <c r="F2" s="20"/>
      <c r="G2" s="21" t="str">
        <f>IF(ISBLANK($A2),"",IF($I2="X",A2,CONCATENATE(VLOOKUP(A2,Competitors!$A$2:$I$650,3, FALSE)," ",VLOOKUP(A2,Competitors!$A$2:$I$650,2,FALSE))))</f>
        <v>Mike Ives</v>
      </c>
      <c r="H2" s="22">
        <f>IF(LEFT($E2,1)="D",UPPER($E2),(B2*3600+C2*60+D2)/86400)</f>
        <v>2.0775462962962964E-2</v>
      </c>
      <c r="I2" t="str">
        <f>IF(OR(ISBLANK(A2),ISNUMBER(A2)),"","X")</f>
        <v/>
      </c>
    </row>
    <row r="3" spans="1:9" ht="15" x14ac:dyDescent="0.4">
      <c r="A3" s="19" t="s">
        <v>702</v>
      </c>
      <c r="B3" s="19"/>
      <c r="C3" s="20">
        <v>28</v>
      </c>
      <c r="D3" s="20">
        <v>17</v>
      </c>
      <c r="E3" s="20" t="s">
        <v>701</v>
      </c>
      <c r="F3" s="20"/>
      <c r="G3" s="21" t="str">
        <f>IF(ISBLANK($A3),"",IF($I3="X",A3,CONCATENATE(VLOOKUP(A3,Competitors!$A$2:$I$650,3, FALSE)," ",VLOOKUP(A3,Competitors!$A$2:$I$650,2,FALSE))))</f>
        <v>Nicholas Claus</v>
      </c>
      <c r="H3" s="22">
        <f t="shared" ref="H3:H66" si="0">IF(LEFT($E3,1)="D",UPPER($E3),(B3*3600+C3*60+D3)/86400)</f>
        <v>1.9641203703703702E-2</v>
      </c>
      <c r="I3" t="str">
        <f t="shared" ref="I3:I66" si="1">IF(OR(ISBLANK(A3),ISNUMBER(A3)),"","X")</f>
        <v>X</v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10</vt:i4>
      </vt:variant>
    </vt:vector>
  </HeadingPairs>
  <TitlesOfParts>
    <vt:vector size="43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2025-12-13T13:47:32Z</dcterms:modified>
</cp:coreProperties>
</file>