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AFD6D593-A708-407B-90FA-FA40BF55108E}" xr6:coauthVersionLast="47" xr6:coauthVersionMax="47" xr10:uidLastSave="{00000000-0000-0000-0000-000000000000}"/>
  <bookViews>
    <workbookView xWindow="-98" yWindow="-98" windowWidth="28996" windowHeight="17475" firstSheet="21" activeTab="29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32" l="1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/>
  <c r="A121" i="33"/>
  <c r="B121" i="33"/>
  <c r="A122" i="33"/>
  <c r="B122" i="33"/>
  <c r="A123" i="33"/>
  <c r="B123" i="33"/>
  <c r="A124" i="33"/>
  <c r="B124" i="33"/>
  <c r="A125" i="33"/>
  <c r="B125" i="33"/>
  <c r="A126" i="33"/>
  <c r="B126" i="33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/>
  <c r="A147" i="33"/>
  <c r="B147" i="33"/>
  <c r="A148" i="33"/>
  <c r="B148" i="33"/>
  <c r="A149" i="33"/>
  <c r="B149" i="33" s="1"/>
  <c r="A150" i="33"/>
  <c r="B150" i="33"/>
  <c r="A151" i="33"/>
  <c r="B151" i="33"/>
  <c r="A152" i="33"/>
  <c r="B152" i="33"/>
  <c r="A153" i="33"/>
  <c r="B153" i="33"/>
  <c r="A154" i="33"/>
  <c r="B154" i="33"/>
  <c r="A155" i="33"/>
  <c r="B155" i="33"/>
  <c r="A156" i="33"/>
  <c r="B156" i="33"/>
  <c r="A157" i="33"/>
  <c r="B157" i="33"/>
  <c r="A158" i="33"/>
  <c r="B158" i="33"/>
  <c r="A159" i="33"/>
  <c r="B159" i="33" s="1"/>
  <c r="A160" i="33"/>
  <c r="B160" i="33"/>
  <c r="A161" i="33"/>
  <c r="B161" i="33"/>
  <c r="A162" i="33"/>
  <c r="B162" i="33"/>
  <c r="A163" i="33"/>
  <c r="B163" i="33"/>
  <c r="A164" i="33"/>
  <c r="B164" i="33"/>
  <c r="A165" i="33"/>
  <c r="B165" i="33"/>
  <c r="A166" i="33"/>
  <c r="B166" i="33"/>
  <c r="A167" i="33"/>
  <c r="B167" i="33"/>
  <c r="A168" i="33"/>
  <c r="B168" i="33"/>
  <c r="A169" i="33"/>
  <c r="B169" i="33" s="1"/>
  <c r="A170" i="33"/>
  <c r="B170" i="33"/>
  <c r="A171" i="33"/>
  <c r="B171" i="33"/>
  <c r="A172" i="33"/>
  <c r="B172" i="33"/>
  <c r="A173" i="33"/>
  <c r="B173" i="33"/>
  <c r="A174" i="33"/>
  <c r="B174" i="33"/>
  <c r="A175" i="33"/>
  <c r="B175" i="33"/>
  <c r="A176" i="33"/>
  <c r="B176" i="33"/>
  <c r="A177" i="33"/>
  <c r="B177" i="33"/>
  <c r="A178" i="33"/>
  <c r="B178" i="33"/>
  <c r="A179" i="33"/>
  <c r="B179" i="33" s="1"/>
  <c r="A180" i="33"/>
  <c r="B180" i="33"/>
  <c r="A181" i="33"/>
  <c r="B181" i="33"/>
  <c r="A182" i="33"/>
  <c r="B182" i="33"/>
  <c r="A183" i="33"/>
  <c r="B183" i="33"/>
  <c r="A184" i="33"/>
  <c r="B184" i="33"/>
  <c r="A185" i="33"/>
  <c r="B185" i="33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/>
  <c r="A221" i="33"/>
  <c r="B221" i="33"/>
  <c r="A222" i="33"/>
  <c r="B222" i="33"/>
  <c r="A223" i="33"/>
  <c r="B223" i="33"/>
  <c r="A224" i="33"/>
  <c r="B224" i="33"/>
  <c r="A225" i="33"/>
  <c r="B225" i="33"/>
  <c r="A226" i="33"/>
  <c r="B226" i="33"/>
  <c r="A227" i="33"/>
  <c r="B227" i="33"/>
  <c r="A228" i="33"/>
  <c r="B228" i="33"/>
  <c r="A229" i="33"/>
  <c r="B229" i="33" s="1"/>
  <c r="A230" i="33"/>
  <c r="B230" i="33"/>
  <c r="A231" i="33"/>
  <c r="B231" i="33"/>
  <c r="A232" i="33"/>
  <c r="B232" i="33"/>
  <c r="A233" i="33"/>
  <c r="B233" i="33"/>
  <c r="A234" i="33"/>
  <c r="B234" i="33"/>
  <c r="A235" i="33"/>
  <c r="B235" i="33"/>
  <c r="A236" i="33"/>
  <c r="B236" i="33"/>
  <c r="A237" i="33"/>
  <c r="B237" i="33"/>
  <c r="A238" i="33"/>
  <c r="B238" i="33"/>
  <c r="A239" i="33"/>
  <c r="B239" i="33" s="1"/>
  <c r="A240" i="33"/>
  <c r="B240" i="33"/>
  <c r="A241" i="33"/>
  <c r="B241" i="33"/>
  <c r="A242" i="33"/>
  <c r="B242" i="33"/>
  <c r="A243" i="33"/>
  <c r="B243" i="33"/>
  <c r="A244" i="33"/>
  <c r="B244" i="33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15" i="32" l="1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9" i="2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<sst xmlns="http://schemas.openxmlformats.org/spreadsheetml/2006/main" count="1925" uniqueCount="697">
  <si>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</si>
  <si>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</si>
  <si>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</si>
  <si>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</si>
  <si>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</si>
  <si>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</si>
  <si>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</si>
  <si>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</si>
  <si>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</si>
  <si>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</si>
  <si>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</si>
  <si>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</si>
  <si>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</si>
  <si>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</si>
  <si>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</si>
  <si>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</si>
  <si>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</si>
  <si>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</si>
  <si>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</si>
  <si>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</si>
  <si>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</si>
  <si>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</si>
  <si>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</si>
  <si>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</si>
  <si>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</si>
  <si>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</si>
  <si>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</si>
  <si>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</si>
  <si>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</si>
  <si>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</si>
  <si>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</si>
  <si>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</si>
  <si>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</si>
  <si>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</si>
  <si>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</si>
  <si>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</si>
  <si>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</si>
  <si>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</si>
  <si>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</si>
  <si>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</si>
  <si>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</si>
  <si>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</si>
  <si>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</si>
  <si>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</si>
  <si>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</si>
  <si>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Cancelled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</si>
  <si>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</si>
  <si>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</si>
  <si>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</si>
  <si>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</si>
  <si>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</si>
  <si>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</si>
  <si>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</si>
  <si>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</si>
  <si>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</si>
  <si>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</si>
  <si>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</si>
  <si>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</si>
  <si>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</si>
  <si>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</si>
  <si>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</si>
  <si>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</si>
  <si>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</si>
  <si>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</si>
  <si>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</si>
  <si>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</si>
  <si>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</si>
  <si>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</si>
  <si>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</si>
  <si>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</si>
  <si>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</si>
  <si>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</si>
  <si>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</si>
  <si>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</si>
  <si>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</si>
  <si>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</si>
  <si>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</si>
  <si>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</si>
  <si>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</si>
  <si>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</si>
  <si>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</si>
  <si>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</si>
  <si>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</si>
  <si>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</si>
  <si>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</si>
  <si>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</si>
  <si>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</si>
  <si>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</si>
  <si>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</si>
  <si>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</si>
  <si>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</si>
  <si>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</si>
  <si>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</si>
  <si>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</si>
  <si>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</si>
  <si>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</si>
  <si>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</si>
  <si>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</si>
  <si>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</si>
  <si>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</si>
  <si>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</si>
  <si>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</si>
  <si>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</si>
  <si>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</si>
  <si>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</si>
  <si>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</si>
  <si>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</si>
  <si>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</si>
  <si>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</si>
  <si>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</si>
  <si>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</si>
  <si>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</si>
  <si>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</si>
  <si>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</si>
  <si>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</si>
  <si>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</si>
  <si>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</si>
  <si>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</si>
  <si>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</si>
  <si>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</si>
  <si>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</si>
  <si>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</si>
  <si>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</si>
  <si>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</si>
  <si>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</si>
  <si>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</si>
  <si>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</si>
  <si>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</si>
  <si>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</si>
  <si>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</si>
  <si>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</si>
  <si>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</si>
  <si>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</si>
  <si>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</si>
  <si>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</si>
  <si>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</si>
  <si>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</si>
  <si>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</si>
  <si>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</si>
  <si>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</si>
  <si>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</si>
  <si>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</si>
  <si>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</si>
  <si>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</si>
  <si>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</si>
  <si>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</si>
  <si>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</si>
  <si>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</si>
  <si>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</si>
  <si>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</si>
  <si>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</si>
  <si>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</si>
  <si>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</si>
  <si>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</si>
  <si>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</si>
  <si>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</si>
  <si>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</si>
  <si>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</si>
  <si>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</si>
  <si>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</si>
  <si>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</si>
  <si>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</si>
  <si>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</si>
  <si>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</si>
  <si>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</si>
  <si>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</si>
  <si>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</si>
  <si>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</si>
  <si>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</si>
  <si>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</si>
  <si>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</si>
  <si>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</si>
  <si>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</si>
  <si>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</si>
  <si>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</si>
  <si>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</si>
  <si>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</si>
  <si>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</si>
  <si>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</si>
  <si>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</si>
  <si>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</si>
  <si>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</si>
  <si>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</si>
  <si>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</si>
  <si>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</si>
  <si>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</si>
  <si>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</si>
  <si>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</si>
  <si>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</si>
  <si>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</si>
  <si>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</si>
  <si>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</si>
  <si>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</si>
  <si>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</si>
  <si>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</si>
  <si>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</si>
  <si>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</si>
  <si>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</si>
  <si>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</si>
  <si>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</si>
  <si>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</si>
  <si>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</si>
  <si>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</si>
  <si>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</si>
  <si>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</si>
  <si>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</si>
  <si>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</si>
  <si>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</si>
  <si>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</si>
  <si>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</si>
  <si>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</si>
  <si>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</si>
  <si>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</si>
  <si>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</si>
  <si>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</si>
  <si>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</si>
  <si>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</si>
  <si>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</si>
  <si>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</si>
  <si>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</si>
  <si>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</si>
  <si>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</si>
  <si>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</si>
  <si>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</si>
  <si>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</si>
  <si>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</si>
  <si>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</si>
  <si>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</si>
  <si>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</si>
  <si>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</si>
  <si>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</si>
  <si>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</si>
  <si>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</si>
  <si>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</si>
  <si>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</si>
  <si>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</si>
  <si>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</si>
  <si>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</si>
  <si>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</si>
  <si>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</si>
  <si>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</si>
  <si>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</si>
  <si>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</si>
  <si>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</si>
  <si>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</si>
  <si>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</si>
  <si>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</si>
  <si>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</si>
  <si>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</si>
  <si>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</si>
  <si>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</si>
  <si>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</si>
  <si>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</si>
  <si>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</si>
  <si>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</si>
  <si>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</si>
  <si>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</si>
  <si>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</si>
  <si>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</si>
  <si>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</si>
  <si>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</si>
  <si>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</si>
  <si>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</si>
  <si>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</si>
  <si>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</si>
  <si>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</si>
  <si>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</si>
  <si>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</si>
  <si>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</si>
  <si>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</si>
  <si>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</si>
  <si>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</si>
  <si>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</si>
  <si>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</si>
  <si>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</si>
  <si>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</si>
  <si>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</si>
  <si>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</si>
  <si>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</si>
  <si>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</si>
  <si>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</si>
  <si>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</si>
  <si>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</si>
  <si>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</si>
  <si>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</si>
  <si>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</si>
  <si>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</si>
  <si>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</si>
  <si>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</si>
  <si>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</si>
  <si>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</si>
  <si>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</si>
  <si>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</si>
  <si>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</si>
  <si>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</si>
  <si>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</si>
  <si>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</si>
  <si>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</si>
  <si>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</si>
  <si>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</si>
  <si>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</si>
  <si>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</si>
  <si>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</si>
  <si>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</si>
  <si>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</si>
  <si>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</si>
  <si>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</si>
  <si>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</si>
  <si>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</si>
  <si>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</si>
  <si>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</si>
  <si>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</si>
  <si>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</si>
  <si>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</si>
  <si>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</si>
  <si>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</si>
  <si>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</si>
  <si>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</si>
  <si>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</si>
  <si>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</si>
  <si>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</si>
  <si>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</si>
  <si>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</si>
  <si>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</si>
  <si>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</si>
  <si>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</si>
  <si>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</si>
  <si>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</si>
  <si>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</si>
  <si>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</si>
  <si>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</si>
  <si>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</si>
  <si>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</si>
  <si>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</si>
  <si>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</si>
  <si>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</si>
  <si>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</si>
  <si>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</si>
  <si>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</si>
  <si>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</si>
  <si>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</si>
  <si>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</si>
  <si>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</si>
  <si>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</si>
  <si>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</si>
  <si>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</si>
  <si>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</si>
  <si>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</si>
  <si>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</si>
  <si>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</si>
  <si>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</si>
  <si>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</si>
  <si>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</si>
  <si>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isVeteran</t>
  </si>
  <si>
    <t>isSenior</t>
  </si>
  <si>
    <t>isJunior</t>
  </si>
  <si>
    <t>isJuvenile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</si>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</sst>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342</v>
      </c>
    </row>
    <row r="3" spans="1:3" x14ac:dyDescent="0.35">
      <c r="C3" t="s">
        <v>343</v>
      </c>
    </row>
    <row r="4" spans="1:3" x14ac:dyDescent="0.35">
      <c r="C4" t="s">
        <v>344</v>
      </c>
    </row>
    <row r="5" spans="1:3" x14ac:dyDescent="0.35">
      <c r="C5" t="s">
        <v>345</v>
      </c>
    </row>
    <row r="6" spans="1:3" x14ac:dyDescent="0.35">
      <c r="C6" t="s">
        <v>346</v>
      </c>
    </row>
    <row r="7" spans="1:3" x14ac:dyDescent="0.35">
      <c r="A7" s="1">
        <v>45954</v>
      </c>
      <c r="B7" s="1" t="s">
        <v>0</v>
      </c>
      <c r="C7" t="s">
        <v>641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B21" sqref="B21"/>
    </sheetView>
  </sheetViews>
  <sheetFormatPr defaultRowHeight="12.75" x14ac:dyDescent="0.35"/>
  <cols>
    <col min="10" max="10" width="9.9296875" bestFit="1" customWidth="1"/>
  </cols>
  <sheetData>
    <row r="1" spans="1:10" x14ac:dyDescent="0.35">
      <c r="A1" t="s">
        <v>359</v>
      </c>
      <c r="B1" t="s">
        <v>49</v>
      </c>
      <c r="C1" t="s">
        <v>360</v>
      </c>
      <c r="D1" t="s">
        <v>358</v>
      </c>
      <c r="E1" t="s">
        <v>357</v>
      </c>
      <c r="F1" t="s">
        <v>356</v>
      </c>
      <c r="G1" t="s">
        <v>355</v>
      </c>
      <c r="H1" t="s">
        <v>354</v>
      </c>
      <c r="I1" t="s">
        <v>353</v>
      </c>
      <c r="J1" t="s">
        <v>602</v>
      </c>
    </row>
    <row r="2" spans="1:10" x14ac:dyDescent="0.35">
      <c r="A2">
        <v>1237</v>
      </c>
      <c r="B2" t="s">
        <v>50</v>
      </c>
      <c r="C2" t="s">
        <v>51</v>
      </c>
      <c r="D2" t="s">
        <v>61</v>
      </c>
      <c r="E2" t="b">
        <v>0</v>
      </c>
      <c r="F2" t="b">
        <v>0</v>
      </c>
      <c r="G2" t="b">
        <v>0</v>
      </c>
      <c r="H2" t="b">
        <v>1</v>
      </c>
      <c r="I2" t="b">
        <v>0</v>
      </c>
      <c r="J2" s="1">
        <v>45903</v>
      </c>
    </row>
    <row r="3" spans="1:10" x14ac:dyDescent="0.35">
      <c r="A3">
        <v>1327</v>
      </c>
      <c r="B3" t="s">
        <v>50</v>
      </c>
      <c r="C3" t="s">
        <v>52</v>
      </c>
      <c r="D3" t="s">
        <v>61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s="1">
        <v>45903</v>
      </c>
    </row>
    <row r="4" spans="1:10" x14ac:dyDescent="0.35">
      <c r="A4">
        <v>1197</v>
      </c>
      <c r="B4" t="s">
        <v>53</v>
      </c>
      <c r="C4" t="s">
        <v>54</v>
      </c>
      <c r="D4" t="s">
        <v>61</v>
      </c>
      <c r="E4" t="b">
        <v>0</v>
      </c>
      <c r="F4" t="b">
        <v>0</v>
      </c>
      <c r="G4" t="b">
        <v>0</v>
      </c>
      <c r="H4" t="b">
        <v>0</v>
      </c>
      <c r="I4" t="b">
        <v>1</v>
      </c>
      <c r="J4" s="1">
        <v>45903</v>
      </c>
    </row>
    <row r="5" spans="1:10" x14ac:dyDescent="0.35">
      <c r="A5">
        <v>1353</v>
      </c>
      <c r="B5" t="s">
        <v>55</v>
      </c>
      <c r="C5" t="s">
        <v>56</v>
      </c>
      <c r="D5" t="s">
        <v>61</v>
      </c>
      <c r="E5" t="b">
        <v>1</v>
      </c>
      <c r="F5" t="b">
        <v>0</v>
      </c>
      <c r="G5" t="b">
        <v>0</v>
      </c>
      <c r="H5" t="b">
        <v>1</v>
      </c>
      <c r="I5" t="b">
        <v>0</v>
      </c>
      <c r="J5" s="1">
        <v>45903</v>
      </c>
    </row>
    <row r="6" spans="1:10" x14ac:dyDescent="0.35">
      <c r="A6">
        <v>819</v>
      </c>
      <c r="B6" t="s">
        <v>57</v>
      </c>
      <c r="C6" t="s">
        <v>58</v>
      </c>
      <c r="D6" t="s">
        <v>61</v>
      </c>
      <c r="E6" t="b">
        <v>1</v>
      </c>
      <c r="F6" t="b">
        <v>0</v>
      </c>
      <c r="G6" t="b">
        <v>0</v>
      </c>
      <c r="H6" t="b">
        <v>0</v>
      </c>
      <c r="I6" t="b">
        <v>1</v>
      </c>
      <c r="J6" s="1">
        <v>45903</v>
      </c>
    </row>
    <row r="7" spans="1:10" x14ac:dyDescent="0.35">
      <c r="A7">
        <v>2</v>
      </c>
      <c r="B7" t="s">
        <v>59</v>
      </c>
      <c r="C7" t="s">
        <v>60</v>
      </c>
      <c r="D7" t="s">
        <v>61</v>
      </c>
      <c r="E7" t="b">
        <v>0</v>
      </c>
      <c r="F7" t="b">
        <v>0</v>
      </c>
      <c r="G7" t="b">
        <v>0</v>
      </c>
      <c r="H7" t="b">
        <v>0</v>
      </c>
      <c r="I7" t="b">
        <v>1</v>
      </c>
      <c r="J7" s="1">
        <v>45903</v>
      </c>
    </row>
    <row r="8" spans="1:10" x14ac:dyDescent="0.35">
      <c r="A8">
        <v>1370</v>
      </c>
      <c r="B8" t="s">
        <v>62</v>
      </c>
      <c r="C8" t="s">
        <v>63</v>
      </c>
      <c r="D8" t="s">
        <v>61</v>
      </c>
      <c r="E8" t="b">
        <v>0</v>
      </c>
      <c r="F8" t="b">
        <v>0</v>
      </c>
      <c r="G8" t="b">
        <v>0</v>
      </c>
      <c r="H8" t="b">
        <v>0</v>
      </c>
      <c r="I8" t="b">
        <v>1</v>
      </c>
      <c r="J8" s="1">
        <v>45903</v>
      </c>
    </row>
    <row r="9" spans="1:10" x14ac:dyDescent="0.35">
      <c r="A9">
        <v>1286</v>
      </c>
      <c r="B9" t="s">
        <v>64</v>
      </c>
      <c r="C9" t="s">
        <v>63</v>
      </c>
      <c r="D9" t="s">
        <v>61</v>
      </c>
      <c r="E9" t="b">
        <v>0</v>
      </c>
      <c r="F9" t="b">
        <v>0</v>
      </c>
      <c r="G9" t="b">
        <v>0</v>
      </c>
      <c r="H9" t="b">
        <v>0</v>
      </c>
      <c r="I9" t="b">
        <v>1</v>
      </c>
      <c r="J9" s="1">
        <v>45903</v>
      </c>
    </row>
    <row r="10" spans="1:10" x14ac:dyDescent="0.35">
      <c r="A10">
        <v>1381</v>
      </c>
      <c r="B10" t="s">
        <v>64</v>
      </c>
      <c r="C10" t="s">
        <v>65</v>
      </c>
      <c r="D10" t="s">
        <v>61</v>
      </c>
      <c r="E10" t="b">
        <v>0</v>
      </c>
      <c r="F10" t="b">
        <v>0</v>
      </c>
      <c r="G10" t="b">
        <v>0</v>
      </c>
      <c r="H10" t="b">
        <v>1</v>
      </c>
      <c r="I10" t="b">
        <v>0</v>
      </c>
      <c r="J10" s="1">
        <v>45903</v>
      </c>
    </row>
    <row r="11" spans="1:10" x14ac:dyDescent="0.35">
      <c r="A11">
        <v>1153</v>
      </c>
      <c r="B11" t="s">
        <v>66</v>
      </c>
      <c r="C11" t="s">
        <v>67</v>
      </c>
      <c r="D11" t="s">
        <v>61</v>
      </c>
      <c r="E11" t="b">
        <v>0</v>
      </c>
      <c r="F11" t="b">
        <v>0</v>
      </c>
      <c r="G11" t="b">
        <v>0</v>
      </c>
      <c r="H11" t="b">
        <v>1</v>
      </c>
      <c r="I11" t="b">
        <v>0</v>
      </c>
      <c r="J11" s="1">
        <v>45903</v>
      </c>
    </row>
    <row r="12" spans="1:10" x14ac:dyDescent="0.35">
      <c r="A12">
        <v>1372</v>
      </c>
      <c r="B12" t="s">
        <v>68</v>
      </c>
      <c r="C12" t="s">
        <v>352</v>
      </c>
      <c r="D12" t="s">
        <v>61</v>
      </c>
      <c r="E12" t="b">
        <v>0</v>
      </c>
      <c r="F12" t="b">
        <v>0</v>
      </c>
      <c r="G12" t="b">
        <v>0</v>
      </c>
      <c r="H12" t="b">
        <v>1</v>
      </c>
      <c r="I12" t="b">
        <v>0</v>
      </c>
      <c r="J12" s="1">
        <v>45903</v>
      </c>
    </row>
    <row r="13" spans="1:10" x14ac:dyDescent="0.35">
      <c r="A13">
        <v>1112</v>
      </c>
      <c r="B13" t="s">
        <v>69</v>
      </c>
      <c r="C13" t="s">
        <v>70</v>
      </c>
      <c r="D13" t="s">
        <v>61</v>
      </c>
      <c r="E13" t="b">
        <v>0</v>
      </c>
      <c r="F13" t="b">
        <v>0</v>
      </c>
      <c r="G13" t="b">
        <v>0</v>
      </c>
      <c r="H13" t="b">
        <v>0</v>
      </c>
      <c r="I13" t="b">
        <v>1</v>
      </c>
      <c r="J13" s="1">
        <v>45903</v>
      </c>
    </row>
    <row r="14" spans="1:10" x14ac:dyDescent="0.35">
      <c r="A14">
        <v>1135</v>
      </c>
      <c r="B14" t="s">
        <v>71</v>
      </c>
      <c r="C14" t="s">
        <v>72</v>
      </c>
      <c r="D14" t="s">
        <v>61</v>
      </c>
      <c r="E14" t="b">
        <v>0</v>
      </c>
      <c r="F14" t="b">
        <v>0</v>
      </c>
      <c r="G14" t="b">
        <v>0</v>
      </c>
      <c r="H14" t="b">
        <v>1</v>
      </c>
      <c r="I14" t="b">
        <v>0</v>
      </c>
      <c r="J14" s="1">
        <v>45903</v>
      </c>
    </row>
    <row r="15" spans="1:10" x14ac:dyDescent="0.35">
      <c r="A15">
        <v>1368</v>
      </c>
      <c r="B15" t="s">
        <v>73</v>
      </c>
      <c r="C15" t="s">
        <v>74</v>
      </c>
      <c r="D15" t="s">
        <v>61</v>
      </c>
      <c r="E15" t="b">
        <v>0</v>
      </c>
      <c r="F15" t="b">
        <v>1</v>
      </c>
      <c r="G15" t="b">
        <v>0</v>
      </c>
      <c r="H15" t="b">
        <v>0</v>
      </c>
      <c r="I15" t="b">
        <v>0</v>
      </c>
      <c r="J15" s="1">
        <v>45903</v>
      </c>
    </row>
    <row r="16" spans="1:10" x14ac:dyDescent="0.35">
      <c r="A16">
        <v>1328</v>
      </c>
      <c r="B16" t="s">
        <v>351</v>
      </c>
      <c r="C16" t="s">
        <v>75</v>
      </c>
      <c r="D16" t="s">
        <v>61</v>
      </c>
      <c r="E16" t="b">
        <v>0</v>
      </c>
      <c r="F16" t="b">
        <v>0</v>
      </c>
      <c r="G16" t="b">
        <v>0</v>
      </c>
      <c r="H16" t="b">
        <v>0</v>
      </c>
      <c r="I16" t="b">
        <v>1</v>
      </c>
      <c r="J16" s="1">
        <v>45903</v>
      </c>
    </row>
    <row r="17" spans="1:10" x14ac:dyDescent="0.35">
      <c r="A17">
        <v>369</v>
      </c>
      <c r="B17" t="s">
        <v>76</v>
      </c>
      <c r="C17" t="s">
        <v>77</v>
      </c>
      <c r="D17" t="s">
        <v>61</v>
      </c>
      <c r="E17" t="b">
        <v>0</v>
      </c>
      <c r="F17" t="b">
        <v>0</v>
      </c>
      <c r="G17" t="b">
        <v>0</v>
      </c>
      <c r="H17" t="b">
        <v>0</v>
      </c>
      <c r="I17" t="b">
        <v>1</v>
      </c>
      <c r="J17" s="1">
        <v>45903</v>
      </c>
    </row>
    <row r="18" spans="1:10" x14ac:dyDescent="0.35">
      <c r="A18">
        <v>7</v>
      </c>
      <c r="B18" t="s">
        <v>76</v>
      </c>
      <c r="C18" t="s">
        <v>78</v>
      </c>
      <c r="D18" t="s">
        <v>79</v>
      </c>
      <c r="E18" t="b">
        <v>0</v>
      </c>
      <c r="F18" t="b">
        <v>0</v>
      </c>
      <c r="G18" t="b">
        <v>0</v>
      </c>
      <c r="H18" t="b">
        <v>0</v>
      </c>
      <c r="I18" t="b">
        <v>1</v>
      </c>
      <c r="J18" s="1">
        <v>45903</v>
      </c>
    </row>
    <row r="19" spans="1:10" x14ac:dyDescent="0.35">
      <c r="A19">
        <v>473</v>
      </c>
      <c r="B19" t="s">
        <v>76</v>
      </c>
      <c r="C19" t="s">
        <v>80</v>
      </c>
      <c r="D19" t="s">
        <v>79</v>
      </c>
      <c r="E19" t="b">
        <v>0</v>
      </c>
      <c r="F19" t="b">
        <v>0</v>
      </c>
      <c r="G19" t="b">
        <v>0</v>
      </c>
      <c r="H19" t="b">
        <v>0</v>
      </c>
      <c r="I19" t="b">
        <v>1</v>
      </c>
      <c r="J19" s="1">
        <v>45903</v>
      </c>
    </row>
    <row r="20" spans="1:10" x14ac:dyDescent="0.35">
      <c r="A20">
        <v>1384</v>
      </c>
      <c r="B20" t="s">
        <v>81</v>
      </c>
      <c r="C20" t="s">
        <v>82</v>
      </c>
      <c r="D20" t="s">
        <v>61</v>
      </c>
      <c r="E20" t="b">
        <v>0</v>
      </c>
      <c r="F20" t="b">
        <v>0</v>
      </c>
      <c r="G20" t="b">
        <v>0</v>
      </c>
      <c r="H20" t="b">
        <v>0</v>
      </c>
      <c r="I20" t="b">
        <v>1</v>
      </c>
      <c r="J20" s="1">
        <v>45903</v>
      </c>
    </row>
    <row r="21" spans="1:10" x14ac:dyDescent="0.35">
      <c r="A21">
        <v>1348</v>
      </c>
      <c r="B21" t="s">
        <v>83</v>
      </c>
      <c r="C21" t="s">
        <v>84</v>
      </c>
      <c r="D21" t="s">
        <v>349</v>
      </c>
      <c r="E21" t="b">
        <v>1</v>
      </c>
      <c r="F21" t="b">
        <v>0</v>
      </c>
      <c r="G21" t="b">
        <v>0</v>
      </c>
      <c r="H21" t="b">
        <v>1</v>
      </c>
      <c r="I21" t="b">
        <v>0</v>
      </c>
      <c r="J21" s="1">
        <v>45903</v>
      </c>
    </row>
    <row r="22" spans="1:10" x14ac:dyDescent="0.35">
      <c r="A22">
        <v>1275</v>
      </c>
      <c r="B22" t="s">
        <v>83</v>
      </c>
      <c r="C22" t="s">
        <v>85</v>
      </c>
      <c r="D22" t="s">
        <v>61</v>
      </c>
      <c r="E22" t="b">
        <v>1</v>
      </c>
      <c r="F22" t="b">
        <v>1</v>
      </c>
      <c r="G22" t="b">
        <v>0</v>
      </c>
      <c r="H22" t="b">
        <v>0</v>
      </c>
      <c r="I22" t="b">
        <v>0</v>
      </c>
      <c r="J22" s="1">
        <v>45903</v>
      </c>
    </row>
    <row r="23" spans="1:10" x14ac:dyDescent="0.35">
      <c r="A23">
        <v>68</v>
      </c>
      <c r="B23" t="s">
        <v>86</v>
      </c>
      <c r="C23" t="s">
        <v>87</v>
      </c>
      <c r="D23" t="s">
        <v>79</v>
      </c>
      <c r="E23" t="b">
        <v>0</v>
      </c>
      <c r="F23" t="b">
        <v>0</v>
      </c>
      <c r="G23" t="b">
        <v>0</v>
      </c>
      <c r="H23" t="b">
        <v>0</v>
      </c>
      <c r="I23" t="b">
        <v>1</v>
      </c>
      <c r="J23" s="1">
        <v>45903</v>
      </c>
    </row>
    <row r="24" spans="1:10" x14ac:dyDescent="0.35">
      <c r="A24">
        <v>1035</v>
      </c>
      <c r="B24" t="s">
        <v>350</v>
      </c>
      <c r="C24" t="s">
        <v>88</v>
      </c>
      <c r="D24" t="s">
        <v>61</v>
      </c>
      <c r="E24" t="b">
        <v>0</v>
      </c>
      <c r="F24" t="b">
        <v>0</v>
      </c>
      <c r="G24" t="b">
        <v>0</v>
      </c>
      <c r="H24" t="b">
        <v>0</v>
      </c>
      <c r="I24" t="b">
        <v>1</v>
      </c>
      <c r="J24" s="1">
        <v>45903</v>
      </c>
    </row>
    <row r="25" spans="1:10" x14ac:dyDescent="0.35">
      <c r="A25">
        <v>1326</v>
      </c>
      <c r="B25" t="s">
        <v>89</v>
      </c>
      <c r="C25" t="s">
        <v>90</v>
      </c>
      <c r="D25" t="s">
        <v>61</v>
      </c>
      <c r="E25" t="b">
        <v>1</v>
      </c>
      <c r="F25" t="b">
        <v>0</v>
      </c>
      <c r="G25" t="b">
        <v>0</v>
      </c>
      <c r="H25" t="b">
        <v>1</v>
      </c>
      <c r="I25" t="b">
        <v>0</v>
      </c>
      <c r="J25" s="1">
        <v>45903</v>
      </c>
    </row>
    <row r="26" spans="1:10" x14ac:dyDescent="0.35">
      <c r="A26">
        <v>10</v>
      </c>
      <c r="B26" t="s">
        <v>91</v>
      </c>
      <c r="C26" t="s">
        <v>92</v>
      </c>
      <c r="D26" t="s">
        <v>79</v>
      </c>
      <c r="E26" t="b">
        <v>0</v>
      </c>
      <c r="F26" t="b">
        <v>0</v>
      </c>
      <c r="G26" t="b">
        <v>0</v>
      </c>
      <c r="H26" t="b">
        <v>0</v>
      </c>
      <c r="I26" t="b">
        <v>1</v>
      </c>
      <c r="J26" s="1">
        <v>45903</v>
      </c>
    </row>
    <row r="27" spans="1:10" x14ac:dyDescent="0.35">
      <c r="A27">
        <v>477</v>
      </c>
      <c r="B27" t="s">
        <v>91</v>
      </c>
      <c r="C27" t="s">
        <v>93</v>
      </c>
      <c r="D27" t="s">
        <v>61</v>
      </c>
      <c r="E27" t="b">
        <v>1</v>
      </c>
      <c r="F27" t="b">
        <v>0</v>
      </c>
      <c r="G27" t="b">
        <v>0</v>
      </c>
      <c r="H27" t="b">
        <v>0</v>
      </c>
      <c r="I27" t="b">
        <v>1</v>
      </c>
      <c r="J27" s="1">
        <v>45903</v>
      </c>
    </row>
    <row r="28" spans="1:10" x14ac:dyDescent="0.35">
      <c r="A28">
        <v>1318</v>
      </c>
      <c r="B28" t="s">
        <v>94</v>
      </c>
      <c r="C28" t="s">
        <v>95</v>
      </c>
      <c r="D28" t="s">
        <v>61</v>
      </c>
      <c r="E28" t="b">
        <v>0</v>
      </c>
      <c r="F28" t="b">
        <v>0</v>
      </c>
      <c r="G28" t="b">
        <v>0</v>
      </c>
      <c r="H28" t="b">
        <v>0</v>
      </c>
      <c r="I28" t="b">
        <v>1</v>
      </c>
      <c r="J28" s="1">
        <v>45903</v>
      </c>
    </row>
    <row r="29" spans="1:10" x14ac:dyDescent="0.35">
      <c r="A29">
        <v>779</v>
      </c>
      <c r="B29" t="s">
        <v>96</v>
      </c>
      <c r="C29" t="s">
        <v>97</v>
      </c>
      <c r="D29" t="s">
        <v>61</v>
      </c>
      <c r="E29" t="b">
        <v>0</v>
      </c>
      <c r="F29" t="b">
        <v>0</v>
      </c>
      <c r="G29" t="b">
        <v>0</v>
      </c>
      <c r="H29" t="b">
        <v>0</v>
      </c>
      <c r="I29" t="b">
        <v>1</v>
      </c>
      <c r="J29" s="1">
        <v>45903</v>
      </c>
    </row>
    <row r="30" spans="1:10" x14ac:dyDescent="0.35">
      <c r="A30">
        <v>1029</v>
      </c>
      <c r="B30" t="s">
        <v>98</v>
      </c>
      <c r="C30" t="s">
        <v>99</v>
      </c>
      <c r="D30" t="s">
        <v>61</v>
      </c>
      <c r="E30" t="b">
        <v>0</v>
      </c>
      <c r="F30" t="b">
        <v>0</v>
      </c>
      <c r="G30" t="b">
        <v>0</v>
      </c>
      <c r="H30" t="b">
        <v>0</v>
      </c>
      <c r="I30" t="b">
        <v>1</v>
      </c>
      <c r="J30" s="1">
        <v>45903</v>
      </c>
    </row>
    <row r="31" spans="1:10" x14ac:dyDescent="0.35">
      <c r="A31">
        <v>13</v>
      </c>
      <c r="B31" t="s">
        <v>100</v>
      </c>
      <c r="C31" t="s">
        <v>82</v>
      </c>
      <c r="D31" t="s">
        <v>61</v>
      </c>
      <c r="E31" t="b">
        <v>0</v>
      </c>
      <c r="F31" t="b">
        <v>0</v>
      </c>
      <c r="G31" t="b">
        <v>0</v>
      </c>
      <c r="H31" t="b">
        <v>0</v>
      </c>
      <c r="I31" t="b">
        <v>1</v>
      </c>
      <c r="J31" s="1">
        <v>45903</v>
      </c>
    </row>
    <row r="32" spans="1:10" x14ac:dyDescent="0.35">
      <c r="A32">
        <v>1255</v>
      </c>
      <c r="B32" t="s">
        <v>101</v>
      </c>
      <c r="C32" t="s">
        <v>102</v>
      </c>
      <c r="D32" t="s">
        <v>61</v>
      </c>
      <c r="E32" t="b">
        <v>1</v>
      </c>
      <c r="F32" t="b">
        <v>0</v>
      </c>
      <c r="G32" t="b">
        <v>0</v>
      </c>
      <c r="H32" t="b">
        <v>0</v>
      </c>
      <c r="I32" t="b">
        <v>1</v>
      </c>
      <c r="J32" s="1">
        <v>45903</v>
      </c>
    </row>
    <row r="33" spans="1:10" x14ac:dyDescent="0.35">
      <c r="A33">
        <v>919</v>
      </c>
      <c r="B33" t="s">
        <v>103</v>
      </c>
      <c r="C33" t="s">
        <v>82</v>
      </c>
      <c r="D33" t="s">
        <v>61</v>
      </c>
      <c r="E33" t="b">
        <v>0</v>
      </c>
      <c r="F33" t="b">
        <v>0</v>
      </c>
      <c r="G33" t="b">
        <v>0</v>
      </c>
      <c r="H33" t="b">
        <v>0</v>
      </c>
      <c r="I33" t="b">
        <v>1</v>
      </c>
      <c r="J33" s="1">
        <v>45903</v>
      </c>
    </row>
    <row r="34" spans="1:10" x14ac:dyDescent="0.35">
      <c r="A34">
        <v>1190</v>
      </c>
      <c r="B34" t="s">
        <v>104</v>
      </c>
      <c r="C34" t="s">
        <v>105</v>
      </c>
      <c r="D34" t="s">
        <v>61</v>
      </c>
      <c r="E34" t="b">
        <v>0</v>
      </c>
      <c r="F34" t="b">
        <v>1</v>
      </c>
      <c r="G34" t="b">
        <v>0</v>
      </c>
      <c r="H34" t="b">
        <v>0</v>
      </c>
      <c r="I34" t="b">
        <v>0</v>
      </c>
      <c r="J34" s="1">
        <v>45903</v>
      </c>
    </row>
    <row r="35" spans="1:10" x14ac:dyDescent="0.35">
      <c r="A35">
        <v>1189</v>
      </c>
      <c r="B35" t="s">
        <v>104</v>
      </c>
      <c r="C35" t="s">
        <v>106</v>
      </c>
      <c r="D35" t="s">
        <v>61</v>
      </c>
      <c r="E35" t="b">
        <v>0</v>
      </c>
      <c r="F35" t="b">
        <v>1</v>
      </c>
      <c r="G35" t="b">
        <v>0</v>
      </c>
      <c r="H35" t="b">
        <v>0</v>
      </c>
      <c r="I35" t="b">
        <v>0</v>
      </c>
      <c r="J35" s="1">
        <v>45903</v>
      </c>
    </row>
    <row r="36" spans="1:10" x14ac:dyDescent="0.35">
      <c r="A36">
        <v>735</v>
      </c>
      <c r="B36" t="s">
        <v>104</v>
      </c>
      <c r="C36" t="s">
        <v>107</v>
      </c>
      <c r="D36" t="s">
        <v>349</v>
      </c>
      <c r="E36" t="b">
        <v>0</v>
      </c>
      <c r="F36" t="b">
        <v>0</v>
      </c>
      <c r="G36" t="b">
        <v>0</v>
      </c>
      <c r="H36" t="b">
        <v>1</v>
      </c>
      <c r="I36" t="b">
        <v>0</v>
      </c>
      <c r="J36" s="1">
        <v>45903</v>
      </c>
    </row>
    <row r="37" spans="1:10" x14ac:dyDescent="0.35">
      <c r="A37">
        <v>1319</v>
      </c>
      <c r="B37" t="s">
        <v>108</v>
      </c>
      <c r="C37" t="s">
        <v>60</v>
      </c>
      <c r="D37" t="s">
        <v>61</v>
      </c>
      <c r="E37" t="b">
        <v>0</v>
      </c>
      <c r="F37" t="b">
        <v>0</v>
      </c>
      <c r="G37" t="b">
        <v>0</v>
      </c>
      <c r="H37" t="b">
        <v>0</v>
      </c>
      <c r="I37" t="b">
        <v>1</v>
      </c>
      <c r="J37" s="1">
        <v>45903</v>
      </c>
    </row>
    <row r="38" spans="1:10" x14ac:dyDescent="0.35">
      <c r="A38">
        <v>1389</v>
      </c>
      <c r="B38" t="s">
        <v>348</v>
      </c>
      <c r="C38" t="s">
        <v>347</v>
      </c>
      <c r="D38" t="s">
        <v>61</v>
      </c>
      <c r="E38" t="b">
        <v>0</v>
      </c>
      <c r="F38" t="b">
        <v>0</v>
      </c>
      <c r="G38" t="b">
        <v>0</v>
      </c>
      <c r="H38" t="b">
        <v>1</v>
      </c>
      <c r="I38" t="b">
        <v>0</v>
      </c>
      <c r="J38" s="1">
        <v>45903</v>
      </c>
    </row>
    <row r="39" spans="1:10" x14ac:dyDescent="0.35">
      <c r="A39">
        <v>1291</v>
      </c>
      <c r="B39" t="s">
        <v>109</v>
      </c>
      <c r="C39" t="s">
        <v>110</v>
      </c>
      <c r="D39" t="s">
        <v>61</v>
      </c>
      <c r="E39" t="b">
        <v>0</v>
      </c>
      <c r="F39" t="b">
        <v>0</v>
      </c>
      <c r="G39" t="b">
        <v>0</v>
      </c>
      <c r="H39" t="b">
        <v>0</v>
      </c>
      <c r="I39" t="b">
        <v>1</v>
      </c>
      <c r="J39" s="1">
        <v>45903</v>
      </c>
    </row>
    <row r="40" spans="1:10" x14ac:dyDescent="0.35">
      <c r="A40">
        <v>940</v>
      </c>
      <c r="B40" t="s">
        <v>111</v>
      </c>
      <c r="C40" t="s">
        <v>112</v>
      </c>
      <c r="D40" t="s">
        <v>61</v>
      </c>
      <c r="E40" t="b">
        <v>1</v>
      </c>
      <c r="F40" t="b">
        <v>0</v>
      </c>
      <c r="G40" t="b">
        <v>0</v>
      </c>
      <c r="H40" t="b">
        <v>0</v>
      </c>
      <c r="I40" t="b">
        <v>1</v>
      </c>
      <c r="J40" s="1">
        <v>45903</v>
      </c>
    </row>
    <row r="41" spans="1:10" x14ac:dyDescent="0.35">
      <c r="A41">
        <v>806</v>
      </c>
      <c r="B41" t="s">
        <v>111</v>
      </c>
      <c r="C41" t="s">
        <v>97</v>
      </c>
      <c r="D41" t="s">
        <v>61</v>
      </c>
      <c r="E41" t="b">
        <v>0</v>
      </c>
      <c r="F41" t="b">
        <v>0</v>
      </c>
      <c r="G41" t="b">
        <v>0</v>
      </c>
      <c r="H41" t="b">
        <v>0</v>
      </c>
      <c r="I41" t="b">
        <v>1</v>
      </c>
      <c r="J41" s="1">
        <v>45903</v>
      </c>
    </row>
    <row r="42" spans="1:10" x14ac:dyDescent="0.35">
      <c r="A42">
        <v>1306</v>
      </c>
      <c r="B42" t="s">
        <v>113</v>
      </c>
      <c r="C42" t="s">
        <v>60</v>
      </c>
      <c r="D42" t="s">
        <v>61</v>
      </c>
      <c r="E42" t="b">
        <v>0</v>
      </c>
      <c r="F42" t="b">
        <v>0</v>
      </c>
      <c r="G42" t="b">
        <v>0</v>
      </c>
      <c r="H42" t="b">
        <v>0</v>
      </c>
      <c r="I42" t="b">
        <v>1</v>
      </c>
      <c r="J42" s="1">
        <v>45903</v>
      </c>
    </row>
    <row r="43" spans="1:10" x14ac:dyDescent="0.35">
      <c r="A43">
        <v>361</v>
      </c>
      <c r="B43" t="s">
        <v>114</v>
      </c>
      <c r="C43" t="s">
        <v>54</v>
      </c>
      <c r="D43" t="s">
        <v>61</v>
      </c>
      <c r="E43" t="b">
        <v>0</v>
      </c>
      <c r="F43" t="b">
        <v>0</v>
      </c>
      <c r="G43" t="b">
        <v>0</v>
      </c>
      <c r="H43" t="b">
        <v>0</v>
      </c>
      <c r="I43" t="b">
        <v>1</v>
      </c>
      <c r="J43" s="1">
        <v>45903</v>
      </c>
    </row>
    <row r="44" spans="1:10" x14ac:dyDescent="0.35">
      <c r="A44">
        <v>482</v>
      </c>
      <c r="B44" t="s">
        <v>114</v>
      </c>
      <c r="C44" t="s">
        <v>363</v>
      </c>
      <c r="D44" t="s">
        <v>61</v>
      </c>
      <c r="E44" t="b">
        <v>0</v>
      </c>
      <c r="F44" t="b">
        <v>0</v>
      </c>
      <c r="G44" t="b">
        <v>0</v>
      </c>
      <c r="H44" t="b">
        <v>0</v>
      </c>
      <c r="I44" t="b">
        <v>1</v>
      </c>
      <c r="J44" s="1">
        <v>45903</v>
      </c>
    </row>
    <row r="45" spans="1:10" x14ac:dyDescent="0.35">
      <c r="A45">
        <v>674</v>
      </c>
      <c r="B45" t="s">
        <v>364</v>
      </c>
      <c r="C45" t="s">
        <v>365</v>
      </c>
      <c r="D45" t="s">
        <v>349</v>
      </c>
      <c r="E45" t="b">
        <v>1</v>
      </c>
      <c r="F45" t="b">
        <v>0</v>
      </c>
      <c r="G45" t="b">
        <v>0</v>
      </c>
      <c r="H45" t="b">
        <v>0</v>
      </c>
      <c r="I45" t="b">
        <v>1</v>
      </c>
      <c r="J45" s="1">
        <v>45903</v>
      </c>
    </row>
    <row r="46" spans="1:10" x14ac:dyDescent="0.35">
      <c r="A46">
        <v>1383</v>
      </c>
      <c r="B46" t="s">
        <v>366</v>
      </c>
      <c r="C46" t="s">
        <v>367</v>
      </c>
      <c r="D46" t="s">
        <v>61</v>
      </c>
      <c r="E46" t="b">
        <v>0</v>
      </c>
      <c r="F46" t="b">
        <v>1</v>
      </c>
      <c r="G46" t="b">
        <v>0</v>
      </c>
      <c r="H46" t="b">
        <v>0</v>
      </c>
      <c r="I46" t="b">
        <v>0</v>
      </c>
      <c r="J46" s="1">
        <v>45903</v>
      </c>
    </row>
    <row r="47" spans="1:10" x14ac:dyDescent="0.35">
      <c r="A47">
        <v>1061</v>
      </c>
      <c r="B47" t="s">
        <v>368</v>
      </c>
      <c r="C47" t="s">
        <v>369</v>
      </c>
      <c r="D47" t="s">
        <v>61</v>
      </c>
      <c r="E47" t="b">
        <v>0</v>
      </c>
      <c r="F47" t="b">
        <v>0</v>
      </c>
      <c r="G47" t="b">
        <v>0</v>
      </c>
      <c r="H47" t="b">
        <v>0</v>
      </c>
      <c r="I47" t="b">
        <v>1</v>
      </c>
      <c r="J47" s="1">
        <v>45903</v>
      </c>
    </row>
    <row r="48" spans="1:10" x14ac:dyDescent="0.35">
      <c r="A48">
        <v>763</v>
      </c>
      <c r="B48" t="s">
        <v>370</v>
      </c>
      <c r="C48" t="s">
        <v>88</v>
      </c>
      <c r="D48" t="s">
        <v>61</v>
      </c>
      <c r="E48" t="b">
        <v>0</v>
      </c>
      <c r="F48" t="b">
        <v>0</v>
      </c>
      <c r="G48" t="b">
        <v>0</v>
      </c>
      <c r="H48" t="b">
        <v>0</v>
      </c>
      <c r="I48" t="b">
        <v>1</v>
      </c>
      <c r="J48" s="1">
        <v>45903</v>
      </c>
    </row>
    <row r="49" spans="1:10" x14ac:dyDescent="0.35">
      <c r="A49">
        <v>1227</v>
      </c>
      <c r="B49" t="s">
        <v>371</v>
      </c>
      <c r="C49" t="s">
        <v>372</v>
      </c>
      <c r="D49" t="s">
        <v>61</v>
      </c>
      <c r="E49" t="b">
        <v>1</v>
      </c>
      <c r="F49" t="b">
        <v>0</v>
      </c>
      <c r="G49" t="b">
        <v>0</v>
      </c>
      <c r="H49" t="b">
        <v>0</v>
      </c>
      <c r="I49" t="b">
        <v>1</v>
      </c>
      <c r="J49" s="1">
        <v>45903</v>
      </c>
    </row>
    <row r="50" spans="1:10" x14ac:dyDescent="0.35">
      <c r="A50">
        <v>715</v>
      </c>
      <c r="B50" t="s">
        <v>373</v>
      </c>
      <c r="C50" t="s">
        <v>374</v>
      </c>
      <c r="D50" t="s">
        <v>61</v>
      </c>
      <c r="E50" t="b">
        <v>0</v>
      </c>
      <c r="F50" t="b">
        <v>0</v>
      </c>
      <c r="G50" t="b">
        <v>0</v>
      </c>
      <c r="H50" t="b">
        <v>0</v>
      </c>
      <c r="I50" t="b">
        <v>1</v>
      </c>
      <c r="J50" s="1">
        <v>45903</v>
      </c>
    </row>
    <row r="51" spans="1:10" x14ac:dyDescent="0.35">
      <c r="A51">
        <v>567</v>
      </c>
      <c r="B51" t="s">
        <v>375</v>
      </c>
      <c r="C51" t="s">
        <v>376</v>
      </c>
      <c r="D51" t="s">
        <v>61</v>
      </c>
      <c r="E51" t="b">
        <v>0</v>
      </c>
      <c r="F51" t="b">
        <v>0</v>
      </c>
      <c r="G51" t="b">
        <v>0</v>
      </c>
      <c r="H51" t="b">
        <v>0</v>
      </c>
      <c r="I51" t="b">
        <v>1</v>
      </c>
      <c r="J51" s="1">
        <v>45903</v>
      </c>
    </row>
    <row r="52" spans="1:10" x14ac:dyDescent="0.35">
      <c r="A52">
        <v>1295</v>
      </c>
      <c r="B52" t="s">
        <v>377</v>
      </c>
      <c r="C52" t="s">
        <v>378</v>
      </c>
      <c r="D52" t="s">
        <v>61</v>
      </c>
      <c r="E52" t="b">
        <v>1</v>
      </c>
      <c r="F52" t="b">
        <v>0</v>
      </c>
      <c r="G52" t="b">
        <v>0</v>
      </c>
      <c r="H52" t="b">
        <v>1</v>
      </c>
      <c r="I52" t="b">
        <v>0</v>
      </c>
      <c r="J52" s="1">
        <v>45903</v>
      </c>
    </row>
    <row r="53" spans="1:10" x14ac:dyDescent="0.35">
      <c r="A53">
        <v>704</v>
      </c>
      <c r="B53" t="s">
        <v>379</v>
      </c>
      <c r="C53" t="s">
        <v>67</v>
      </c>
      <c r="D53" t="s">
        <v>61</v>
      </c>
      <c r="E53" t="b">
        <v>0</v>
      </c>
      <c r="F53" t="b">
        <v>0</v>
      </c>
      <c r="G53" t="b">
        <v>0</v>
      </c>
      <c r="H53" t="b">
        <v>0</v>
      </c>
      <c r="I53" t="b">
        <v>1</v>
      </c>
      <c r="J53" s="1">
        <v>45903</v>
      </c>
    </row>
    <row r="54" spans="1:10" x14ac:dyDescent="0.35">
      <c r="A54">
        <v>1283</v>
      </c>
      <c r="B54" t="s">
        <v>380</v>
      </c>
      <c r="C54" t="s">
        <v>381</v>
      </c>
      <c r="D54" t="s">
        <v>61</v>
      </c>
      <c r="E54" t="b">
        <v>0</v>
      </c>
      <c r="F54" t="b">
        <v>0</v>
      </c>
      <c r="G54" t="b">
        <v>0</v>
      </c>
      <c r="H54" t="b">
        <v>0</v>
      </c>
      <c r="I54" t="b">
        <v>1</v>
      </c>
      <c r="J54" s="1">
        <v>45903</v>
      </c>
    </row>
    <row r="55" spans="1:10" x14ac:dyDescent="0.35">
      <c r="A55">
        <v>295</v>
      </c>
      <c r="B55" t="s">
        <v>382</v>
      </c>
      <c r="C55" t="s">
        <v>383</v>
      </c>
      <c r="D55" t="s">
        <v>61</v>
      </c>
      <c r="E55" t="b">
        <v>0</v>
      </c>
      <c r="F55" t="b">
        <v>0</v>
      </c>
      <c r="G55" t="b">
        <v>0</v>
      </c>
      <c r="H55" t="b">
        <v>0</v>
      </c>
      <c r="I55" t="b">
        <v>1</v>
      </c>
      <c r="J55" s="1">
        <v>45903</v>
      </c>
    </row>
    <row r="56" spans="1:10" x14ac:dyDescent="0.35">
      <c r="A56">
        <v>1169</v>
      </c>
      <c r="B56" t="s">
        <v>384</v>
      </c>
      <c r="C56" t="s">
        <v>95</v>
      </c>
      <c r="D56" t="s">
        <v>61</v>
      </c>
      <c r="E56" t="b">
        <v>0</v>
      </c>
      <c r="F56" t="b">
        <v>0</v>
      </c>
      <c r="G56" t="b">
        <v>0</v>
      </c>
      <c r="H56" t="b">
        <v>1</v>
      </c>
      <c r="I56" t="b">
        <v>0</v>
      </c>
      <c r="J56" s="1">
        <v>45903</v>
      </c>
    </row>
    <row r="57" spans="1:10" x14ac:dyDescent="0.35">
      <c r="A57">
        <v>1226</v>
      </c>
      <c r="B57" t="s">
        <v>385</v>
      </c>
      <c r="C57" t="s">
        <v>386</v>
      </c>
      <c r="D57" t="s">
        <v>61</v>
      </c>
      <c r="E57" t="b">
        <v>1</v>
      </c>
      <c r="F57" t="b">
        <v>0</v>
      </c>
      <c r="G57" t="b">
        <v>0</v>
      </c>
      <c r="H57" t="b">
        <v>1</v>
      </c>
      <c r="I57" t="b">
        <v>0</v>
      </c>
      <c r="J57" s="1">
        <v>45903</v>
      </c>
    </row>
    <row r="58" spans="1:10" x14ac:dyDescent="0.35">
      <c r="A58">
        <v>1333</v>
      </c>
      <c r="B58" t="s">
        <v>387</v>
      </c>
      <c r="C58" t="s">
        <v>388</v>
      </c>
      <c r="D58" t="s">
        <v>61</v>
      </c>
      <c r="E58" t="b">
        <v>0</v>
      </c>
      <c r="F58" t="b">
        <v>0</v>
      </c>
      <c r="G58" t="b">
        <v>0</v>
      </c>
      <c r="H58" t="b">
        <v>0</v>
      </c>
      <c r="I58" t="b">
        <v>1</v>
      </c>
      <c r="J58" s="1">
        <v>45903</v>
      </c>
    </row>
    <row r="59" spans="1:10" x14ac:dyDescent="0.35">
      <c r="A59">
        <v>1185</v>
      </c>
      <c r="B59" t="s">
        <v>389</v>
      </c>
      <c r="C59" t="s">
        <v>390</v>
      </c>
      <c r="D59" t="s">
        <v>61</v>
      </c>
      <c r="E59" t="b">
        <v>1</v>
      </c>
      <c r="F59" t="b">
        <v>1</v>
      </c>
      <c r="G59" t="b">
        <v>0</v>
      </c>
      <c r="H59" t="b">
        <v>0</v>
      </c>
      <c r="I59" t="b">
        <v>0</v>
      </c>
      <c r="J59" s="1">
        <v>45903</v>
      </c>
    </row>
    <row r="60" spans="1:10" x14ac:dyDescent="0.35">
      <c r="A60">
        <v>1065</v>
      </c>
      <c r="B60" t="s">
        <v>389</v>
      </c>
      <c r="C60" t="s">
        <v>72</v>
      </c>
      <c r="D60" t="s">
        <v>61</v>
      </c>
      <c r="E60" t="b">
        <v>0</v>
      </c>
      <c r="F60" t="b">
        <v>0</v>
      </c>
      <c r="G60" t="b">
        <v>0</v>
      </c>
      <c r="H60" t="b">
        <v>1</v>
      </c>
      <c r="I60" t="b">
        <v>0</v>
      </c>
      <c r="J60" s="1">
        <v>45903</v>
      </c>
    </row>
    <row r="61" spans="1:10" x14ac:dyDescent="0.35">
      <c r="A61">
        <v>1137</v>
      </c>
      <c r="B61" t="s">
        <v>391</v>
      </c>
      <c r="C61" t="s">
        <v>388</v>
      </c>
      <c r="D61" t="s">
        <v>349</v>
      </c>
      <c r="E61" t="b">
        <v>0</v>
      </c>
      <c r="F61" t="b">
        <v>0</v>
      </c>
      <c r="G61" t="b">
        <v>0</v>
      </c>
      <c r="H61" t="b">
        <v>0</v>
      </c>
      <c r="I61" t="b">
        <v>1</v>
      </c>
      <c r="J61" s="1">
        <v>45903</v>
      </c>
    </row>
    <row r="62" spans="1:10" x14ac:dyDescent="0.35">
      <c r="A62">
        <v>701</v>
      </c>
      <c r="B62" t="s">
        <v>392</v>
      </c>
      <c r="C62" t="s">
        <v>393</v>
      </c>
      <c r="D62" t="s">
        <v>61</v>
      </c>
      <c r="E62" t="b">
        <v>0</v>
      </c>
      <c r="F62" t="b">
        <v>0</v>
      </c>
      <c r="G62" t="b">
        <v>0</v>
      </c>
      <c r="H62" t="b">
        <v>0</v>
      </c>
      <c r="I62" t="b">
        <v>1</v>
      </c>
      <c r="J62" s="1">
        <v>45903</v>
      </c>
    </row>
    <row r="63" spans="1:10" x14ac:dyDescent="0.35">
      <c r="A63">
        <v>1316</v>
      </c>
      <c r="B63" t="s">
        <v>394</v>
      </c>
      <c r="C63" t="s">
        <v>68</v>
      </c>
      <c r="D63" t="s">
        <v>349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s="1">
        <v>45903</v>
      </c>
    </row>
    <row r="64" spans="1:10" x14ac:dyDescent="0.35">
      <c r="A64">
        <v>1096</v>
      </c>
      <c r="B64" t="s">
        <v>395</v>
      </c>
      <c r="C64" t="s">
        <v>396</v>
      </c>
      <c r="D64" t="s">
        <v>61</v>
      </c>
      <c r="E64" t="b">
        <v>0</v>
      </c>
      <c r="F64" t="b">
        <v>1</v>
      </c>
      <c r="G64" t="b">
        <v>0</v>
      </c>
      <c r="H64" t="b">
        <v>0</v>
      </c>
      <c r="I64" t="b">
        <v>0</v>
      </c>
      <c r="J64" s="1">
        <v>45903</v>
      </c>
    </row>
    <row r="65" spans="1:10" x14ac:dyDescent="0.35">
      <c r="A65">
        <v>1236</v>
      </c>
      <c r="B65" t="s">
        <v>395</v>
      </c>
      <c r="C65" t="s">
        <v>397</v>
      </c>
      <c r="D65" t="s">
        <v>61</v>
      </c>
      <c r="E65" t="b">
        <v>1</v>
      </c>
      <c r="F65" t="b">
        <v>0</v>
      </c>
      <c r="G65" t="b">
        <v>0</v>
      </c>
      <c r="H65" t="b">
        <v>0</v>
      </c>
      <c r="I65" t="b">
        <v>1</v>
      </c>
      <c r="J65" s="1">
        <v>45903</v>
      </c>
    </row>
    <row r="66" spans="1:10" x14ac:dyDescent="0.35">
      <c r="A66">
        <v>699</v>
      </c>
      <c r="B66" t="s">
        <v>395</v>
      </c>
      <c r="C66" t="s">
        <v>398</v>
      </c>
      <c r="D66" t="s">
        <v>61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s="1">
        <v>45903</v>
      </c>
    </row>
    <row r="67" spans="1:10" x14ac:dyDescent="0.35">
      <c r="A67">
        <v>682</v>
      </c>
      <c r="B67" t="s">
        <v>399</v>
      </c>
      <c r="C67" t="s">
        <v>400</v>
      </c>
      <c r="D67" t="s">
        <v>349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s="1">
        <v>45903</v>
      </c>
    </row>
    <row r="68" spans="1:10" x14ac:dyDescent="0.35">
      <c r="A68">
        <v>1000</v>
      </c>
      <c r="B68" t="s">
        <v>401</v>
      </c>
      <c r="C68" t="s">
        <v>402</v>
      </c>
      <c r="D68" t="s">
        <v>61</v>
      </c>
      <c r="E68" t="b">
        <v>0</v>
      </c>
      <c r="F68" t="b">
        <v>0</v>
      </c>
      <c r="G68" t="b">
        <v>0</v>
      </c>
      <c r="H68" t="b">
        <v>1</v>
      </c>
      <c r="I68" t="b">
        <v>0</v>
      </c>
      <c r="J68" s="1">
        <v>45903</v>
      </c>
    </row>
    <row r="69" spans="1:10" x14ac:dyDescent="0.35">
      <c r="A69">
        <v>1332</v>
      </c>
      <c r="B69" t="s">
        <v>403</v>
      </c>
      <c r="C69" t="s">
        <v>404</v>
      </c>
      <c r="D69" t="s">
        <v>61</v>
      </c>
      <c r="E69" t="b">
        <v>1</v>
      </c>
      <c r="F69" t="b">
        <v>0</v>
      </c>
      <c r="G69" t="b">
        <v>0</v>
      </c>
      <c r="H69" t="b">
        <v>1</v>
      </c>
      <c r="I69" t="b">
        <v>0</v>
      </c>
      <c r="J69" s="1">
        <v>45903</v>
      </c>
    </row>
    <row r="70" spans="1:10" x14ac:dyDescent="0.35">
      <c r="A70">
        <v>1355</v>
      </c>
      <c r="B70" t="s">
        <v>405</v>
      </c>
      <c r="C70" t="s">
        <v>406</v>
      </c>
      <c r="D70" t="s">
        <v>61</v>
      </c>
      <c r="E70" t="b">
        <v>0</v>
      </c>
      <c r="F70" t="b">
        <v>1</v>
      </c>
      <c r="G70" t="b">
        <v>0</v>
      </c>
      <c r="H70" t="b">
        <v>0</v>
      </c>
      <c r="I70" t="b">
        <v>0</v>
      </c>
      <c r="J70" s="1">
        <v>45903</v>
      </c>
    </row>
    <row r="71" spans="1:10" x14ac:dyDescent="0.35">
      <c r="A71">
        <v>1164</v>
      </c>
      <c r="B71" t="s">
        <v>407</v>
      </c>
      <c r="C71" t="s">
        <v>408</v>
      </c>
      <c r="D71" t="s">
        <v>349</v>
      </c>
      <c r="E71" t="b">
        <v>1</v>
      </c>
      <c r="F71" t="b">
        <v>0</v>
      </c>
      <c r="G71" t="b">
        <v>0</v>
      </c>
      <c r="H71" t="b">
        <v>1</v>
      </c>
      <c r="I71" t="b">
        <v>0</v>
      </c>
      <c r="J71" s="1">
        <v>45903</v>
      </c>
    </row>
    <row r="72" spans="1:10" x14ac:dyDescent="0.35">
      <c r="A72">
        <v>1062</v>
      </c>
      <c r="B72" t="s">
        <v>407</v>
      </c>
      <c r="C72" t="s">
        <v>97</v>
      </c>
      <c r="D72" t="s">
        <v>61</v>
      </c>
      <c r="E72" t="b">
        <v>0</v>
      </c>
      <c r="F72" t="b">
        <v>0</v>
      </c>
      <c r="G72" t="b">
        <v>0</v>
      </c>
      <c r="H72" t="b">
        <v>0</v>
      </c>
      <c r="I72" t="b">
        <v>1</v>
      </c>
      <c r="J72" s="1">
        <v>45903</v>
      </c>
    </row>
    <row r="73" spans="1:10" x14ac:dyDescent="0.35">
      <c r="A73">
        <v>938</v>
      </c>
      <c r="B73" t="s">
        <v>407</v>
      </c>
      <c r="C73" t="s">
        <v>409</v>
      </c>
      <c r="D73" t="s">
        <v>61</v>
      </c>
      <c r="E73" t="b">
        <v>1</v>
      </c>
      <c r="F73" t="b">
        <v>0</v>
      </c>
      <c r="G73" t="b">
        <v>0</v>
      </c>
      <c r="H73" t="b">
        <v>0</v>
      </c>
      <c r="I73" t="b">
        <v>1</v>
      </c>
      <c r="J73" s="1">
        <v>45903</v>
      </c>
    </row>
    <row r="74" spans="1:10" x14ac:dyDescent="0.35">
      <c r="A74">
        <v>939</v>
      </c>
      <c r="B74" t="s">
        <v>410</v>
      </c>
      <c r="C74" t="s">
        <v>411</v>
      </c>
      <c r="D74" t="s">
        <v>61</v>
      </c>
      <c r="E74" t="b">
        <v>1</v>
      </c>
      <c r="F74" t="b">
        <v>0</v>
      </c>
      <c r="G74" t="b">
        <v>0</v>
      </c>
      <c r="H74" t="b">
        <v>0</v>
      </c>
      <c r="I74" t="b">
        <v>1</v>
      </c>
      <c r="J74" s="1">
        <v>45903</v>
      </c>
    </row>
    <row r="75" spans="1:10" x14ac:dyDescent="0.35">
      <c r="A75">
        <v>1377</v>
      </c>
      <c r="B75" t="s">
        <v>412</v>
      </c>
      <c r="C75" t="s">
        <v>413</v>
      </c>
      <c r="D75" t="s">
        <v>61</v>
      </c>
      <c r="E75" t="b">
        <v>1</v>
      </c>
      <c r="F75" t="b">
        <v>0</v>
      </c>
      <c r="G75" t="b">
        <v>0</v>
      </c>
      <c r="H75" t="b">
        <v>0</v>
      </c>
      <c r="I75" t="b">
        <v>1</v>
      </c>
      <c r="J75" s="1">
        <v>45903</v>
      </c>
    </row>
    <row r="76" spans="1:10" x14ac:dyDescent="0.35">
      <c r="A76">
        <v>1281</v>
      </c>
      <c r="B76" t="s">
        <v>414</v>
      </c>
      <c r="C76" t="s">
        <v>415</v>
      </c>
      <c r="D76" t="s">
        <v>61</v>
      </c>
      <c r="E76" t="b">
        <v>0</v>
      </c>
      <c r="F76" t="b">
        <v>0</v>
      </c>
      <c r="G76" t="b">
        <v>0</v>
      </c>
      <c r="H76" t="b">
        <v>0</v>
      </c>
      <c r="I76" t="b">
        <v>1</v>
      </c>
      <c r="J76" s="1">
        <v>45903</v>
      </c>
    </row>
    <row r="77" spans="1:10" x14ac:dyDescent="0.35">
      <c r="A77">
        <v>1274</v>
      </c>
      <c r="B77" t="s">
        <v>416</v>
      </c>
      <c r="C77" t="s">
        <v>417</v>
      </c>
      <c r="D77" t="s">
        <v>61</v>
      </c>
      <c r="E77" t="b">
        <v>1</v>
      </c>
      <c r="F77" t="b">
        <v>0</v>
      </c>
      <c r="G77" t="b">
        <v>0</v>
      </c>
      <c r="H77" t="b">
        <v>1</v>
      </c>
      <c r="I77" t="b">
        <v>0</v>
      </c>
      <c r="J77" s="1">
        <v>45903</v>
      </c>
    </row>
    <row r="78" spans="1:10" x14ac:dyDescent="0.35">
      <c r="A78">
        <v>933</v>
      </c>
      <c r="B78" t="s">
        <v>418</v>
      </c>
      <c r="C78" t="s">
        <v>419</v>
      </c>
      <c r="D78" t="s">
        <v>61</v>
      </c>
      <c r="E78" t="b">
        <v>0</v>
      </c>
      <c r="F78" t="b">
        <v>0</v>
      </c>
      <c r="G78" t="b">
        <v>0</v>
      </c>
      <c r="H78" t="b">
        <v>1</v>
      </c>
      <c r="I78" t="b">
        <v>0</v>
      </c>
      <c r="J78" s="1">
        <v>45903</v>
      </c>
    </row>
    <row r="79" spans="1:10" x14ac:dyDescent="0.35">
      <c r="A79">
        <v>1317</v>
      </c>
      <c r="B79" t="s">
        <v>420</v>
      </c>
      <c r="C79" t="s">
        <v>376</v>
      </c>
      <c r="D79" t="s">
        <v>61</v>
      </c>
      <c r="E79" t="b">
        <v>0</v>
      </c>
      <c r="F79" t="b">
        <v>0</v>
      </c>
      <c r="G79" t="b">
        <v>0</v>
      </c>
      <c r="H79" t="b">
        <v>0</v>
      </c>
      <c r="I79" t="b">
        <v>1</v>
      </c>
      <c r="J79" s="1">
        <v>45903</v>
      </c>
    </row>
    <row r="80" spans="1:10" x14ac:dyDescent="0.35">
      <c r="A80">
        <v>493</v>
      </c>
      <c r="B80" t="s">
        <v>421</v>
      </c>
      <c r="C80" t="s">
        <v>80</v>
      </c>
      <c r="D80" t="s">
        <v>79</v>
      </c>
      <c r="E80" t="b">
        <v>0</v>
      </c>
      <c r="F80" t="b">
        <v>0</v>
      </c>
      <c r="G80" t="b">
        <v>0</v>
      </c>
      <c r="H80" t="b">
        <v>0</v>
      </c>
      <c r="I80" t="b">
        <v>1</v>
      </c>
      <c r="J80" s="1">
        <v>45903</v>
      </c>
    </row>
    <row r="81" spans="1:10" x14ac:dyDescent="0.35">
      <c r="A81">
        <v>1287</v>
      </c>
      <c r="B81" t="s">
        <v>422</v>
      </c>
      <c r="C81" t="s">
        <v>423</v>
      </c>
      <c r="D81" t="s">
        <v>61</v>
      </c>
      <c r="E81" t="b">
        <v>1</v>
      </c>
      <c r="F81" t="b">
        <v>0</v>
      </c>
      <c r="G81" t="b">
        <v>0</v>
      </c>
      <c r="H81" t="b">
        <v>0</v>
      </c>
      <c r="I81" t="b">
        <v>1</v>
      </c>
      <c r="J81" s="1">
        <v>45903</v>
      </c>
    </row>
    <row r="82" spans="1:10" x14ac:dyDescent="0.35">
      <c r="A82">
        <v>1279</v>
      </c>
      <c r="B82" t="s">
        <v>424</v>
      </c>
      <c r="C82" t="s">
        <v>425</v>
      </c>
      <c r="D82" t="s">
        <v>61</v>
      </c>
      <c r="E82" t="b">
        <v>0</v>
      </c>
      <c r="F82" t="b">
        <v>0</v>
      </c>
      <c r="G82" t="b">
        <v>0</v>
      </c>
      <c r="H82" t="b">
        <v>0</v>
      </c>
      <c r="I82" t="b">
        <v>1</v>
      </c>
      <c r="J82" s="1">
        <v>45903</v>
      </c>
    </row>
    <row r="83" spans="1:10" x14ac:dyDescent="0.35">
      <c r="A83">
        <v>1196</v>
      </c>
      <c r="B83" t="s">
        <v>426</v>
      </c>
      <c r="C83" t="s">
        <v>427</v>
      </c>
      <c r="D83" t="s">
        <v>61</v>
      </c>
      <c r="E83" t="b">
        <v>0</v>
      </c>
      <c r="F83" t="b">
        <v>1</v>
      </c>
      <c r="G83" t="b">
        <v>0</v>
      </c>
      <c r="H83" t="b">
        <v>0</v>
      </c>
      <c r="I83" t="b">
        <v>0</v>
      </c>
      <c r="J83" s="1">
        <v>45903</v>
      </c>
    </row>
    <row r="84" spans="1:10" x14ac:dyDescent="0.35">
      <c r="A84">
        <v>1195</v>
      </c>
      <c r="B84" t="s">
        <v>426</v>
      </c>
      <c r="C84" t="s">
        <v>428</v>
      </c>
      <c r="D84" t="s">
        <v>61</v>
      </c>
      <c r="E84" t="b">
        <v>0</v>
      </c>
      <c r="F84" t="b">
        <v>1</v>
      </c>
      <c r="G84" t="b">
        <v>0</v>
      </c>
      <c r="H84" t="b">
        <v>0</v>
      </c>
      <c r="I84" t="b">
        <v>0</v>
      </c>
      <c r="J84" s="1">
        <v>45903</v>
      </c>
    </row>
    <row r="85" spans="1:10" x14ac:dyDescent="0.35">
      <c r="A85">
        <v>1193</v>
      </c>
      <c r="B85" t="s">
        <v>426</v>
      </c>
      <c r="C85" t="s">
        <v>429</v>
      </c>
      <c r="D85" t="s">
        <v>61</v>
      </c>
      <c r="E85" t="b">
        <v>0</v>
      </c>
      <c r="F85" t="b">
        <v>0</v>
      </c>
      <c r="G85" t="b">
        <v>0</v>
      </c>
      <c r="H85" t="b">
        <v>1</v>
      </c>
      <c r="I85" t="b">
        <v>0</v>
      </c>
      <c r="J85" s="1">
        <v>45903</v>
      </c>
    </row>
    <row r="86" spans="1:10" x14ac:dyDescent="0.35">
      <c r="A86">
        <v>1194</v>
      </c>
      <c r="B86" t="s">
        <v>426</v>
      </c>
      <c r="C86" t="s">
        <v>430</v>
      </c>
      <c r="D86" t="s">
        <v>61</v>
      </c>
      <c r="E86" t="b">
        <v>1</v>
      </c>
      <c r="F86" t="b">
        <v>0</v>
      </c>
      <c r="G86" t="b">
        <v>0</v>
      </c>
      <c r="H86" t="b">
        <v>1</v>
      </c>
      <c r="I86" t="b">
        <v>0</v>
      </c>
      <c r="J86" s="1">
        <v>45903</v>
      </c>
    </row>
    <row r="87" spans="1:10" x14ac:dyDescent="0.35">
      <c r="A87">
        <v>936</v>
      </c>
      <c r="B87" t="s">
        <v>431</v>
      </c>
      <c r="C87" t="s">
        <v>432</v>
      </c>
      <c r="D87" t="s">
        <v>61</v>
      </c>
      <c r="E87" t="b">
        <v>0</v>
      </c>
      <c r="F87" t="b">
        <v>0</v>
      </c>
      <c r="G87" t="b">
        <v>0</v>
      </c>
      <c r="H87" t="b">
        <v>0</v>
      </c>
      <c r="I87" t="b">
        <v>1</v>
      </c>
      <c r="J87" s="1">
        <v>45903</v>
      </c>
    </row>
    <row r="88" spans="1:10" x14ac:dyDescent="0.35">
      <c r="A88">
        <v>1351</v>
      </c>
      <c r="B88" t="s">
        <v>433</v>
      </c>
      <c r="C88" t="s">
        <v>434</v>
      </c>
      <c r="D88" t="s">
        <v>61</v>
      </c>
      <c r="E88" t="b">
        <v>0</v>
      </c>
      <c r="F88" t="b">
        <v>0</v>
      </c>
      <c r="G88" t="b">
        <v>0</v>
      </c>
      <c r="H88" t="b">
        <v>0</v>
      </c>
      <c r="I88" t="b">
        <v>1</v>
      </c>
      <c r="J88" s="1">
        <v>45903</v>
      </c>
    </row>
    <row r="89" spans="1:10" x14ac:dyDescent="0.35">
      <c r="A89">
        <v>1176</v>
      </c>
      <c r="B89" t="s">
        <v>433</v>
      </c>
      <c r="C89" t="s">
        <v>435</v>
      </c>
      <c r="D89" t="s">
        <v>61</v>
      </c>
      <c r="E89" t="b">
        <v>0</v>
      </c>
      <c r="F89" t="b">
        <v>1</v>
      </c>
      <c r="G89" t="b">
        <v>0</v>
      </c>
      <c r="H89" t="b">
        <v>0</v>
      </c>
      <c r="I89" t="b">
        <v>0</v>
      </c>
      <c r="J89" s="1">
        <v>45903</v>
      </c>
    </row>
    <row r="90" spans="1:10" x14ac:dyDescent="0.35">
      <c r="A90">
        <v>1174</v>
      </c>
      <c r="B90" t="s">
        <v>433</v>
      </c>
      <c r="C90" t="s">
        <v>436</v>
      </c>
      <c r="D90" t="s">
        <v>61</v>
      </c>
      <c r="E90" t="b">
        <v>1</v>
      </c>
      <c r="F90" t="b">
        <v>0</v>
      </c>
      <c r="G90" t="b">
        <v>0</v>
      </c>
      <c r="H90" t="b">
        <v>0</v>
      </c>
      <c r="I90" t="b">
        <v>1</v>
      </c>
      <c r="J90" s="1">
        <v>45903</v>
      </c>
    </row>
    <row r="91" spans="1:10" x14ac:dyDescent="0.35">
      <c r="A91">
        <v>1175</v>
      </c>
      <c r="B91" t="s">
        <v>433</v>
      </c>
      <c r="C91" t="s">
        <v>429</v>
      </c>
      <c r="D91" t="s">
        <v>61</v>
      </c>
      <c r="E91" t="b">
        <v>0</v>
      </c>
      <c r="F91" t="b">
        <v>0</v>
      </c>
      <c r="G91" t="b">
        <v>0</v>
      </c>
      <c r="H91" t="b">
        <v>0</v>
      </c>
      <c r="I91" t="b">
        <v>1</v>
      </c>
      <c r="J91" s="1">
        <v>45903</v>
      </c>
    </row>
    <row r="92" spans="1:10" x14ac:dyDescent="0.35">
      <c r="A92">
        <v>1109</v>
      </c>
      <c r="B92" t="s">
        <v>437</v>
      </c>
      <c r="C92" t="s">
        <v>383</v>
      </c>
      <c r="D92" t="s">
        <v>61</v>
      </c>
      <c r="E92" t="b">
        <v>0</v>
      </c>
      <c r="F92" t="b">
        <v>0</v>
      </c>
      <c r="G92" t="b">
        <v>0</v>
      </c>
      <c r="H92" t="b">
        <v>1</v>
      </c>
      <c r="I92" t="b">
        <v>0</v>
      </c>
      <c r="J92" s="1">
        <v>45903</v>
      </c>
    </row>
    <row r="93" spans="1:10" x14ac:dyDescent="0.35">
      <c r="A93">
        <v>1073</v>
      </c>
      <c r="B93" t="s">
        <v>438</v>
      </c>
      <c r="C93" t="s">
        <v>429</v>
      </c>
      <c r="D93" t="s">
        <v>61</v>
      </c>
      <c r="E93" t="b">
        <v>0</v>
      </c>
      <c r="F93" t="b">
        <v>0</v>
      </c>
      <c r="G93" t="b">
        <v>0</v>
      </c>
      <c r="H93" t="b">
        <v>0</v>
      </c>
      <c r="I93" t="b">
        <v>1</v>
      </c>
      <c r="J93" s="1">
        <v>45903</v>
      </c>
    </row>
    <row r="94" spans="1:10" x14ac:dyDescent="0.35">
      <c r="A94">
        <v>897</v>
      </c>
      <c r="B94" t="s">
        <v>439</v>
      </c>
      <c r="C94" t="s">
        <v>440</v>
      </c>
      <c r="D94" t="s">
        <v>61</v>
      </c>
      <c r="E94" t="b">
        <v>0</v>
      </c>
      <c r="F94" t="b">
        <v>0</v>
      </c>
      <c r="G94" t="b">
        <v>0</v>
      </c>
      <c r="H94" t="b">
        <v>0</v>
      </c>
      <c r="I94" t="b">
        <v>1</v>
      </c>
      <c r="J94" s="1">
        <v>45903</v>
      </c>
    </row>
    <row r="95" spans="1:10" x14ac:dyDescent="0.35">
      <c r="A95">
        <v>1365</v>
      </c>
      <c r="B95" t="s">
        <v>439</v>
      </c>
      <c r="C95" t="s">
        <v>441</v>
      </c>
      <c r="D95" t="s">
        <v>61</v>
      </c>
      <c r="E95" t="b">
        <v>1</v>
      </c>
      <c r="F95" t="b">
        <v>0</v>
      </c>
      <c r="G95" t="b">
        <v>0</v>
      </c>
      <c r="H95" t="b">
        <v>0</v>
      </c>
      <c r="I95" t="b">
        <v>1</v>
      </c>
      <c r="J95" s="1">
        <v>45903</v>
      </c>
    </row>
    <row r="96" spans="1:10" x14ac:dyDescent="0.35">
      <c r="A96">
        <v>1366</v>
      </c>
      <c r="B96" t="s">
        <v>439</v>
      </c>
      <c r="C96" t="s">
        <v>442</v>
      </c>
      <c r="D96" t="s">
        <v>61</v>
      </c>
      <c r="E96" t="b">
        <v>1</v>
      </c>
      <c r="F96" t="b">
        <v>0</v>
      </c>
      <c r="G96" t="b">
        <v>1</v>
      </c>
      <c r="H96" t="b">
        <v>0</v>
      </c>
      <c r="I96" t="b">
        <v>0</v>
      </c>
      <c r="J96" s="1">
        <v>45903</v>
      </c>
    </row>
    <row r="97" spans="1:10" x14ac:dyDescent="0.35">
      <c r="A97">
        <v>1367</v>
      </c>
      <c r="B97" t="s">
        <v>439</v>
      </c>
      <c r="C97" t="s">
        <v>427</v>
      </c>
      <c r="D97" t="s">
        <v>61</v>
      </c>
      <c r="E97" t="b">
        <v>0</v>
      </c>
      <c r="F97" t="b">
        <v>1</v>
      </c>
      <c r="G97" t="b">
        <v>0</v>
      </c>
      <c r="H97" t="b">
        <v>0</v>
      </c>
      <c r="I97" t="b">
        <v>0</v>
      </c>
      <c r="J97" s="1">
        <v>45903</v>
      </c>
    </row>
    <row r="98" spans="1:10" x14ac:dyDescent="0.35">
      <c r="A98">
        <v>1387</v>
      </c>
      <c r="B98" t="s">
        <v>443</v>
      </c>
      <c r="C98" t="s">
        <v>444</v>
      </c>
      <c r="D98" t="s">
        <v>61</v>
      </c>
      <c r="E98" t="b">
        <v>1</v>
      </c>
      <c r="F98" t="b">
        <v>0</v>
      </c>
      <c r="G98" t="b">
        <v>0</v>
      </c>
      <c r="H98" t="b">
        <v>1</v>
      </c>
      <c r="I98" t="b">
        <v>0</v>
      </c>
      <c r="J98" s="1">
        <v>45903</v>
      </c>
    </row>
    <row r="99" spans="1:10" x14ac:dyDescent="0.35">
      <c r="A99">
        <v>1308</v>
      </c>
      <c r="B99" t="s">
        <v>445</v>
      </c>
      <c r="C99" t="s">
        <v>446</v>
      </c>
      <c r="D99" t="s">
        <v>61</v>
      </c>
      <c r="E99" t="b">
        <v>1</v>
      </c>
      <c r="F99" t="b">
        <v>0</v>
      </c>
      <c r="G99" t="b">
        <v>0</v>
      </c>
      <c r="H99" t="b">
        <v>0</v>
      </c>
      <c r="I99" t="b">
        <v>1</v>
      </c>
      <c r="J99" s="1">
        <v>45903</v>
      </c>
    </row>
    <row r="100" spans="1:10" x14ac:dyDescent="0.35">
      <c r="A100">
        <v>1206</v>
      </c>
      <c r="B100" t="s">
        <v>447</v>
      </c>
      <c r="C100" t="s">
        <v>448</v>
      </c>
      <c r="D100" t="s">
        <v>61</v>
      </c>
      <c r="E100" t="b">
        <v>1</v>
      </c>
      <c r="F100" t="b">
        <v>0</v>
      </c>
      <c r="G100" t="b">
        <v>0</v>
      </c>
      <c r="H100" t="b">
        <v>0</v>
      </c>
      <c r="I100" t="b">
        <v>1</v>
      </c>
      <c r="J100" s="1">
        <v>45903</v>
      </c>
    </row>
    <row r="101" spans="1:10" x14ac:dyDescent="0.35">
      <c r="A101">
        <v>1205</v>
      </c>
      <c r="B101" t="s">
        <v>447</v>
      </c>
      <c r="C101" t="s">
        <v>92</v>
      </c>
      <c r="D101" t="s">
        <v>61</v>
      </c>
      <c r="E101" t="b">
        <v>0</v>
      </c>
      <c r="F101" t="b">
        <v>0</v>
      </c>
      <c r="G101" t="b">
        <v>0</v>
      </c>
      <c r="H101" t="b">
        <v>0</v>
      </c>
      <c r="I101" t="b">
        <v>1</v>
      </c>
      <c r="J101" s="1">
        <v>45903</v>
      </c>
    </row>
    <row r="102" spans="1:10" x14ac:dyDescent="0.35">
      <c r="A102">
        <v>1182</v>
      </c>
      <c r="B102" t="s">
        <v>449</v>
      </c>
      <c r="C102" t="s">
        <v>393</v>
      </c>
      <c r="D102" t="s">
        <v>61</v>
      </c>
      <c r="E102" t="b">
        <v>0</v>
      </c>
      <c r="F102" t="b">
        <v>0</v>
      </c>
      <c r="G102" t="b">
        <v>0</v>
      </c>
      <c r="H102" t="b">
        <v>0</v>
      </c>
      <c r="I102" t="b">
        <v>1</v>
      </c>
      <c r="J102" s="1">
        <v>45903</v>
      </c>
    </row>
    <row r="103" spans="1:10" x14ac:dyDescent="0.35">
      <c r="A103">
        <v>1340</v>
      </c>
      <c r="B103" t="s">
        <v>450</v>
      </c>
      <c r="C103" t="s">
        <v>451</v>
      </c>
      <c r="D103" t="s">
        <v>61</v>
      </c>
      <c r="E103" t="b">
        <v>0</v>
      </c>
      <c r="F103" t="b">
        <v>0</v>
      </c>
      <c r="G103" t="b">
        <v>0</v>
      </c>
      <c r="H103" t="b">
        <v>0</v>
      </c>
      <c r="I103" t="b">
        <v>1</v>
      </c>
      <c r="J103" s="1">
        <v>45903</v>
      </c>
    </row>
    <row r="104" spans="1:10" x14ac:dyDescent="0.35">
      <c r="A104">
        <v>913</v>
      </c>
      <c r="B104" t="s">
        <v>452</v>
      </c>
      <c r="C104" t="s">
        <v>428</v>
      </c>
      <c r="D104" t="s">
        <v>61</v>
      </c>
      <c r="E104" t="b">
        <v>0</v>
      </c>
      <c r="F104" t="b">
        <v>0</v>
      </c>
      <c r="G104" t="b">
        <v>0</v>
      </c>
      <c r="H104" t="b">
        <v>0</v>
      </c>
      <c r="I104" t="b">
        <v>1</v>
      </c>
      <c r="J104" s="1">
        <v>45903</v>
      </c>
    </row>
    <row r="105" spans="1:10" x14ac:dyDescent="0.35">
      <c r="A105">
        <v>21</v>
      </c>
      <c r="B105" t="s">
        <v>452</v>
      </c>
      <c r="C105" t="s">
        <v>453</v>
      </c>
      <c r="D105" t="s">
        <v>61</v>
      </c>
      <c r="E105" t="b">
        <v>0</v>
      </c>
      <c r="F105" t="b">
        <v>0</v>
      </c>
      <c r="G105" t="b">
        <v>0</v>
      </c>
      <c r="H105" t="b">
        <v>1</v>
      </c>
      <c r="I105" t="b">
        <v>0</v>
      </c>
      <c r="J105" s="1">
        <v>45903</v>
      </c>
    </row>
    <row r="106" spans="1:10" x14ac:dyDescent="0.35">
      <c r="A106">
        <v>746</v>
      </c>
      <c r="B106" t="s">
        <v>454</v>
      </c>
      <c r="C106" t="s">
        <v>72</v>
      </c>
      <c r="D106" t="s">
        <v>61</v>
      </c>
      <c r="E106" t="b">
        <v>0</v>
      </c>
      <c r="F106" t="b">
        <v>0</v>
      </c>
      <c r="G106" t="b">
        <v>0</v>
      </c>
      <c r="H106" t="b">
        <v>0</v>
      </c>
      <c r="I106" t="b">
        <v>1</v>
      </c>
      <c r="J106" s="1">
        <v>45903</v>
      </c>
    </row>
    <row r="107" spans="1:10" x14ac:dyDescent="0.35">
      <c r="A107">
        <v>1049</v>
      </c>
      <c r="B107" t="s">
        <v>455</v>
      </c>
      <c r="C107" t="s">
        <v>456</v>
      </c>
      <c r="D107" t="s">
        <v>61</v>
      </c>
      <c r="E107" t="b">
        <v>0</v>
      </c>
      <c r="F107" t="b">
        <v>0</v>
      </c>
      <c r="G107" t="b">
        <v>0</v>
      </c>
      <c r="H107" t="b">
        <v>0</v>
      </c>
      <c r="I107" t="b">
        <v>1</v>
      </c>
      <c r="J107" s="1">
        <v>45903</v>
      </c>
    </row>
    <row r="108" spans="1:10" x14ac:dyDescent="0.35">
      <c r="A108">
        <v>547</v>
      </c>
      <c r="B108" t="s">
        <v>457</v>
      </c>
      <c r="C108" t="s">
        <v>363</v>
      </c>
      <c r="D108" t="s">
        <v>61</v>
      </c>
      <c r="E108" t="b">
        <v>0</v>
      </c>
      <c r="F108" t="b">
        <v>0</v>
      </c>
      <c r="G108" t="b">
        <v>0</v>
      </c>
      <c r="H108" t="b">
        <v>1</v>
      </c>
      <c r="I108" t="b">
        <v>0</v>
      </c>
      <c r="J108" s="1">
        <v>45903</v>
      </c>
    </row>
    <row r="109" spans="1:10" x14ac:dyDescent="0.35">
      <c r="A109">
        <v>120</v>
      </c>
      <c r="B109" t="s">
        <v>458</v>
      </c>
      <c r="C109" t="s">
        <v>459</v>
      </c>
      <c r="D109" t="s">
        <v>61</v>
      </c>
      <c r="E109" t="b">
        <v>1</v>
      </c>
      <c r="F109" t="b">
        <v>0</v>
      </c>
      <c r="G109" t="b">
        <v>0</v>
      </c>
      <c r="H109" t="b">
        <v>0</v>
      </c>
      <c r="I109" t="b">
        <v>1</v>
      </c>
      <c r="J109" s="1">
        <v>45903</v>
      </c>
    </row>
    <row r="110" spans="1:10" x14ac:dyDescent="0.35">
      <c r="A110">
        <v>990</v>
      </c>
      <c r="B110" t="s">
        <v>460</v>
      </c>
      <c r="C110" t="s">
        <v>365</v>
      </c>
      <c r="D110" t="s">
        <v>61</v>
      </c>
      <c r="E110" t="b">
        <v>1</v>
      </c>
      <c r="F110" t="b">
        <v>0</v>
      </c>
      <c r="G110" t="b">
        <v>0</v>
      </c>
      <c r="H110" t="b">
        <v>0</v>
      </c>
      <c r="I110" t="b">
        <v>1</v>
      </c>
      <c r="J110" s="1">
        <v>45903</v>
      </c>
    </row>
    <row r="111" spans="1:10" x14ac:dyDescent="0.35">
      <c r="A111">
        <v>1158</v>
      </c>
      <c r="B111" t="s">
        <v>461</v>
      </c>
      <c r="C111" t="s">
        <v>462</v>
      </c>
      <c r="D111" t="s">
        <v>61</v>
      </c>
      <c r="E111" t="b">
        <v>1</v>
      </c>
      <c r="F111" t="b">
        <v>0</v>
      </c>
      <c r="G111" t="b">
        <v>0</v>
      </c>
      <c r="H111" t="b">
        <v>1</v>
      </c>
      <c r="I111" t="b">
        <v>0</v>
      </c>
      <c r="J111" s="1">
        <v>45903</v>
      </c>
    </row>
    <row r="112" spans="1:10" x14ac:dyDescent="0.35">
      <c r="A112">
        <v>23</v>
      </c>
      <c r="B112" t="s">
        <v>463</v>
      </c>
      <c r="C112" t="s">
        <v>67</v>
      </c>
      <c r="D112" t="s">
        <v>61</v>
      </c>
      <c r="E112" t="b">
        <v>0</v>
      </c>
      <c r="F112" t="b">
        <v>0</v>
      </c>
      <c r="G112" t="b">
        <v>0</v>
      </c>
      <c r="H112" t="b">
        <v>0</v>
      </c>
      <c r="I112" t="b">
        <v>1</v>
      </c>
      <c r="J112" s="1">
        <v>45903</v>
      </c>
    </row>
    <row r="113" spans="1:10" x14ac:dyDescent="0.35">
      <c r="A113">
        <v>1152</v>
      </c>
      <c r="B113" t="s">
        <v>464</v>
      </c>
      <c r="C113" t="s">
        <v>465</v>
      </c>
      <c r="D113" t="s">
        <v>349</v>
      </c>
      <c r="E113" t="b">
        <v>1</v>
      </c>
      <c r="F113" t="b">
        <v>0</v>
      </c>
      <c r="G113" t="b">
        <v>1</v>
      </c>
      <c r="H113" t="b">
        <v>0</v>
      </c>
      <c r="I113" t="b">
        <v>0</v>
      </c>
      <c r="J113" s="1">
        <v>45903</v>
      </c>
    </row>
    <row r="114" spans="1:10" x14ac:dyDescent="0.35">
      <c r="A114">
        <v>581</v>
      </c>
      <c r="B114" t="s">
        <v>466</v>
      </c>
      <c r="C114" t="s">
        <v>467</v>
      </c>
      <c r="D114" t="s">
        <v>61</v>
      </c>
      <c r="E114" t="b">
        <v>0</v>
      </c>
      <c r="F114" t="b">
        <v>0</v>
      </c>
      <c r="G114" t="b">
        <v>0</v>
      </c>
      <c r="H114" t="b">
        <v>0</v>
      </c>
      <c r="I114" t="b">
        <v>1</v>
      </c>
      <c r="J114" s="1">
        <v>45903</v>
      </c>
    </row>
    <row r="115" spans="1:10" x14ac:dyDescent="0.35">
      <c r="A115">
        <v>1374</v>
      </c>
      <c r="B115" t="s">
        <v>468</v>
      </c>
      <c r="C115" t="s">
        <v>469</v>
      </c>
      <c r="D115" t="s">
        <v>61</v>
      </c>
      <c r="E115" t="b">
        <v>0</v>
      </c>
      <c r="F115" t="b">
        <v>0</v>
      </c>
      <c r="G115" t="b">
        <v>0</v>
      </c>
      <c r="H115" t="b">
        <v>1</v>
      </c>
      <c r="I115" t="b">
        <v>0</v>
      </c>
      <c r="J115" s="1">
        <v>45903</v>
      </c>
    </row>
    <row r="116" spans="1:10" x14ac:dyDescent="0.35">
      <c r="A116">
        <v>25</v>
      </c>
      <c r="B116" t="s">
        <v>52</v>
      </c>
      <c r="C116" t="s">
        <v>470</v>
      </c>
      <c r="D116" t="s">
        <v>61</v>
      </c>
      <c r="E116" t="b">
        <v>0</v>
      </c>
      <c r="F116" t="b">
        <v>0</v>
      </c>
      <c r="G116" t="b">
        <v>0</v>
      </c>
      <c r="H116" t="b">
        <v>0</v>
      </c>
      <c r="I116" t="b">
        <v>1</v>
      </c>
      <c r="J116" s="1">
        <v>45903</v>
      </c>
    </row>
    <row r="117" spans="1:10" x14ac:dyDescent="0.35">
      <c r="A117">
        <v>1257</v>
      </c>
      <c r="B117" t="s">
        <v>471</v>
      </c>
      <c r="C117" t="s">
        <v>429</v>
      </c>
      <c r="D117" t="s">
        <v>349</v>
      </c>
      <c r="E117" t="b">
        <v>0</v>
      </c>
      <c r="F117" t="b">
        <v>0</v>
      </c>
      <c r="G117" t="b">
        <v>0</v>
      </c>
      <c r="H117" t="b">
        <v>1</v>
      </c>
      <c r="I117" t="b">
        <v>0</v>
      </c>
      <c r="J117" s="1">
        <v>45903</v>
      </c>
    </row>
    <row r="118" spans="1:10" x14ac:dyDescent="0.35">
      <c r="A118">
        <v>1144</v>
      </c>
      <c r="B118" t="s">
        <v>472</v>
      </c>
      <c r="C118" t="s">
        <v>473</v>
      </c>
      <c r="D118" t="s">
        <v>61</v>
      </c>
      <c r="E118" t="b">
        <v>0</v>
      </c>
      <c r="F118" t="b">
        <v>0</v>
      </c>
      <c r="G118" t="b">
        <v>1</v>
      </c>
      <c r="H118" t="b">
        <v>0</v>
      </c>
      <c r="I118" t="b">
        <v>0</v>
      </c>
      <c r="J118" s="1">
        <v>45903</v>
      </c>
    </row>
    <row r="119" spans="1:10" x14ac:dyDescent="0.35">
      <c r="A119">
        <v>415</v>
      </c>
      <c r="B119" t="s">
        <v>472</v>
      </c>
      <c r="C119" t="s">
        <v>474</v>
      </c>
      <c r="D119" t="s">
        <v>61</v>
      </c>
      <c r="E119" t="b">
        <v>0</v>
      </c>
      <c r="F119" t="b">
        <v>0</v>
      </c>
      <c r="G119" t="b">
        <v>0</v>
      </c>
      <c r="H119" t="b">
        <v>0</v>
      </c>
      <c r="I119" t="b">
        <v>1</v>
      </c>
      <c r="J119" s="1">
        <v>45903</v>
      </c>
    </row>
    <row r="120" spans="1:10" x14ac:dyDescent="0.35">
      <c r="A120">
        <v>203</v>
      </c>
      <c r="B120" t="s">
        <v>475</v>
      </c>
      <c r="C120" t="s">
        <v>476</v>
      </c>
      <c r="D120" t="s">
        <v>61</v>
      </c>
      <c r="E120" t="b">
        <v>0</v>
      </c>
      <c r="F120" t="b">
        <v>0</v>
      </c>
      <c r="G120" t="b">
        <v>0</v>
      </c>
      <c r="H120" t="b">
        <v>0</v>
      </c>
      <c r="I120" t="b">
        <v>1</v>
      </c>
      <c r="J120" s="1">
        <v>45903</v>
      </c>
    </row>
    <row r="121" spans="1:10" x14ac:dyDescent="0.35">
      <c r="A121">
        <v>956</v>
      </c>
      <c r="B121" t="s">
        <v>477</v>
      </c>
      <c r="C121" t="s">
        <v>374</v>
      </c>
      <c r="D121" t="s">
        <v>61</v>
      </c>
      <c r="E121" t="b">
        <v>0</v>
      </c>
      <c r="F121" t="b">
        <v>0</v>
      </c>
      <c r="G121" t="b">
        <v>0</v>
      </c>
      <c r="H121" t="b">
        <v>0</v>
      </c>
      <c r="I121" t="b">
        <v>1</v>
      </c>
      <c r="J121" s="1">
        <v>45903</v>
      </c>
    </row>
    <row r="122" spans="1:10" x14ac:dyDescent="0.35">
      <c r="A122">
        <v>1273</v>
      </c>
      <c r="B122" t="s">
        <v>478</v>
      </c>
      <c r="C122" t="s">
        <v>479</v>
      </c>
      <c r="D122" t="s">
        <v>61</v>
      </c>
      <c r="E122" t="b">
        <v>1</v>
      </c>
      <c r="F122" t="b">
        <v>0</v>
      </c>
      <c r="G122" t="b">
        <v>0</v>
      </c>
      <c r="H122" t="b">
        <v>0</v>
      </c>
      <c r="I122" t="b">
        <v>1</v>
      </c>
      <c r="J122" s="1">
        <v>45903</v>
      </c>
    </row>
    <row r="123" spans="1:10" x14ac:dyDescent="0.35">
      <c r="A123">
        <v>1272</v>
      </c>
      <c r="B123" t="s">
        <v>478</v>
      </c>
      <c r="C123" t="s">
        <v>432</v>
      </c>
      <c r="D123" t="s">
        <v>61</v>
      </c>
      <c r="E123" t="b">
        <v>0</v>
      </c>
      <c r="F123" t="b">
        <v>0</v>
      </c>
      <c r="G123" t="b">
        <v>0</v>
      </c>
      <c r="H123" t="b">
        <v>0</v>
      </c>
      <c r="I123" t="b">
        <v>1</v>
      </c>
      <c r="J123" s="1">
        <v>45903</v>
      </c>
    </row>
    <row r="124" spans="1:10" x14ac:dyDescent="0.35">
      <c r="A124">
        <v>846</v>
      </c>
      <c r="B124" t="s">
        <v>480</v>
      </c>
      <c r="C124" t="s">
        <v>481</v>
      </c>
      <c r="D124" t="s">
        <v>61</v>
      </c>
      <c r="E124" t="b">
        <v>0</v>
      </c>
      <c r="F124" t="b">
        <v>0</v>
      </c>
      <c r="G124" t="b">
        <v>0</v>
      </c>
      <c r="H124" t="b">
        <v>0</v>
      </c>
      <c r="I124" t="b">
        <v>1</v>
      </c>
      <c r="J124" s="1">
        <v>45903</v>
      </c>
    </row>
    <row r="125" spans="1:10" x14ac:dyDescent="0.35">
      <c r="A125">
        <v>1162</v>
      </c>
      <c r="B125" t="s">
        <v>482</v>
      </c>
      <c r="C125" t="s">
        <v>429</v>
      </c>
      <c r="D125" t="s">
        <v>61</v>
      </c>
      <c r="E125" t="b">
        <v>0</v>
      </c>
      <c r="F125" t="b">
        <v>0</v>
      </c>
      <c r="G125" t="b">
        <v>0</v>
      </c>
      <c r="H125" t="b">
        <v>1</v>
      </c>
      <c r="I125" t="b">
        <v>0</v>
      </c>
      <c r="J125" s="1">
        <v>45903</v>
      </c>
    </row>
    <row r="126" spans="1:10" x14ac:dyDescent="0.35">
      <c r="A126">
        <v>1244</v>
      </c>
      <c r="B126" t="s">
        <v>483</v>
      </c>
      <c r="C126" t="s">
        <v>374</v>
      </c>
      <c r="D126" t="s">
        <v>61</v>
      </c>
      <c r="E126" t="b">
        <v>0</v>
      </c>
      <c r="F126" t="b">
        <v>0</v>
      </c>
      <c r="G126" t="b">
        <v>0</v>
      </c>
      <c r="H126" t="b">
        <v>0</v>
      </c>
      <c r="I126" t="b">
        <v>1</v>
      </c>
      <c r="J126" s="1">
        <v>45903</v>
      </c>
    </row>
    <row r="127" spans="1:10" x14ac:dyDescent="0.35">
      <c r="A127">
        <v>1379</v>
      </c>
      <c r="B127" t="s">
        <v>483</v>
      </c>
      <c r="C127" t="s">
        <v>484</v>
      </c>
      <c r="D127" t="s">
        <v>61</v>
      </c>
      <c r="E127" t="b">
        <v>1</v>
      </c>
      <c r="F127" t="b">
        <v>0</v>
      </c>
      <c r="G127" t="b">
        <v>0</v>
      </c>
      <c r="H127" t="b">
        <v>1</v>
      </c>
      <c r="I127" t="b">
        <v>0</v>
      </c>
      <c r="J127" s="1">
        <v>45903</v>
      </c>
    </row>
    <row r="128" spans="1:10" x14ac:dyDescent="0.35">
      <c r="A128">
        <v>1296</v>
      </c>
      <c r="B128" t="s">
        <v>485</v>
      </c>
      <c r="C128" t="s">
        <v>429</v>
      </c>
      <c r="D128" t="s">
        <v>61</v>
      </c>
      <c r="E128" t="b">
        <v>0</v>
      </c>
      <c r="F128" t="b">
        <v>0</v>
      </c>
      <c r="G128" t="b">
        <v>0</v>
      </c>
      <c r="H128" t="b">
        <v>1</v>
      </c>
      <c r="I128" t="b">
        <v>0</v>
      </c>
      <c r="J128" s="1">
        <v>45903</v>
      </c>
    </row>
    <row r="129" spans="1:10" x14ac:dyDescent="0.35">
      <c r="A129">
        <v>1362</v>
      </c>
      <c r="B129" t="s">
        <v>486</v>
      </c>
      <c r="C129" t="s">
        <v>487</v>
      </c>
      <c r="D129" t="s">
        <v>61</v>
      </c>
      <c r="E129" t="b">
        <v>1</v>
      </c>
      <c r="F129" t="b">
        <v>0</v>
      </c>
      <c r="G129" t="b">
        <v>0</v>
      </c>
      <c r="H129" t="b">
        <v>0</v>
      </c>
      <c r="I129" t="b">
        <v>1</v>
      </c>
      <c r="J129" s="1">
        <v>45903</v>
      </c>
    </row>
    <row r="130" spans="1:10" x14ac:dyDescent="0.35">
      <c r="A130">
        <v>1229</v>
      </c>
      <c r="B130" t="s">
        <v>488</v>
      </c>
      <c r="C130" t="s">
        <v>489</v>
      </c>
      <c r="D130" t="s">
        <v>61</v>
      </c>
      <c r="E130" t="b">
        <v>1</v>
      </c>
      <c r="F130" t="b">
        <v>0</v>
      </c>
      <c r="G130" t="b">
        <v>0</v>
      </c>
      <c r="H130" t="b">
        <v>1</v>
      </c>
      <c r="I130" t="b">
        <v>0</v>
      </c>
      <c r="J130" s="1">
        <v>45903</v>
      </c>
    </row>
    <row r="131" spans="1:10" x14ac:dyDescent="0.35">
      <c r="A131">
        <v>1198</v>
      </c>
      <c r="B131" t="s">
        <v>490</v>
      </c>
      <c r="C131" t="s">
        <v>491</v>
      </c>
      <c r="D131" t="s">
        <v>61</v>
      </c>
      <c r="E131" t="b">
        <v>0</v>
      </c>
      <c r="F131" t="b">
        <v>0</v>
      </c>
      <c r="G131" t="b">
        <v>0</v>
      </c>
      <c r="H131" t="b">
        <v>0</v>
      </c>
      <c r="I131" t="b">
        <v>1</v>
      </c>
      <c r="J131" s="1">
        <v>45903</v>
      </c>
    </row>
    <row r="132" spans="1:10" x14ac:dyDescent="0.35">
      <c r="A132">
        <v>1260</v>
      </c>
      <c r="B132" t="s">
        <v>492</v>
      </c>
      <c r="C132" t="s">
        <v>112</v>
      </c>
      <c r="D132" t="s">
        <v>61</v>
      </c>
      <c r="E132" t="b">
        <v>1</v>
      </c>
      <c r="F132" t="b">
        <v>0</v>
      </c>
      <c r="G132" t="b">
        <v>0</v>
      </c>
      <c r="H132" t="b">
        <v>0</v>
      </c>
      <c r="I132" t="b">
        <v>1</v>
      </c>
      <c r="J132" s="1">
        <v>45903</v>
      </c>
    </row>
    <row r="133" spans="1:10" x14ac:dyDescent="0.35">
      <c r="A133">
        <v>1361</v>
      </c>
      <c r="B133" t="s">
        <v>493</v>
      </c>
      <c r="C133" t="s">
        <v>494</v>
      </c>
      <c r="D133" t="s">
        <v>61</v>
      </c>
      <c r="E133" t="b">
        <v>0</v>
      </c>
      <c r="F133" t="b">
        <v>0</v>
      </c>
      <c r="G133" t="b">
        <v>0</v>
      </c>
      <c r="H133" t="b">
        <v>0</v>
      </c>
      <c r="I133" t="b">
        <v>1</v>
      </c>
      <c r="J133" s="1">
        <v>45903</v>
      </c>
    </row>
    <row r="134" spans="1:10" x14ac:dyDescent="0.35">
      <c r="A134">
        <v>1100</v>
      </c>
      <c r="B134" t="s">
        <v>495</v>
      </c>
      <c r="C134" t="s">
        <v>63</v>
      </c>
      <c r="D134" t="s">
        <v>61</v>
      </c>
      <c r="E134" t="b">
        <v>0</v>
      </c>
      <c r="F134" t="b">
        <v>0</v>
      </c>
      <c r="G134" t="b">
        <v>0</v>
      </c>
      <c r="H134" t="b">
        <v>0</v>
      </c>
      <c r="I134" t="b">
        <v>1</v>
      </c>
      <c r="J134" s="1">
        <v>45903</v>
      </c>
    </row>
    <row r="135" spans="1:10" x14ac:dyDescent="0.35">
      <c r="A135">
        <v>1385</v>
      </c>
      <c r="B135" t="s">
        <v>496</v>
      </c>
      <c r="C135" t="s">
        <v>6</v>
      </c>
      <c r="D135" t="s">
        <v>61</v>
      </c>
      <c r="E135" t="b">
        <v>0</v>
      </c>
      <c r="F135" t="b">
        <v>0</v>
      </c>
      <c r="G135" t="b">
        <v>0</v>
      </c>
      <c r="H135" t="b">
        <v>1</v>
      </c>
      <c r="I135" t="b">
        <v>0</v>
      </c>
      <c r="J135" s="1">
        <v>45903</v>
      </c>
    </row>
    <row r="136" spans="1:10" x14ac:dyDescent="0.35">
      <c r="A136">
        <v>1373</v>
      </c>
      <c r="B136" t="s">
        <v>497</v>
      </c>
      <c r="C136" t="s">
        <v>54</v>
      </c>
      <c r="D136" t="s">
        <v>61</v>
      </c>
      <c r="E136" t="b">
        <v>0</v>
      </c>
      <c r="F136" t="b">
        <v>0</v>
      </c>
      <c r="G136" t="b">
        <v>0</v>
      </c>
      <c r="H136" t="b">
        <v>0</v>
      </c>
      <c r="I136" t="b">
        <v>1</v>
      </c>
      <c r="J136" s="1">
        <v>45903</v>
      </c>
    </row>
    <row r="137" spans="1:10" x14ac:dyDescent="0.35">
      <c r="A137">
        <v>1252</v>
      </c>
      <c r="B137" t="s">
        <v>498</v>
      </c>
      <c r="C137" t="s">
        <v>499</v>
      </c>
      <c r="D137" t="s">
        <v>61</v>
      </c>
      <c r="E137" t="b">
        <v>0</v>
      </c>
      <c r="F137" t="b">
        <v>0</v>
      </c>
      <c r="G137" t="b">
        <v>0</v>
      </c>
      <c r="H137" t="b">
        <v>0</v>
      </c>
      <c r="I137" t="b">
        <v>1</v>
      </c>
      <c r="J137" s="1">
        <v>45903</v>
      </c>
    </row>
    <row r="138" spans="1:10" x14ac:dyDescent="0.35">
      <c r="A138">
        <v>1363</v>
      </c>
      <c r="B138" t="s">
        <v>500</v>
      </c>
      <c r="C138" t="s">
        <v>501</v>
      </c>
      <c r="D138" t="s">
        <v>61</v>
      </c>
      <c r="E138" t="b">
        <v>1</v>
      </c>
      <c r="F138" t="b">
        <v>0</v>
      </c>
      <c r="G138" t="b">
        <v>0</v>
      </c>
      <c r="H138" t="b">
        <v>1</v>
      </c>
      <c r="I138" t="b">
        <v>0</v>
      </c>
      <c r="J138" s="1">
        <v>45903</v>
      </c>
    </row>
    <row r="139" spans="1:10" x14ac:dyDescent="0.35">
      <c r="A139">
        <v>967</v>
      </c>
      <c r="B139" t="s">
        <v>502</v>
      </c>
      <c r="C139" t="s">
        <v>427</v>
      </c>
      <c r="D139" t="s">
        <v>61</v>
      </c>
      <c r="E139" t="b">
        <v>0</v>
      </c>
      <c r="F139" t="b">
        <v>0</v>
      </c>
      <c r="G139" t="b">
        <v>0</v>
      </c>
      <c r="H139" t="b">
        <v>0</v>
      </c>
      <c r="I139" t="b">
        <v>1</v>
      </c>
      <c r="J139" s="1">
        <v>45903</v>
      </c>
    </row>
    <row r="140" spans="1:10" x14ac:dyDescent="0.35">
      <c r="A140">
        <v>1045</v>
      </c>
      <c r="B140" t="s">
        <v>503</v>
      </c>
      <c r="C140" t="s">
        <v>504</v>
      </c>
      <c r="D140" t="s">
        <v>61</v>
      </c>
      <c r="E140" t="b">
        <v>1</v>
      </c>
      <c r="F140" t="b">
        <v>0</v>
      </c>
      <c r="G140" t="b">
        <v>0</v>
      </c>
      <c r="H140" t="b">
        <v>0</v>
      </c>
      <c r="I140" t="b">
        <v>1</v>
      </c>
      <c r="J140" s="1">
        <v>45903</v>
      </c>
    </row>
    <row r="141" spans="1:10" x14ac:dyDescent="0.35">
      <c r="A141">
        <v>1046</v>
      </c>
      <c r="B141" t="s">
        <v>503</v>
      </c>
      <c r="C141" t="s">
        <v>505</v>
      </c>
      <c r="D141" t="s">
        <v>61</v>
      </c>
      <c r="E141" t="b">
        <v>0</v>
      </c>
      <c r="F141" t="b">
        <v>0</v>
      </c>
      <c r="G141" t="b">
        <v>0</v>
      </c>
      <c r="H141" t="b">
        <v>0</v>
      </c>
      <c r="I141" t="b">
        <v>1</v>
      </c>
      <c r="J141" s="1">
        <v>45903</v>
      </c>
    </row>
    <row r="142" spans="1:10" x14ac:dyDescent="0.35">
      <c r="A142">
        <v>929</v>
      </c>
      <c r="B142" t="s">
        <v>506</v>
      </c>
      <c r="C142" t="s">
        <v>507</v>
      </c>
      <c r="D142" t="s">
        <v>61</v>
      </c>
      <c r="E142" t="b">
        <v>0</v>
      </c>
      <c r="F142" t="b">
        <v>0</v>
      </c>
      <c r="G142" t="b">
        <v>0</v>
      </c>
      <c r="H142" t="b">
        <v>1</v>
      </c>
      <c r="I142" t="b">
        <v>0</v>
      </c>
      <c r="J142" s="1">
        <v>45903</v>
      </c>
    </row>
    <row r="143" spans="1:10" x14ac:dyDescent="0.35">
      <c r="A143">
        <v>1349</v>
      </c>
      <c r="B143" t="s">
        <v>508</v>
      </c>
      <c r="C143" t="s">
        <v>509</v>
      </c>
      <c r="D143" t="s">
        <v>61</v>
      </c>
      <c r="E143" t="b">
        <v>0</v>
      </c>
      <c r="F143" t="b">
        <v>0</v>
      </c>
      <c r="G143" t="b">
        <v>0</v>
      </c>
      <c r="H143" t="b">
        <v>1</v>
      </c>
      <c r="I143" t="b">
        <v>0</v>
      </c>
      <c r="J143" s="1">
        <v>45903</v>
      </c>
    </row>
    <row r="144" spans="1:10" x14ac:dyDescent="0.35">
      <c r="A144">
        <v>1342</v>
      </c>
      <c r="B144" t="s">
        <v>510</v>
      </c>
      <c r="C144" t="s">
        <v>511</v>
      </c>
      <c r="D144" t="s">
        <v>61</v>
      </c>
      <c r="E144" t="b">
        <v>0</v>
      </c>
      <c r="F144" t="b">
        <v>0</v>
      </c>
      <c r="G144" t="b">
        <v>0</v>
      </c>
      <c r="H144" t="b">
        <v>0</v>
      </c>
      <c r="I144" t="b">
        <v>1</v>
      </c>
      <c r="J144" s="1">
        <v>45903</v>
      </c>
    </row>
    <row r="145" spans="1:10" x14ac:dyDescent="0.35">
      <c r="A145">
        <v>771</v>
      </c>
      <c r="B145" t="s">
        <v>512</v>
      </c>
      <c r="C145" t="s">
        <v>513</v>
      </c>
      <c r="D145" t="s">
        <v>61</v>
      </c>
      <c r="E145" t="b">
        <v>0</v>
      </c>
      <c r="F145" t="b">
        <v>0</v>
      </c>
      <c r="G145" t="b">
        <v>0</v>
      </c>
      <c r="H145" t="b">
        <v>0</v>
      </c>
      <c r="I145" t="b">
        <v>1</v>
      </c>
      <c r="J145" s="1">
        <v>45903</v>
      </c>
    </row>
    <row r="146" spans="1:10" x14ac:dyDescent="0.35">
      <c r="A146">
        <v>1265</v>
      </c>
      <c r="B146" t="s">
        <v>514</v>
      </c>
      <c r="C146" t="s">
        <v>515</v>
      </c>
      <c r="D146" t="s">
        <v>61</v>
      </c>
      <c r="E146" t="b">
        <v>0</v>
      </c>
      <c r="F146" t="b">
        <v>0</v>
      </c>
      <c r="G146" t="b">
        <v>0</v>
      </c>
      <c r="H146" t="b">
        <v>0</v>
      </c>
      <c r="I146" t="b">
        <v>1</v>
      </c>
      <c r="J146" s="1">
        <v>45903</v>
      </c>
    </row>
    <row r="147" spans="1:10" x14ac:dyDescent="0.35">
      <c r="A147">
        <v>532</v>
      </c>
      <c r="B147" t="s">
        <v>516</v>
      </c>
      <c r="C147" t="s">
        <v>515</v>
      </c>
      <c r="D147" t="s">
        <v>61</v>
      </c>
      <c r="E147" t="b">
        <v>0</v>
      </c>
      <c r="F147" t="b">
        <v>0</v>
      </c>
      <c r="G147" t="b">
        <v>0</v>
      </c>
      <c r="H147" t="b">
        <v>0</v>
      </c>
      <c r="I147" t="b">
        <v>1</v>
      </c>
      <c r="J147" s="1">
        <v>45903</v>
      </c>
    </row>
    <row r="148" spans="1:10" x14ac:dyDescent="0.35">
      <c r="A148">
        <v>1388</v>
      </c>
      <c r="B148" t="s">
        <v>470</v>
      </c>
      <c r="C148" t="s">
        <v>517</v>
      </c>
      <c r="D148" t="s">
        <v>61</v>
      </c>
      <c r="E148" t="b">
        <v>1</v>
      </c>
      <c r="F148" t="b">
        <v>0</v>
      </c>
      <c r="G148" t="b">
        <v>0</v>
      </c>
      <c r="H148" t="b">
        <v>1</v>
      </c>
      <c r="I148" t="b">
        <v>0</v>
      </c>
      <c r="J148" s="1">
        <v>45903</v>
      </c>
    </row>
    <row r="149" spans="1:10" x14ac:dyDescent="0.35">
      <c r="A149">
        <v>1282</v>
      </c>
      <c r="B149" t="s">
        <v>518</v>
      </c>
      <c r="C149" t="s">
        <v>82</v>
      </c>
      <c r="D149" t="s">
        <v>61</v>
      </c>
      <c r="E149" t="b">
        <v>0</v>
      </c>
      <c r="F149" t="b">
        <v>0</v>
      </c>
      <c r="G149" t="b">
        <v>0</v>
      </c>
      <c r="H149" t="b">
        <v>0</v>
      </c>
      <c r="I149" t="b">
        <v>1</v>
      </c>
      <c r="J149" s="1">
        <v>45903</v>
      </c>
    </row>
    <row r="150" spans="1:10" x14ac:dyDescent="0.35">
      <c r="A150">
        <v>1386</v>
      </c>
      <c r="B150" t="s">
        <v>519</v>
      </c>
      <c r="C150" t="s">
        <v>520</v>
      </c>
      <c r="D150" t="s">
        <v>61</v>
      </c>
      <c r="E150" t="b">
        <v>1</v>
      </c>
      <c r="F150" t="b">
        <v>1</v>
      </c>
      <c r="G150" t="b">
        <v>0</v>
      </c>
      <c r="H150" t="b">
        <v>0</v>
      </c>
      <c r="I150" t="b">
        <v>0</v>
      </c>
      <c r="J150" s="1">
        <v>45903</v>
      </c>
    </row>
    <row r="151" spans="1:10" x14ac:dyDescent="0.35">
      <c r="A151">
        <v>747</v>
      </c>
      <c r="B151" t="s">
        <v>519</v>
      </c>
      <c r="C151" t="s">
        <v>52</v>
      </c>
      <c r="D151" t="s">
        <v>61</v>
      </c>
      <c r="E151" t="b">
        <v>0</v>
      </c>
      <c r="F151" t="b">
        <v>0</v>
      </c>
      <c r="G151" t="b">
        <v>0</v>
      </c>
      <c r="H151" t="b">
        <v>1</v>
      </c>
      <c r="I151" t="b">
        <v>0</v>
      </c>
      <c r="J151" s="1">
        <v>45903</v>
      </c>
    </row>
    <row r="152" spans="1:10" x14ac:dyDescent="0.35">
      <c r="A152">
        <v>1298</v>
      </c>
      <c r="B152" t="s">
        <v>519</v>
      </c>
      <c r="C152" t="s">
        <v>409</v>
      </c>
      <c r="D152" t="s">
        <v>61</v>
      </c>
      <c r="E152" t="b">
        <v>1</v>
      </c>
      <c r="F152" t="b">
        <v>0</v>
      </c>
      <c r="G152" t="b">
        <v>0</v>
      </c>
      <c r="H152" t="b">
        <v>0</v>
      </c>
      <c r="I152" t="b">
        <v>1</v>
      </c>
      <c r="J152" s="1">
        <v>45903</v>
      </c>
    </row>
    <row r="153" spans="1:10" x14ac:dyDescent="0.35">
      <c r="A153">
        <v>742</v>
      </c>
      <c r="B153" t="s">
        <v>519</v>
      </c>
      <c r="C153" t="s">
        <v>436</v>
      </c>
      <c r="D153" t="s">
        <v>61</v>
      </c>
      <c r="E153" t="b">
        <v>1</v>
      </c>
      <c r="F153" t="b">
        <v>0</v>
      </c>
      <c r="G153" t="b">
        <v>0</v>
      </c>
      <c r="H153" t="b">
        <v>0</v>
      </c>
      <c r="I153" t="b">
        <v>1</v>
      </c>
      <c r="J153" s="1">
        <v>45903</v>
      </c>
    </row>
    <row r="154" spans="1:10" x14ac:dyDescent="0.35">
      <c r="A154">
        <v>741</v>
      </c>
      <c r="B154" t="s">
        <v>519</v>
      </c>
      <c r="C154" t="s">
        <v>521</v>
      </c>
      <c r="D154" t="s">
        <v>61</v>
      </c>
      <c r="E154" t="b">
        <v>0</v>
      </c>
      <c r="F154" t="b">
        <v>0</v>
      </c>
      <c r="G154" t="b">
        <v>0</v>
      </c>
      <c r="H154" t="b">
        <v>0</v>
      </c>
      <c r="I154" t="b">
        <v>1</v>
      </c>
      <c r="J154" s="1">
        <v>45903</v>
      </c>
    </row>
    <row r="155" spans="1:10" x14ac:dyDescent="0.35">
      <c r="A155">
        <v>1221</v>
      </c>
      <c r="B155" t="s">
        <v>522</v>
      </c>
      <c r="C155" t="s">
        <v>54</v>
      </c>
      <c r="D155" t="s">
        <v>61</v>
      </c>
      <c r="E155" t="b">
        <v>0</v>
      </c>
      <c r="F155" t="b">
        <v>0</v>
      </c>
      <c r="G155" t="b">
        <v>0</v>
      </c>
      <c r="H155" t="b">
        <v>1</v>
      </c>
      <c r="I155" t="b">
        <v>0</v>
      </c>
      <c r="J155" s="1">
        <v>45903</v>
      </c>
    </row>
    <row r="156" spans="1:10" x14ac:dyDescent="0.35">
      <c r="A156">
        <v>900</v>
      </c>
      <c r="B156" t="s">
        <v>523</v>
      </c>
      <c r="C156" t="s">
        <v>97</v>
      </c>
      <c r="D156" t="s">
        <v>61</v>
      </c>
      <c r="E156" t="b">
        <v>0</v>
      </c>
      <c r="F156" t="b">
        <v>0</v>
      </c>
      <c r="G156" t="b">
        <v>0</v>
      </c>
      <c r="H156" t="b">
        <v>0</v>
      </c>
      <c r="I156" t="b">
        <v>1</v>
      </c>
      <c r="J156" s="1">
        <v>45903</v>
      </c>
    </row>
    <row r="157" spans="1:10" x14ac:dyDescent="0.35">
      <c r="A157">
        <v>1165</v>
      </c>
      <c r="B157" t="s">
        <v>524</v>
      </c>
      <c r="C157" t="s">
        <v>456</v>
      </c>
      <c r="D157" t="s">
        <v>61</v>
      </c>
      <c r="E157" t="b">
        <v>0</v>
      </c>
      <c r="F157" t="b">
        <v>0</v>
      </c>
      <c r="G157" t="b">
        <v>0</v>
      </c>
      <c r="H157" t="b">
        <v>0</v>
      </c>
      <c r="I157" t="b">
        <v>1</v>
      </c>
      <c r="J157" s="1">
        <v>45903</v>
      </c>
    </row>
    <row r="158" spans="1:10" x14ac:dyDescent="0.35">
      <c r="A158">
        <v>405</v>
      </c>
      <c r="B158" t="s">
        <v>525</v>
      </c>
      <c r="C158" t="s">
        <v>515</v>
      </c>
      <c r="D158" t="s">
        <v>61</v>
      </c>
      <c r="E158" t="b">
        <v>0</v>
      </c>
      <c r="F158" t="b">
        <v>0</v>
      </c>
      <c r="G158" t="b">
        <v>0</v>
      </c>
      <c r="H158" t="b">
        <v>0</v>
      </c>
      <c r="I158" t="b">
        <v>1</v>
      </c>
      <c r="J158" s="1">
        <v>45903</v>
      </c>
    </row>
    <row r="159" spans="1:10" x14ac:dyDescent="0.35">
      <c r="A159">
        <v>1346</v>
      </c>
      <c r="B159" t="s">
        <v>526</v>
      </c>
      <c r="C159" t="s">
        <v>527</v>
      </c>
      <c r="D159" t="s">
        <v>61</v>
      </c>
      <c r="E159" t="b">
        <v>0</v>
      </c>
      <c r="F159" t="b">
        <v>0</v>
      </c>
      <c r="G159" t="b">
        <v>0</v>
      </c>
      <c r="H159" t="b">
        <v>0</v>
      </c>
      <c r="I159" t="b">
        <v>1</v>
      </c>
      <c r="J159" s="1">
        <v>45903</v>
      </c>
    </row>
    <row r="160" spans="1:10" x14ac:dyDescent="0.35">
      <c r="A160">
        <v>1364</v>
      </c>
      <c r="B160" t="s">
        <v>528</v>
      </c>
      <c r="C160" t="s">
        <v>529</v>
      </c>
      <c r="D160" t="s">
        <v>61</v>
      </c>
      <c r="E160" t="b">
        <v>0</v>
      </c>
      <c r="F160" t="b">
        <v>0</v>
      </c>
      <c r="G160" t="b">
        <v>0</v>
      </c>
      <c r="H160" t="b">
        <v>0</v>
      </c>
      <c r="I160" t="b">
        <v>1</v>
      </c>
      <c r="J160" s="1">
        <v>45903</v>
      </c>
    </row>
    <row r="161" spans="1:10" x14ac:dyDescent="0.35">
      <c r="A161">
        <v>1210</v>
      </c>
      <c r="B161" t="s">
        <v>530</v>
      </c>
      <c r="C161" t="s">
        <v>80</v>
      </c>
      <c r="D161" t="s">
        <v>61</v>
      </c>
      <c r="E161" t="b">
        <v>0</v>
      </c>
      <c r="F161" t="b">
        <v>0</v>
      </c>
      <c r="G161" t="b">
        <v>0</v>
      </c>
      <c r="H161" t="b">
        <v>0</v>
      </c>
      <c r="I161" t="b">
        <v>1</v>
      </c>
      <c r="J161" s="1">
        <v>45903</v>
      </c>
    </row>
    <row r="162" spans="1:10" x14ac:dyDescent="0.35">
      <c r="A162">
        <v>1192</v>
      </c>
      <c r="B162" t="s">
        <v>531</v>
      </c>
      <c r="C162" t="s">
        <v>532</v>
      </c>
      <c r="D162" t="s">
        <v>61</v>
      </c>
      <c r="E162" t="b">
        <v>0</v>
      </c>
      <c r="F162" t="b">
        <v>0</v>
      </c>
      <c r="G162" t="b">
        <v>0</v>
      </c>
      <c r="H162" t="b">
        <v>0</v>
      </c>
      <c r="I162" t="b">
        <v>1</v>
      </c>
      <c r="J162" s="1">
        <v>45903</v>
      </c>
    </row>
    <row r="163" spans="1:10" x14ac:dyDescent="0.35">
      <c r="A163">
        <v>1157</v>
      </c>
      <c r="B163" t="s">
        <v>533</v>
      </c>
      <c r="C163" t="s">
        <v>67</v>
      </c>
      <c r="D163" t="s">
        <v>61</v>
      </c>
      <c r="E163" t="b">
        <v>0</v>
      </c>
      <c r="F163" t="b">
        <v>0</v>
      </c>
      <c r="G163" t="b">
        <v>0</v>
      </c>
      <c r="H163" t="b">
        <v>1</v>
      </c>
      <c r="I163" t="b">
        <v>0</v>
      </c>
      <c r="J163" s="1">
        <v>45903</v>
      </c>
    </row>
    <row r="164" spans="1:10" x14ac:dyDescent="0.35">
      <c r="A164">
        <v>1357</v>
      </c>
      <c r="B164" t="s">
        <v>534</v>
      </c>
      <c r="C164" t="s">
        <v>63</v>
      </c>
      <c r="D164" t="s">
        <v>61</v>
      </c>
      <c r="E164" t="b">
        <v>0</v>
      </c>
      <c r="F164" t="b">
        <v>0</v>
      </c>
      <c r="G164" t="b">
        <v>0</v>
      </c>
      <c r="H164" t="b">
        <v>0</v>
      </c>
      <c r="I164" t="b">
        <v>1</v>
      </c>
      <c r="J164" s="1">
        <v>45903</v>
      </c>
    </row>
    <row r="165" spans="1:10" x14ac:dyDescent="0.35">
      <c r="A165">
        <v>1358</v>
      </c>
      <c r="B165" t="s">
        <v>534</v>
      </c>
      <c r="C165" t="s">
        <v>535</v>
      </c>
      <c r="D165" t="s">
        <v>61</v>
      </c>
      <c r="E165" t="b">
        <v>1</v>
      </c>
      <c r="F165" t="b">
        <v>0</v>
      </c>
      <c r="G165" t="b">
        <v>0</v>
      </c>
      <c r="H165" t="b">
        <v>0</v>
      </c>
      <c r="I165" t="b">
        <v>1</v>
      </c>
      <c r="J165" s="1">
        <v>45903</v>
      </c>
    </row>
    <row r="166" spans="1:10" x14ac:dyDescent="0.35">
      <c r="A166">
        <v>1359</v>
      </c>
      <c r="B166" t="s">
        <v>534</v>
      </c>
      <c r="C166" t="s">
        <v>80</v>
      </c>
      <c r="D166" t="s">
        <v>61</v>
      </c>
      <c r="E166" t="b">
        <v>0</v>
      </c>
      <c r="F166" t="b">
        <v>0</v>
      </c>
      <c r="G166" t="b">
        <v>1</v>
      </c>
      <c r="H166" t="b">
        <v>0</v>
      </c>
      <c r="I166" t="b">
        <v>0</v>
      </c>
      <c r="J166" s="1">
        <v>45903</v>
      </c>
    </row>
    <row r="167" spans="1:10" x14ac:dyDescent="0.35">
      <c r="A167">
        <v>1360</v>
      </c>
      <c r="B167" t="s">
        <v>534</v>
      </c>
      <c r="C167" t="s">
        <v>536</v>
      </c>
      <c r="D167" t="s">
        <v>61</v>
      </c>
      <c r="E167" t="b">
        <v>1</v>
      </c>
      <c r="F167" t="b">
        <v>1</v>
      </c>
      <c r="G167" t="b">
        <v>0</v>
      </c>
      <c r="H167" t="b">
        <v>0</v>
      </c>
      <c r="I167" t="b">
        <v>0</v>
      </c>
      <c r="J167" s="1">
        <v>45903</v>
      </c>
    </row>
    <row r="168" spans="1:10" x14ac:dyDescent="0.35">
      <c r="A168">
        <v>1093</v>
      </c>
      <c r="B168" t="s">
        <v>537</v>
      </c>
      <c r="C168" t="s">
        <v>97</v>
      </c>
      <c r="D168" t="s">
        <v>61</v>
      </c>
      <c r="E168" t="b">
        <v>0</v>
      </c>
      <c r="F168" t="b">
        <v>0</v>
      </c>
      <c r="G168" t="b">
        <v>0</v>
      </c>
      <c r="H168" t="b">
        <v>1</v>
      </c>
      <c r="I168" t="b">
        <v>0</v>
      </c>
      <c r="J168" s="1">
        <v>45903</v>
      </c>
    </row>
    <row r="169" spans="1:10" x14ac:dyDescent="0.35">
      <c r="A169">
        <v>1107</v>
      </c>
      <c r="B169" t="s">
        <v>538</v>
      </c>
      <c r="C169" t="s">
        <v>539</v>
      </c>
      <c r="D169" t="s">
        <v>61</v>
      </c>
      <c r="E169" t="b">
        <v>1</v>
      </c>
      <c r="F169" t="b">
        <v>0</v>
      </c>
      <c r="G169" t="b">
        <v>0</v>
      </c>
      <c r="H169" t="b">
        <v>1</v>
      </c>
      <c r="I169" t="b">
        <v>0</v>
      </c>
      <c r="J169" s="1">
        <v>45903</v>
      </c>
    </row>
    <row r="170" spans="1:10" x14ac:dyDescent="0.35">
      <c r="A170">
        <v>35</v>
      </c>
      <c r="B170" t="s">
        <v>540</v>
      </c>
      <c r="C170" t="s">
        <v>541</v>
      </c>
      <c r="D170" t="s">
        <v>61</v>
      </c>
      <c r="E170" t="b">
        <v>0</v>
      </c>
      <c r="F170" t="b">
        <v>0</v>
      </c>
      <c r="G170" t="b">
        <v>0</v>
      </c>
      <c r="H170" t="b">
        <v>0</v>
      </c>
      <c r="I170" t="b">
        <v>1</v>
      </c>
      <c r="J170" s="1">
        <v>45903</v>
      </c>
    </row>
    <row r="171" spans="1:10" x14ac:dyDescent="0.35">
      <c r="A171">
        <v>1094</v>
      </c>
      <c r="B171" t="s">
        <v>542</v>
      </c>
      <c r="C171" t="s">
        <v>95</v>
      </c>
      <c r="D171" t="s">
        <v>61</v>
      </c>
      <c r="E171" t="b">
        <v>0</v>
      </c>
      <c r="F171" t="b">
        <v>0</v>
      </c>
      <c r="G171" t="b">
        <v>0</v>
      </c>
      <c r="H171" t="b">
        <v>0</v>
      </c>
      <c r="I171" t="b">
        <v>1</v>
      </c>
      <c r="J171" s="1">
        <v>45903</v>
      </c>
    </row>
    <row r="172" spans="1:10" x14ac:dyDescent="0.35">
      <c r="A172">
        <v>1325</v>
      </c>
      <c r="B172" t="s">
        <v>543</v>
      </c>
      <c r="C172" t="s">
        <v>544</v>
      </c>
      <c r="D172" t="s">
        <v>61</v>
      </c>
      <c r="E172" t="b">
        <v>0</v>
      </c>
      <c r="F172" t="b">
        <v>0</v>
      </c>
      <c r="G172" t="b">
        <v>0</v>
      </c>
      <c r="H172" t="b">
        <v>0</v>
      </c>
      <c r="I172" t="b">
        <v>1</v>
      </c>
      <c r="J172" s="1">
        <v>45903</v>
      </c>
    </row>
    <row r="173" spans="1:10" x14ac:dyDescent="0.35">
      <c r="A173">
        <v>1143</v>
      </c>
      <c r="B173" t="s">
        <v>545</v>
      </c>
      <c r="C173" t="s">
        <v>521</v>
      </c>
      <c r="D173" t="s">
        <v>61</v>
      </c>
      <c r="E173" t="b">
        <v>0</v>
      </c>
      <c r="F173" t="b">
        <v>0</v>
      </c>
      <c r="G173" t="b">
        <v>0</v>
      </c>
      <c r="H173" t="b">
        <v>0</v>
      </c>
      <c r="I173" t="b">
        <v>1</v>
      </c>
      <c r="J173" s="1">
        <v>45903</v>
      </c>
    </row>
    <row r="174" spans="1:10" x14ac:dyDescent="0.35">
      <c r="A174">
        <v>576</v>
      </c>
      <c r="B174" t="s">
        <v>546</v>
      </c>
      <c r="C174" t="s">
        <v>513</v>
      </c>
      <c r="D174" t="s">
        <v>61</v>
      </c>
      <c r="E174" t="b">
        <v>0</v>
      </c>
      <c r="F174" t="b">
        <v>0</v>
      </c>
      <c r="G174" t="b">
        <v>0</v>
      </c>
      <c r="H174" t="b">
        <v>0</v>
      </c>
      <c r="I174" t="b">
        <v>1</v>
      </c>
      <c r="J174" s="1">
        <v>45903</v>
      </c>
    </row>
    <row r="175" spans="1:10" x14ac:dyDescent="0.35">
      <c r="A175">
        <v>38</v>
      </c>
      <c r="B175" t="s">
        <v>547</v>
      </c>
      <c r="C175" t="s">
        <v>548</v>
      </c>
      <c r="D175" t="s">
        <v>61</v>
      </c>
      <c r="E175" t="b">
        <v>0</v>
      </c>
      <c r="F175" t="b">
        <v>0</v>
      </c>
      <c r="G175" t="b">
        <v>0</v>
      </c>
      <c r="H175" t="b">
        <v>0</v>
      </c>
      <c r="I175" t="b">
        <v>1</v>
      </c>
      <c r="J175" s="1">
        <v>45903</v>
      </c>
    </row>
    <row r="176" spans="1:10" x14ac:dyDescent="0.35">
      <c r="A176">
        <v>245</v>
      </c>
      <c r="B176" t="s">
        <v>549</v>
      </c>
      <c r="C176" t="s">
        <v>54</v>
      </c>
      <c r="D176" t="s">
        <v>61</v>
      </c>
      <c r="E176" t="b">
        <v>0</v>
      </c>
      <c r="F176" t="b">
        <v>0</v>
      </c>
      <c r="G176" t="b">
        <v>0</v>
      </c>
      <c r="H176" t="b">
        <v>0</v>
      </c>
      <c r="I176" t="b">
        <v>1</v>
      </c>
      <c r="J176" s="1">
        <v>45903</v>
      </c>
    </row>
    <row r="177" spans="1:10" x14ac:dyDescent="0.35">
      <c r="A177">
        <v>39</v>
      </c>
      <c r="B177" t="s">
        <v>549</v>
      </c>
      <c r="C177" t="s">
        <v>107</v>
      </c>
      <c r="D177" t="s">
        <v>61</v>
      </c>
      <c r="E177" t="b">
        <v>0</v>
      </c>
      <c r="F177" t="b">
        <v>0</v>
      </c>
      <c r="G177" t="b">
        <v>0</v>
      </c>
      <c r="H177" t="b">
        <v>0</v>
      </c>
      <c r="I177" t="b">
        <v>1</v>
      </c>
      <c r="J177" s="1">
        <v>45903</v>
      </c>
    </row>
    <row r="178" spans="1:10" x14ac:dyDescent="0.35">
      <c r="A178">
        <v>508</v>
      </c>
      <c r="B178" t="s">
        <v>550</v>
      </c>
      <c r="C178" t="s">
        <v>88</v>
      </c>
      <c r="D178" t="s">
        <v>61</v>
      </c>
      <c r="E178" t="b">
        <v>0</v>
      </c>
      <c r="F178" t="b">
        <v>0</v>
      </c>
      <c r="G178" t="b">
        <v>0</v>
      </c>
      <c r="H178" t="b">
        <v>0</v>
      </c>
      <c r="I178" t="b">
        <v>1</v>
      </c>
      <c r="J178" s="1">
        <v>45903</v>
      </c>
    </row>
    <row r="179" spans="1:10" x14ac:dyDescent="0.35">
      <c r="A179">
        <v>1025</v>
      </c>
      <c r="B179" t="s">
        <v>551</v>
      </c>
      <c r="C179" t="s">
        <v>552</v>
      </c>
      <c r="D179" t="s">
        <v>61</v>
      </c>
      <c r="E179" t="b">
        <v>0</v>
      </c>
      <c r="F179" t="b">
        <v>1</v>
      </c>
      <c r="G179" t="b">
        <v>0</v>
      </c>
      <c r="H179" t="b">
        <v>0</v>
      </c>
      <c r="I179" t="b">
        <v>0</v>
      </c>
      <c r="J179" s="1">
        <v>45903</v>
      </c>
    </row>
    <row r="180" spans="1:10" x14ac:dyDescent="0.35">
      <c r="A180">
        <v>1024</v>
      </c>
      <c r="B180" t="s">
        <v>551</v>
      </c>
      <c r="C180" t="s">
        <v>553</v>
      </c>
      <c r="D180" t="s">
        <v>61</v>
      </c>
      <c r="E180" t="b">
        <v>0</v>
      </c>
      <c r="F180" t="b">
        <v>1</v>
      </c>
      <c r="G180" t="b">
        <v>0</v>
      </c>
      <c r="H180" t="b">
        <v>0</v>
      </c>
      <c r="I180" t="b">
        <v>0</v>
      </c>
      <c r="J180" s="1">
        <v>45903</v>
      </c>
    </row>
    <row r="181" spans="1:10" x14ac:dyDescent="0.35">
      <c r="A181">
        <v>1023</v>
      </c>
      <c r="B181" t="s">
        <v>551</v>
      </c>
      <c r="C181" t="s">
        <v>70</v>
      </c>
      <c r="D181" t="s">
        <v>61</v>
      </c>
      <c r="E181" t="b">
        <v>0</v>
      </c>
      <c r="F181" t="b">
        <v>0</v>
      </c>
      <c r="G181" t="b">
        <v>0</v>
      </c>
      <c r="H181" t="b">
        <v>1</v>
      </c>
      <c r="I181" t="b">
        <v>0</v>
      </c>
      <c r="J181" s="1">
        <v>45903</v>
      </c>
    </row>
    <row r="182" spans="1:10" x14ac:dyDescent="0.35">
      <c r="A182">
        <v>1232</v>
      </c>
      <c r="B182" t="s">
        <v>551</v>
      </c>
      <c r="C182" t="s">
        <v>554</v>
      </c>
      <c r="D182" t="s">
        <v>61</v>
      </c>
      <c r="E182" t="b">
        <v>1</v>
      </c>
      <c r="F182" t="b">
        <v>0</v>
      </c>
      <c r="G182" t="b">
        <v>0</v>
      </c>
      <c r="H182" t="b">
        <v>0</v>
      </c>
      <c r="I182" t="b">
        <v>1</v>
      </c>
      <c r="J182" s="1">
        <v>45903</v>
      </c>
    </row>
    <row r="183" spans="1:10" x14ac:dyDescent="0.35">
      <c r="A183">
        <v>1141</v>
      </c>
      <c r="B183" t="s">
        <v>555</v>
      </c>
      <c r="C183" t="s">
        <v>556</v>
      </c>
      <c r="D183" t="s">
        <v>61</v>
      </c>
      <c r="E183" t="b">
        <v>1</v>
      </c>
      <c r="F183" t="b">
        <v>0</v>
      </c>
      <c r="G183" t="b">
        <v>0</v>
      </c>
      <c r="H183" t="b">
        <v>0</v>
      </c>
      <c r="I183" t="b">
        <v>1</v>
      </c>
      <c r="J183" s="1">
        <v>45903</v>
      </c>
    </row>
    <row r="184" spans="1:10" x14ac:dyDescent="0.35">
      <c r="A184">
        <v>891</v>
      </c>
      <c r="B184" t="s">
        <v>557</v>
      </c>
      <c r="C184" t="s">
        <v>558</v>
      </c>
      <c r="D184" t="s">
        <v>61</v>
      </c>
      <c r="E184" t="b">
        <v>1</v>
      </c>
      <c r="F184" t="b">
        <v>0</v>
      </c>
      <c r="G184" t="b">
        <v>0</v>
      </c>
      <c r="H184" t="b">
        <v>1</v>
      </c>
      <c r="I184" t="b">
        <v>0</v>
      </c>
      <c r="J184" s="1">
        <v>45903</v>
      </c>
    </row>
    <row r="185" spans="1:10" x14ac:dyDescent="0.35">
      <c r="A185">
        <v>1191</v>
      </c>
      <c r="B185" t="s">
        <v>559</v>
      </c>
      <c r="C185" t="s">
        <v>429</v>
      </c>
      <c r="D185" t="s">
        <v>61</v>
      </c>
      <c r="E185" t="b">
        <v>0</v>
      </c>
      <c r="F185" t="b">
        <v>0</v>
      </c>
      <c r="G185" t="b">
        <v>0</v>
      </c>
      <c r="H185" t="b">
        <v>0</v>
      </c>
      <c r="I185" t="b">
        <v>1</v>
      </c>
      <c r="J185" s="1">
        <v>45903</v>
      </c>
    </row>
    <row r="186" spans="1:10" x14ac:dyDescent="0.35">
      <c r="A186">
        <v>1225</v>
      </c>
      <c r="B186" t="s">
        <v>559</v>
      </c>
      <c r="C186" t="s">
        <v>560</v>
      </c>
      <c r="D186" t="s">
        <v>61</v>
      </c>
      <c r="E186" t="b">
        <v>0</v>
      </c>
      <c r="F186" t="b">
        <v>0</v>
      </c>
      <c r="G186" t="b">
        <v>0</v>
      </c>
      <c r="H186" t="b">
        <v>1</v>
      </c>
      <c r="I186" t="b">
        <v>0</v>
      </c>
      <c r="J186" s="1">
        <v>45903</v>
      </c>
    </row>
    <row r="187" spans="1:10" x14ac:dyDescent="0.35">
      <c r="A187">
        <v>1350</v>
      </c>
      <c r="B187" t="s">
        <v>561</v>
      </c>
      <c r="C187" t="s">
        <v>562</v>
      </c>
      <c r="D187" t="s">
        <v>61</v>
      </c>
      <c r="E187" t="b">
        <v>0</v>
      </c>
      <c r="F187" t="b">
        <v>0</v>
      </c>
      <c r="G187" t="b">
        <v>0</v>
      </c>
      <c r="H187" t="b">
        <v>1</v>
      </c>
      <c r="I187" t="b">
        <v>0</v>
      </c>
      <c r="J187" s="1">
        <v>45903</v>
      </c>
    </row>
    <row r="188" spans="1:10" x14ac:dyDescent="0.35">
      <c r="A188">
        <v>1352</v>
      </c>
      <c r="B188" t="s">
        <v>563</v>
      </c>
      <c r="C188" t="s">
        <v>63</v>
      </c>
      <c r="D188" t="s">
        <v>61</v>
      </c>
      <c r="E188" t="b">
        <v>0</v>
      </c>
      <c r="F188" t="b">
        <v>0</v>
      </c>
      <c r="G188" t="b">
        <v>0</v>
      </c>
      <c r="H188" t="b">
        <v>0</v>
      </c>
      <c r="I188" t="b">
        <v>1</v>
      </c>
      <c r="J188" s="1">
        <v>45903</v>
      </c>
    </row>
    <row r="189" spans="1:10" x14ac:dyDescent="0.35">
      <c r="A189">
        <v>597</v>
      </c>
      <c r="B189" t="s">
        <v>564</v>
      </c>
      <c r="C189" t="s">
        <v>565</v>
      </c>
      <c r="D189" t="s">
        <v>61</v>
      </c>
      <c r="E189" t="b">
        <v>0</v>
      </c>
      <c r="F189" t="b">
        <v>0</v>
      </c>
      <c r="G189" t="b">
        <v>0</v>
      </c>
      <c r="H189" t="b">
        <v>0</v>
      </c>
      <c r="I189" t="b">
        <v>1</v>
      </c>
      <c r="J189" s="1">
        <v>45903</v>
      </c>
    </row>
    <row r="190" spans="1:10" x14ac:dyDescent="0.35">
      <c r="A190">
        <v>1339</v>
      </c>
      <c r="B190" t="s">
        <v>566</v>
      </c>
      <c r="C190" t="s">
        <v>567</v>
      </c>
      <c r="D190" t="s">
        <v>61</v>
      </c>
      <c r="E190" t="b">
        <v>0</v>
      </c>
      <c r="F190" t="b">
        <v>0</v>
      </c>
      <c r="G190" t="b">
        <v>0</v>
      </c>
      <c r="H190" t="b">
        <v>1</v>
      </c>
      <c r="I190" t="b">
        <v>0</v>
      </c>
      <c r="J190" s="1">
        <v>45903</v>
      </c>
    </row>
    <row r="191" spans="1:10" x14ac:dyDescent="0.35">
      <c r="A191">
        <v>914</v>
      </c>
      <c r="B191" t="s">
        <v>568</v>
      </c>
      <c r="C191" t="s">
        <v>428</v>
      </c>
      <c r="D191" t="s">
        <v>61</v>
      </c>
      <c r="E191" t="b">
        <v>0</v>
      </c>
      <c r="F191" t="b">
        <v>0</v>
      </c>
      <c r="G191" t="b">
        <v>0</v>
      </c>
      <c r="H191" t="b">
        <v>0</v>
      </c>
      <c r="I191" t="b">
        <v>1</v>
      </c>
      <c r="J191" s="1">
        <v>45903</v>
      </c>
    </row>
    <row r="192" spans="1:10" x14ac:dyDescent="0.35">
      <c r="A192">
        <v>1038</v>
      </c>
      <c r="B192" t="s">
        <v>568</v>
      </c>
      <c r="C192" t="s">
        <v>82</v>
      </c>
      <c r="D192" t="s">
        <v>61</v>
      </c>
      <c r="E192" t="b">
        <v>0</v>
      </c>
      <c r="F192" t="b">
        <v>0</v>
      </c>
      <c r="G192" t="b">
        <v>0</v>
      </c>
      <c r="H192" t="b">
        <v>0</v>
      </c>
      <c r="I192" t="b">
        <v>1</v>
      </c>
      <c r="J192" s="1">
        <v>45903</v>
      </c>
    </row>
    <row r="193" spans="1:10" x14ac:dyDescent="0.35">
      <c r="A193">
        <v>1347</v>
      </c>
      <c r="B193" t="s">
        <v>569</v>
      </c>
      <c r="C193" t="s">
        <v>383</v>
      </c>
      <c r="D193" t="s">
        <v>61</v>
      </c>
      <c r="E193" t="b">
        <v>0</v>
      </c>
      <c r="F193" t="b">
        <v>0</v>
      </c>
      <c r="G193" t="b">
        <v>0</v>
      </c>
      <c r="H193" t="b">
        <v>1</v>
      </c>
      <c r="I193" t="b">
        <v>0</v>
      </c>
      <c r="J193" s="1">
        <v>45903</v>
      </c>
    </row>
    <row r="194" spans="1:10" x14ac:dyDescent="0.35">
      <c r="A194">
        <v>1380</v>
      </c>
      <c r="B194" t="s">
        <v>570</v>
      </c>
      <c r="C194" t="s">
        <v>571</v>
      </c>
      <c r="D194" t="s">
        <v>61</v>
      </c>
      <c r="E194" t="b">
        <v>1</v>
      </c>
      <c r="F194" t="b">
        <v>0</v>
      </c>
      <c r="G194" t="b">
        <v>0</v>
      </c>
      <c r="H194" t="b">
        <v>0</v>
      </c>
      <c r="I194" t="b">
        <v>1</v>
      </c>
      <c r="J194" s="1">
        <v>45903</v>
      </c>
    </row>
    <row r="195" spans="1:10" x14ac:dyDescent="0.35">
      <c r="A195">
        <v>1242</v>
      </c>
      <c r="B195" t="s">
        <v>572</v>
      </c>
      <c r="C195" t="s">
        <v>467</v>
      </c>
      <c r="D195" t="s">
        <v>61</v>
      </c>
      <c r="E195" t="b">
        <v>0</v>
      </c>
      <c r="F195" t="b">
        <v>0</v>
      </c>
      <c r="G195" t="b">
        <v>0</v>
      </c>
      <c r="H195" t="b">
        <v>0</v>
      </c>
      <c r="I195" t="b">
        <v>1</v>
      </c>
      <c r="J195" s="1">
        <v>45903</v>
      </c>
    </row>
    <row r="196" spans="1:10" x14ac:dyDescent="0.35">
      <c r="A196">
        <v>1048</v>
      </c>
      <c r="B196" t="s">
        <v>573</v>
      </c>
      <c r="C196" t="s">
        <v>95</v>
      </c>
      <c r="D196" t="s">
        <v>61</v>
      </c>
      <c r="E196" t="b">
        <v>0</v>
      </c>
      <c r="F196" t="b">
        <v>0</v>
      </c>
      <c r="G196" t="b">
        <v>0</v>
      </c>
      <c r="H196" t="b">
        <v>0</v>
      </c>
      <c r="I196" t="b">
        <v>1</v>
      </c>
      <c r="J196" s="1">
        <v>45903</v>
      </c>
    </row>
    <row r="197" spans="1:10" x14ac:dyDescent="0.35">
      <c r="A197">
        <v>1055</v>
      </c>
      <c r="B197" t="s">
        <v>573</v>
      </c>
      <c r="C197" t="s">
        <v>574</v>
      </c>
      <c r="D197" t="s">
        <v>61</v>
      </c>
      <c r="E197" t="b">
        <v>0</v>
      </c>
      <c r="F197" t="b">
        <v>0</v>
      </c>
      <c r="G197" t="b">
        <v>0</v>
      </c>
      <c r="H197" t="b">
        <v>1</v>
      </c>
      <c r="I197" t="b">
        <v>0</v>
      </c>
      <c r="J197" s="1">
        <v>45903</v>
      </c>
    </row>
    <row r="198" spans="1:10" x14ac:dyDescent="0.35">
      <c r="A198">
        <v>1095</v>
      </c>
      <c r="B198" t="s">
        <v>573</v>
      </c>
      <c r="C198" t="s">
        <v>575</v>
      </c>
      <c r="D198" t="s">
        <v>61</v>
      </c>
      <c r="E198" t="b">
        <v>0</v>
      </c>
      <c r="F198" t="b">
        <v>0</v>
      </c>
      <c r="G198" t="b">
        <v>0</v>
      </c>
      <c r="H198" t="b">
        <v>0</v>
      </c>
      <c r="I198" t="b">
        <v>1</v>
      </c>
      <c r="J198" s="1">
        <v>45903</v>
      </c>
    </row>
    <row r="199" spans="1:10" x14ac:dyDescent="0.35">
      <c r="A199">
        <v>820</v>
      </c>
      <c r="B199" t="s">
        <v>573</v>
      </c>
      <c r="C199" t="s">
        <v>413</v>
      </c>
      <c r="D199" t="s">
        <v>61</v>
      </c>
      <c r="E199" t="b">
        <v>1</v>
      </c>
      <c r="F199" t="b">
        <v>0</v>
      </c>
      <c r="G199" t="b">
        <v>0</v>
      </c>
      <c r="H199" t="b">
        <v>0</v>
      </c>
      <c r="I199" t="b">
        <v>1</v>
      </c>
      <c r="J199" s="1">
        <v>45903</v>
      </c>
    </row>
    <row r="200" spans="1:10" x14ac:dyDescent="0.35">
      <c r="A200">
        <v>468</v>
      </c>
      <c r="B200" t="s">
        <v>573</v>
      </c>
      <c r="C200" t="s">
        <v>467</v>
      </c>
      <c r="D200" t="s">
        <v>61</v>
      </c>
      <c r="E200" t="b">
        <v>0</v>
      </c>
      <c r="F200" t="b">
        <v>0</v>
      </c>
      <c r="G200" t="b">
        <v>0</v>
      </c>
      <c r="H200" t="b">
        <v>0</v>
      </c>
      <c r="I200" t="b">
        <v>1</v>
      </c>
      <c r="J200" s="1">
        <v>45903</v>
      </c>
    </row>
    <row r="201" spans="1:10" x14ac:dyDescent="0.35">
      <c r="A201">
        <v>687</v>
      </c>
      <c r="B201" t="s">
        <v>573</v>
      </c>
      <c r="C201" t="s">
        <v>576</v>
      </c>
      <c r="D201" t="s">
        <v>61</v>
      </c>
      <c r="E201" t="b">
        <v>0</v>
      </c>
      <c r="F201" t="b">
        <v>0</v>
      </c>
      <c r="G201" t="b">
        <v>0</v>
      </c>
      <c r="H201" t="b">
        <v>0</v>
      </c>
      <c r="I201" t="b">
        <v>1</v>
      </c>
      <c r="J201" s="1">
        <v>45903</v>
      </c>
    </row>
    <row r="202" spans="1:10" x14ac:dyDescent="0.35">
      <c r="A202">
        <v>1375</v>
      </c>
      <c r="B202" t="s">
        <v>577</v>
      </c>
      <c r="C202" t="s">
        <v>578</v>
      </c>
      <c r="D202" t="s">
        <v>61</v>
      </c>
      <c r="E202" t="b">
        <v>0</v>
      </c>
      <c r="F202" t="b">
        <v>0</v>
      </c>
      <c r="G202" t="b">
        <v>0</v>
      </c>
      <c r="H202" t="b">
        <v>1</v>
      </c>
      <c r="I202" t="b">
        <v>0</v>
      </c>
      <c r="J202" s="1">
        <v>45903</v>
      </c>
    </row>
    <row r="203" spans="1:10" x14ac:dyDescent="0.35">
      <c r="A203">
        <v>1382</v>
      </c>
      <c r="B203" t="s">
        <v>579</v>
      </c>
      <c r="C203" t="s">
        <v>580</v>
      </c>
      <c r="D203" t="s">
        <v>61</v>
      </c>
      <c r="E203" t="b">
        <v>0</v>
      </c>
      <c r="F203" t="b">
        <v>0</v>
      </c>
      <c r="G203" t="b">
        <v>0</v>
      </c>
      <c r="H203" t="b">
        <v>1</v>
      </c>
      <c r="I203" t="b">
        <v>0</v>
      </c>
      <c r="J203" s="1">
        <v>45903</v>
      </c>
    </row>
    <row r="204" spans="1:10" x14ac:dyDescent="0.35">
      <c r="A204">
        <v>1161</v>
      </c>
      <c r="B204" t="s">
        <v>581</v>
      </c>
      <c r="C204" t="s">
        <v>582</v>
      </c>
      <c r="D204" t="s">
        <v>61</v>
      </c>
      <c r="E204" t="b">
        <v>0</v>
      </c>
      <c r="F204" t="b">
        <v>0</v>
      </c>
      <c r="G204" t="b">
        <v>0</v>
      </c>
      <c r="H204" t="b">
        <v>1</v>
      </c>
      <c r="I204" t="b">
        <v>0</v>
      </c>
      <c r="J204" s="1">
        <v>45903</v>
      </c>
    </row>
    <row r="205" spans="1:10" x14ac:dyDescent="0.35">
      <c r="A205">
        <v>890</v>
      </c>
      <c r="B205" t="s">
        <v>583</v>
      </c>
      <c r="C205" t="s">
        <v>584</v>
      </c>
      <c r="D205" t="s">
        <v>349</v>
      </c>
      <c r="E205" t="b">
        <v>0</v>
      </c>
      <c r="F205" t="b">
        <v>0</v>
      </c>
      <c r="G205" t="b">
        <v>0</v>
      </c>
      <c r="H205" t="b">
        <v>0</v>
      </c>
      <c r="I205" t="b">
        <v>1</v>
      </c>
      <c r="J205" s="1">
        <v>45903</v>
      </c>
    </row>
    <row r="206" spans="1:10" x14ac:dyDescent="0.35">
      <c r="A206">
        <v>1238</v>
      </c>
      <c r="B206" t="s">
        <v>585</v>
      </c>
      <c r="C206" t="s">
        <v>586</v>
      </c>
      <c r="D206" t="s">
        <v>61</v>
      </c>
      <c r="E206" t="b">
        <v>1</v>
      </c>
      <c r="F206" t="b">
        <v>0</v>
      </c>
      <c r="G206" t="b">
        <v>0</v>
      </c>
      <c r="H206" t="b">
        <v>1</v>
      </c>
      <c r="I206" t="b">
        <v>0</v>
      </c>
      <c r="J206" s="1">
        <v>45903</v>
      </c>
    </row>
    <row r="207" spans="1:10" x14ac:dyDescent="0.35">
      <c r="A207">
        <v>780</v>
      </c>
      <c r="B207" t="s">
        <v>587</v>
      </c>
      <c r="C207" t="s">
        <v>54</v>
      </c>
      <c r="D207" t="s">
        <v>61</v>
      </c>
      <c r="E207" t="b">
        <v>0</v>
      </c>
      <c r="F207" t="b">
        <v>0</v>
      </c>
      <c r="G207" t="b">
        <v>0</v>
      </c>
      <c r="H207" t="b">
        <v>0</v>
      </c>
      <c r="I207" t="b">
        <v>1</v>
      </c>
      <c r="J207" s="1">
        <v>45903</v>
      </c>
    </row>
    <row r="208" spans="1:10" x14ac:dyDescent="0.35">
      <c r="A208">
        <v>1166</v>
      </c>
      <c r="B208" t="s">
        <v>588</v>
      </c>
      <c r="C208" t="s">
        <v>419</v>
      </c>
      <c r="D208" t="s">
        <v>349</v>
      </c>
      <c r="E208" t="b">
        <v>0</v>
      </c>
      <c r="F208" t="b">
        <v>0</v>
      </c>
      <c r="G208" t="b">
        <v>0</v>
      </c>
      <c r="H208" t="b">
        <v>0</v>
      </c>
      <c r="I208" t="b">
        <v>1</v>
      </c>
      <c r="J208" s="1">
        <v>45903</v>
      </c>
    </row>
    <row r="209" spans="1:10" x14ac:dyDescent="0.35">
      <c r="A209">
        <v>45</v>
      </c>
      <c r="B209" t="s">
        <v>589</v>
      </c>
      <c r="C209" t="s">
        <v>590</v>
      </c>
      <c r="D209" t="s">
        <v>61</v>
      </c>
      <c r="E209" t="b">
        <v>0</v>
      </c>
      <c r="F209" t="b">
        <v>0</v>
      </c>
      <c r="G209" t="b">
        <v>0</v>
      </c>
      <c r="H209" t="b">
        <v>0</v>
      </c>
      <c r="I209" t="b">
        <v>1</v>
      </c>
      <c r="J209" s="1">
        <v>45903</v>
      </c>
    </row>
    <row r="210" spans="1:10" x14ac:dyDescent="0.35">
      <c r="A210">
        <v>1160</v>
      </c>
      <c r="B210" t="s">
        <v>507</v>
      </c>
      <c r="C210" t="s">
        <v>591</v>
      </c>
      <c r="D210" t="s">
        <v>61</v>
      </c>
      <c r="E210" t="b">
        <v>0</v>
      </c>
      <c r="F210" t="b">
        <v>0</v>
      </c>
      <c r="G210" t="b">
        <v>0</v>
      </c>
      <c r="H210" t="b">
        <v>1</v>
      </c>
      <c r="I210" t="b">
        <v>0</v>
      </c>
      <c r="J210" s="1">
        <v>45903</v>
      </c>
    </row>
    <row r="211" spans="1:10" x14ac:dyDescent="0.35">
      <c r="A211">
        <v>1341</v>
      </c>
      <c r="B211" t="s">
        <v>592</v>
      </c>
      <c r="C211" t="s">
        <v>97</v>
      </c>
      <c r="D211" t="s">
        <v>61</v>
      </c>
      <c r="E211" t="b">
        <v>0</v>
      </c>
      <c r="F211" t="b">
        <v>0</v>
      </c>
      <c r="G211" t="b">
        <v>0</v>
      </c>
      <c r="H211" t="b">
        <v>1</v>
      </c>
      <c r="I211" t="b">
        <v>0</v>
      </c>
      <c r="J211" s="1">
        <v>45903</v>
      </c>
    </row>
    <row r="212" spans="1:10" x14ac:dyDescent="0.35">
      <c r="A212">
        <v>945</v>
      </c>
      <c r="B212" t="s">
        <v>593</v>
      </c>
      <c r="C212" t="s">
        <v>80</v>
      </c>
      <c r="D212" t="s">
        <v>61</v>
      </c>
      <c r="E212" t="b">
        <v>0</v>
      </c>
      <c r="F212" t="b">
        <v>0</v>
      </c>
      <c r="G212" t="b">
        <v>0</v>
      </c>
      <c r="H212" t="b">
        <v>1</v>
      </c>
      <c r="I212" t="b">
        <v>0</v>
      </c>
      <c r="J212" s="1">
        <v>45903</v>
      </c>
    </row>
    <row r="213" spans="1:10" x14ac:dyDescent="0.35">
      <c r="A213">
        <v>813</v>
      </c>
      <c r="B213" t="s">
        <v>593</v>
      </c>
      <c r="C213" t="s">
        <v>558</v>
      </c>
      <c r="D213" t="s">
        <v>61</v>
      </c>
      <c r="E213" t="b">
        <v>1</v>
      </c>
      <c r="F213" t="b">
        <v>0</v>
      </c>
      <c r="G213" t="b">
        <v>0</v>
      </c>
      <c r="H213" t="b">
        <v>0</v>
      </c>
      <c r="I213" t="b">
        <v>1</v>
      </c>
      <c r="J213" s="1">
        <v>45903</v>
      </c>
    </row>
    <row r="214" spans="1:10" x14ac:dyDescent="0.35">
      <c r="A214">
        <v>812</v>
      </c>
      <c r="B214" t="s">
        <v>593</v>
      </c>
      <c r="C214" t="s">
        <v>594</v>
      </c>
      <c r="D214" t="s">
        <v>61</v>
      </c>
      <c r="E214" t="b">
        <v>0</v>
      </c>
      <c r="F214" t="b">
        <v>0</v>
      </c>
      <c r="G214" t="b">
        <v>0</v>
      </c>
      <c r="H214" t="b">
        <v>0</v>
      </c>
      <c r="I214" t="b">
        <v>1</v>
      </c>
      <c r="J214" s="1">
        <v>45903</v>
      </c>
    </row>
    <row r="215" spans="1:10" x14ac:dyDescent="0.35">
      <c r="A215">
        <v>1129</v>
      </c>
      <c r="B215" t="s">
        <v>595</v>
      </c>
      <c r="C215" t="s">
        <v>596</v>
      </c>
      <c r="D215" t="s">
        <v>61</v>
      </c>
      <c r="E215" t="b">
        <v>0</v>
      </c>
      <c r="F215" t="b">
        <v>0</v>
      </c>
      <c r="G215" t="b">
        <v>0</v>
      </c>
      <c r="H215" t="b">
        <v>0</v>
      </c>
      <c r="I215" t="b">
        <v>1</v>
      </c>
      <c r="J215" s="1">
        <v>45903</v>
      </c>
    </row>
    <row r="216" spans="1:10" x14ac:dyDescent="0.35">
      <c r="A216">
        <v>808</v>
      </c>
      <c r="B216" t="s">
        <v>597</v>
      </c>
      <c r="C216" t="s">
        <v>598</v>
      </c>
      <c r="D216" t="s">
        <v>61</v>
      </c>
      <c r="E216" t="b">
        <v>1</v>
      </c>
      <c r="F216" t="b">
        <v>0</v>
      </c>
      <c r="G216" t="b">
        <v>0</v>
      </c>
      <c r="H216" t="b">
        <v>0</v>
      </c>
      <c r="I216" t="b">
        <v>1</v>
      </c>
      <c r="J216" s="1">
        <v>45903</v>
      </c>
    </row>
    <row r="217" spans="1:10" x14ac:dyDescent="0.35">
      <c r="A217">
        <v>1290</v>
      </c>
      <c r="B217" t="s">
        <v>599</v>
      </c>
      <c r="C217" t="s">
        <v>434</v>
      </c>
      <c r="D217" t="s">
        <v>61</v>
      </c>
      <c r="E217" t="b">
        <v>0</v>
      </c>
      <c r="F217" t="b">
        <v>0</v>
      </c>
      <c r="G217" t="b">
        <v>0</v>
      </c>
      <c r="H217" t="b">
        <v>1</v>
      </c>
      <c r="I217" t="b">
        <v>0</v>
      </c>
      <c r="J217" s="1">
        <v>45903</v>
      </c>
    </row>
    <row r="218" spans="1:10" x14ac:dyDescent="0.35">
      <c r="A218">
        <v>1209</v>
      </c>
      <c r="B218" t="s">
        <v>600</v>
      </c>
      <c r="C218" t="s">
        <v>82</v>
      </c>
      <c r="D218" t="s">
        <v>349</v>
      </c>
      <c r="E218" t="b">
        <v>0</v>
      </c>
      <c r="F218" t="b">
        <v>0</v>
      </c>
      <c r="G218" t="b">
        <v>0</v>
      </c>
      <c r="H218" t="b">
        <v>0</v>
      </c>
      <c r="I218" t="b">
        <v>1</v>
      </c>
      <c r="J218" s="1">
        <v>45903</v>
      </c>
    </row>
    <row r="219" spans="1:10" x14ac:dyDescent="0.35">
      <c r="A219">
        <v>1356</v>
      </c>
      <c r="B219" t="s">
        <v>603</v>
      </c>
      <c r="C219" t="s">
        <v>604</v>
      </c>
      <c r="D219" t="s">
        <v>349</v>
      </c>
      <c r="E219" t="b">
        <v>0</v>
      </c>
      <c r="F219" t="b">
        <v>0</v>
      </c>
      <c r="G219" t="b">
        <v>0</v>
      </c>
      <c r="H219" t="b">
        <v>0</v>
      </c>
      <c r="I219" t="b">
        <v>1</v>
      </c>
      <c r="J219" s="1">
        <v>45903</v>
      </c>
    </row>
    <row r="220" spans="1:10" x14ac:dyDescent="0.35">
      <c r="A220">
        <v>860</v>
      </c>
      <c r="B220" t="s">
        <v>605</v>
      </c>
      <c r="C220" t="s">
        <v>606</v>
      </c>
      <c r="D220" t="s">
        <v>61</v>
      </c>
      <c r="E220" t="b">
        <v>1</v>
      </c>
      <c r="F220" t="b">
        <v>0</v>
      </c>
      <c r="G220" t="b">
        <v>0</v>
      </c>
      <c r="H220" t="b">
        <v>1</v>
      </c>
      <c r="I220" t="b">
        <v>0</v>
      </c>
      <c r="J220" s="1">
        <v>45903</v>
      </c>
    </row>
    <row r="221" spans="1:10" x14ac:dyDescent="0.35">
      <c r="A221">
        <v>756</v>
      </c>
      <c r="B221" t="s">
        <v>605</v>
      </c>
      <c r="C221" t="s">
        <v>607</v>
      </c>
      <c r="D221" t="s">
        <v>61</v>
      </c>
      <c r="E221" t="b">
        <v>0</v>
      </c>
      <c r="F221" t="b">
        <v>0</v>
      </c>
      <c r="G221" t="b">
        <v>0</v>
      </c>
      <c r="H221" t="b">
        <v>1</v>
      </c>
      <c r="I221" t="b">
        <v>0</v>
      </c>
      <c r="J221" s="1">
        <v>45903</v>
      </c>
    </row>
    <row r="222" spans="1:10" x14ac:dyDescent="0.35">
      <c r="A222">
        <v>407</v>
      </c>
      <c r="B222" t="s">
        <v>605</v>
      </c>
      <c r="C222" t="s">
        <v>608</v>
      </c>
      <c r="D222" t="s">
        <v>61</v>
      </c>
      <c r="E222" t="b">
        <v>0</v>
      </c>
      <c r="F222" t="b">
        <v>0</v>
      </c>
      <c r="G222" t="b">
        <v>0</v>
      </c>
      <c r="H222" t="b">
        <v>0</v>
      </c>
      <c r="I222" t="b">
        <v>1</v>
      </c>
      <c r="J222" s="1">
        <v>45903</v>
      </c>
    </row>
    <row r="223" spans="1:10" x14ac:dyDescent="0.35">
      <c r="A223">
        <v>1312</v>
      </c>
      <c r="B223" t="s">
        <v>609</v>
      </c>
      <c r="C223" t="s">
        <v>556</v>
      </c>
      <c r="D223" t="s">
        <v>61</v>
      </c>
      <c r="E223" t="b">
        <v>1</v>
      </c>
      <c r="F223" t="b">
        <v>0</v>
      </c>
      <c r="G223" t="b">
        <v>0</v>
      </c>
      <c r="H223" t="b">
        <v>0</v>
      </c>
      <c r="I223" t="b">
        <v>1</v>
      </c>
      <c r="J223" s="1">
        <v>45903</v>
      </c>
    </row>
    <row r="224" spans="1:10" x14ac:dyDescent="0.35">
      <c r="A224">
        <v>935</v>
      </c>
      <c r="B224" t="s">
        <v>610</v>
      </c>
      <c r="C224" t="s">
        <v>517</v>
      </c>
      <c r="D224" t="s">
        <v>61</v>
      </c>
      <c r="E224" t="b">
        <v>1</v>
      </c>
      <c r="F224" t="b">
        <v>0</v>
      </c>
      <c r="G224" t="b">
        <v>0</v>
      </c>
      <c r="H224" t="b">
        <v>1</v>
      </c>
      <c r="I224" t="b">
        <v>0</v>
      </c>
      <c r="J224" s="1">
        <v>45903</v>
      </c>
    </row>
    <row r="225" spans="1:10" x14ac:dyDescent="0.35">
      <c r="A225">
        <v>999</v>
      </c>
      <c r="B225" t="s">
        <v>610</v>
      </c>
      <c r="C225" t="s">
        <v>611</v>
      </c>
      <c r="D225" t="s">
        <v>61</v>
      </c>
      <c r="E225" t="b">
        <v>1</v>
      </c>
      <c r="F225" t="b">
        <v>0</v>
      </c>
      <c r="G225" t="b">
        <v>0</v>
      </c>
      <c r="H225" t="b">
        <v>1</v>
      </c>
      <c r="I225" t="b">
        <v>0</v>
      </c>
      <c r="J225" s="1">
        <v>45903</v>
      </c>
    </row>
    <row r="226" spans="1:10" x14ac:dyDescent="0.35">
      <c r="A226">
        <v>998</v>
      </c>
      <c r="B226" t="s">
        <v>610</v>
      </c>
      <c r="C226" t="s">
        <v>612</v>
      </c>
      <c r="D226" t="s">
        <v>61</v>
      </c>
      <c r="E226" t="b">
        <v>1</v>
      </c>
      <c r="F226" t="b">
        <v>0</v>
      </c>
      <c r="G226" t="b">
        <v>0</v>
      </c>
      <c r="H226" t="b">
        <v>0</v>
      </c>
      <c r="I226" t="b">
        <v>1</v>
      </c>
      <c r="J226" s="1">
        <v>45903</v>
      </c>
    </row>
    <row r="227" spans="1:10" x14ac:dyDescent="0.35">
      <c r="A227">
        <v>616</v>
      </c>
      <c r="B227" t="s">
        <v>610</v>
      </c>
      <c r="C227" t="s">
        <v>72</v>
      </c>
      <c r="D227" t="s">
        <v>61</v>
      </c>
      <c r="E227" t="b">
        <v>0</v>
      </c>
      <c r="F227" t="b">
        <v>0</v>
      </c>
      <c r="G227" t="b">
        <v>0</v>
      </c>
      <c r="H227" t="b">
        <v>0</v>
      </c>
      <c r="I227" t="b">
        <v>1</v>
      </c>
      <c r="J227" s="1">
        <v>45903</v>
      </c>
    </row>
    <row r="228" spans="1:10" x14ac:dyDescent="0.35">
      <c r="A228">
        <v>1111</v>
      </c>
      <c r="B228" t="s">
        <v>610</v>
      </c>
      <c r="C228" t="s">
        <v>613</v>
      </c>
      <c r="D228" t="s">
        <v>61</v>
      </c>
      <c r="E228" t="b">
        <v>1</v>
      </c>
      <c r="F228" t="b">
        <v>0</v>
      </c>
      <c r="G228" t="b">
        <v>0</v>
      </c>
      <c r="H228" t="b">
        <v>0</v>
      </c>
      <c r="I228" t="b">
        <v>1</v>
      </c>
      <c r="J228" s="1">
        <v>45903</v>
      </c>
    </row>
    <row r="229" spans="1:10" x14ac:dyDescent="0.35">
      <c r="A229">
        <v>1120</v>
      </c>
      <c r="B229" t="s">
        <v>614</v>
      </c>
      <c r="C229" t="s">
        <v>615</v>
      </c>
      <c r="D229" t="s">
        <v>61</v>
      </c>
      <c r="E229" t="b">
        <v>1</v>
      </c>
      <c r="F229" t="b">
        <v>0</v>
      </c>
      <c r="G229" t="b">
        <v>0</v>
      </c>
      <c r="H229" t="b">
        <v>0</v>
      </c>
      <c r="I229" t="b">
        <v>1</v>
      </c>
      <c r="J229" s="1">
        <v>45903</v>
      </c>
    </row>
    <row r="230" spans="1:10" x14ac:dyDescent="0.35">
      <c r="A230">
        <v>558</v>
      </c>
      <c r="B230" t="s">
        <v>616</v>
      </c>
      <c r="C230" t="s">
        <v>68</v>
      </c>
      <c r="D230" t="s">
        <v>61</v>
      </c>
      <c r="E230" t="b">
        <v>0</v>
      </c>
      <c r="F230" t="b">
        <v>0</v>
      </c>
      <c r="G230" t="b">
        <v>0</v>
      </c>
      <c r="H230" t="b">
        <v>0</v>
      </c>
      <c r="I230" t="b">
        <v>1</v>
      </c>
      <c r="J230" s="1">
        <v>45903</v>
      </c>
    </row>
    <row r="231" spans="1:10" x14ac:dyDescent="0.35">
      <c r="A231">
        <v>991</v>
      </c>
      <c r="B231" t="s">
        <v>617</v>
      </c>
      <c r="C231" t="s">
        <v>462</v>
      </c>
      <c r="D231" t="s">
        <v>61</v>
      </c>
      <c r="E231" t="b">
        <v>1</v>
      </c>
      <c r="F231" t="b">
        <v>1</v>
      </c>
      <c r="G231" t="b">
        <v>0</v>
      </c>
      <c r="H231" t="b">
        <v>0</v>
      </c>
      <c r="I231" t="b">
        <v>0</v>
      </c>
      <c r="J231" s="1">
        <v>45903</v>
      </c>
    </row>
    <row r="232" spans="1:10" x14ac:dyDescent="0.35">
      <c r="A232">
        <v>707</v>
      </c>
      <c r="B232" t="s">
        <v>618</v>
      </c>
      <c r="C232" t="s">
        <v>381</v>
      </c>
      <c r="D232" t="s">
        <v>61</v>
      </c>
      <c r="E232" t="b">
        <v>0</v>
      </c>
      <c r="F232" t="b">
        <v>0</v>
      </c>
      <c r="G232" t="b">
        <v>0</v>
      </c>
      <c r="H232" t="b">
        <v>0</v>
      </c>
      <c r="I232" t="b">
        <v>1</v>
      </c>
      <c r="J232" s="1">
        <v>45903</v>
      </c>
    </row>
    <row r="233" spans="1:10" x14ac:dyDescent="0.35">
      <c r="A233">
        <v>359</v>
      </c>
      <c r="B233" t="s">
        <v>619</v>
      </c>
      <c r="C233" t="s">
        <v>51</v>
      </c>
      <c r="D233" t="s">
        <v>61</v>
      </c>
      <c r="E233" t="b">
        <v>0</v>
      </c>
      <c r="F233" t="b">
        <v>0</v>
      </c>
      <c r="G233" t="b">
        <v>0</v>
      </c>
      <c r="H233" t="b">
        <v>0</v>
      </c>
      <c r="I233" t="b">
        <v>1</v>
      </c>
      <c r="J233" s="1">
        <v>45903</v>
      </c>
    </row>
    <row r="234" spans="1:10" x14ac:dyDescent="0.35">
      <c r="A234">
        <v>1310</v>
      </c>
      <c r="B234" t="s">
        <v>620</v>
      </c>
      <c r="C234" t="s">
        <v>507</v>
      </c>
      <c r="D234" t="s">
        <v>61</v>
      </c>
      <c r="E234" t="b">
        <v>0</v>
      </c>
      <c r="F234" t="b">
        <v>0</v>
      </c>
      <c r="G234" t="b">
        <v>0</v>
      </c>
      <c r="H234" t="b">
        <v>1</v>
      </c>
      <c r="I234" t="b">
        <v>0</v>
      </c>
      <c r="J234" s="1">
        <v>45903</v>
      </c>
    </row>
    <row r="235" spans="1:10" x14ac:dyDescent="0.35">
      <c r="A235">
        <v>1378</v>
      </c>
      <c r="B235" t="s">
        <v>621</v>
      </c>
      <c r="C235" t="s">
        <v>622</v>
      </c>
      <c r="D235" t="s">
        <v>61</v>
      </c>
      <c r="E235" t="b">
        <v>0</v>
      </c>
      <c r="F235" t="b">
        <v>0</v>
      </c>
      <c r="G235" t="b">
        <v>0</v>
      </c>
      <c r="H235" t="b">
        <v>1</v>
      </c>
      <c r="I235" t="b">
        <v>0</v>
      </c>
      <c r="J235" s="1">
        <v>45903</v>
      </c>
    </row>
    <row r="236" spans="1:10" x14ac:dyDescent="0.35">
      <c r="A236">
        <v>1254</v>
      </c>
      <c r="B236" t="s">
        <v>623</v>
      </c>
      <c r="C236" t="s">
        <v>82</v>
      </c>
      <c r="D236" t="s">
        <v>61</v>
      </c>
      <c r="E236" t="b">
        <v>0</v>
      </c>
      <c r="F236" t="b">
        <v>0</v>
      </c>
      <c r="G236" t="b">
        <v>0</v>
      </c>
      <c r="H236" t="b">
        <v>0</v>
      </c>
      <c r="I236" t="b">
        <v>1</v>
      </c>
      <c r="J236" s="1">
        <v>45903</v>
      </c>
    </row>
    <row r="237" spans="1:10" x14ac:dyDescent="0.35">
      <c r="A237">
        <v>1369</v>
      </c>
      <c r="B237" t="s">
        <v>624</v>
      </c>
      <c r="C237" t="s">
        <v>625</v>
      </c>
      <c r="D237" t="s">
        <v>61</v>
      </c>
      <c r="E237" t="b">
        <v>0</v>
      </c>
      <c r="F237" t="b">
        <v>1</v>
      </c>
      <c r="G237" t="b">
        <v>0</v>
      </c>
      <c r="H237" t="b">
        <v>0</v>
      </c>
      <c r="I237" t="b">
        <v>0</v>
      </c>
      <c r="J237" s="1">
        <v>45903</v>
      </c>
    </row>
    <row r="238" spans="1:10" x14ac:dyDescent="0.35">
      <c r="A238">
        <v>1200</v>
      </c>
      <c r="B238" t="s">
        <v>626</v>
      </c>
      <c r="C238" t="s">
        <v>627</v>
      </c>
      <c r="D238" t="s">
        <v>61</v>
      </c>
      <c r="E238" t="b">
        <v>0</v>
      </c>
      <c r="F238" t="b">
        <v>0</v>
      </c>
      <c r="G238" t="b">
        <v>0</v>
      </c>
      <c r="H238" t="b">
        <v>0</v>
      </c>
      <c r="I238" t="b">
        <v>1</v>
      </c>
      <c r="J238" s="1">
        <v>45903</v>
      </c>
    </row>
    <row r="239" spans="1:10" x14ac:dyDescent="0.35">
      <c r="A239">
        <v>1376</v>
      </c>
      <c r="B239" t="s">
        <v>469</v>
      </c>
      <c r="C239" t="s">
        <v>411</v>
      </c>
      <c r="D239" t="s">
        <v>61</v>
      </c>
      <c r="E239" t="b">
        <v>1</v>
      </c>
      <c r="F239" t="b">
        <v>0</v>
      </c>
      <c r="G239" t="b">
        <v>0</v>
      </c>
      <c r="H239" t="b">
        <v>1</v>
      </c>
      <c r="I239" t="b">
        <v>0</v>
      </c>
      <c r="J239" s="1">
        <v>45903</v>
      </c>
    </row>
    <row r="240" spans="1:10" x14ac:dyDescent="0.35">
      <c r="A240">
        <v>1140</v>
      </c>
      <c r="B240" t="s">
        <v>628</v>
      </c>
      <c r="C240" t="s">
        <v>515</v>
      </c>
      <c r="D240" t="s">
        <v>61</v>
      </c>
      <c r="E240" t="b">
        <v>0</v>
      </c>
      <c r="F240" t="b">
        <v>0</v>
      </c>
      <c r="G240" t="b">
        <v>0</v>
      </c>
      <c r="H240" t="b">
        <v>1</v>
      </c>
      <c r="I240" t="b">
        <v>0</v>
      </c>
      <c r="J240" s="1">
        <v>45903</v>
      </c>
    </row>
    <row r="241" spans="1:10" x14ac:dyDescent="0.35">
      <c r="A241">
        <v>989</v>
      </c>
      <c r="B241" t="s">
        <v>629</v>
      </c>
      <c r="C241" t="s">
        <v>110</v>
      </c>
      <c r="D241" t="s">
        <v>61</v>
      </c>
      <c r="E241" t="b">
        <v>0</v>
      </c>
      <c r="F241" t="b">
        <v>0</v>
      </c>
      <c r="G241" t="b">
        <v>0</v>
      </c>
      <c r="H241" t="b">
        <v>0</v>
      </c>
      <c r="I241" t="b">
        <v>1</v>
      </c>
      <c r="J241" s="1">
        <v>45903</v>
      </c>
    </row>
    <row r="242" spans="1:10" x14ac:dyDescent="0.35">
      <c r="A242">
        <v>1354</v>
      </c>
      <c r="B242" t="s">
        <v>630</v>
      </c>
      <c r="C242" t="s">
        <v>402</v>
      </c>
      <c r="D242" t="s">
        <v>61</v>
      </c>
      <c r="E242" t="b">
        <v>0</v>
      </c>
      <c r="F242" t="b">
        <v>0</v>
      </c>
      <c r="G242" t="b">
        <v>0</v>
      </c>
      <c r="H242" t="b">
        <v>1</v>
      </c>
      <c r="I242" t="b">
        <v>0</v>
      </c>
      <c r="J242" s="1">
        <v>45903</v>
      </c>
    </row>
    <row r="243" spans="1:10" x14ac:dyDescent="0.35">
      <c r="A243">
        <v>875</v>
      </c>
      <c r="B243" t="s">
        <v>630</v>
      </c>
      <c r="C243" t="s">
        <v>631</v>
      </c>
      <c r="D243" t="s">
        <v>61</v>
      </c>
      <c r="E243" t="b">
        <v>0</v>
      </c>
      <c r="F243" t="b">
        <v>0</v>
      </c>
      <c r="G243" t="b">
        <v>0</v>
      </c>
      <c r="H243" t="b">
        <v>1</v>
      </c>
      <c r="I243" t="b">
        <v>0</v>
      </c>
      <c r="J243" s="1">
        <v>45903</v>
      </c>
    </row>
    <row r="244" spans="1:10" x14ac:dyDescent="0.35">
      <c r="A244">
        <v>62</v>
      </c>
      <c r="B244" t="s">
        <v>630</v>
      </c>
      <c r="C244" t="s">
        <v>54</v>
      </c>
      <c r="D244" t="s">
        <v>61</v>
      </c>
      <c r="E244" t="b">
        <v>0</v>
      </c>
      <c r="F244" t="b">
        <v>0</v>
      </c>
      <c r="G244" t="b">
        <v>0</v>
      </c>
      <c r="H244" t="b">
        <v>0</v>
      </c>
      <c r="I244" t="b">
        <v>1</v>
      </c>
      <c r="J244" s="1">
        <v>45903</v>
      </c>
    </row>
    <row r="245" spans="1:10" x14ac:dyDescent="0.35">
      <c r="A245">
        <v>930</v>
      </c>
      <c r="B245" t="s">
        <v>632</v>
      </c>
      <c r="C245" t="s">
        <v>633</v>
      </c>
      <c r="D245" t="s">
        <v>61</v>
      </c>
      <c r="E245" t="b">
        <v>1</v>
      </c>
      <c r="F245" t="b">
        <v>0</v>
      </c>
      <c r="G245" t="b">
        <v>0</v>
      </c>
      <c r="H245" t="b">
        <v>0</v>
      </c>
      <c r="I245" t="b">
        <v>1</v>
      </c>
      <c r="J245" s="1">
        <v>45903</v>
      </c>
    </row>
    <row r="246" spans="1:10" x14ac:dyDescent="0.35">
      <c r="A246">
        <v>52</v>
      </c>
      <c r="B246" t="s">
        <v>634</v>
      </c>
      <c r="C246" t="s">
        <v>469</v>
      </c>
      <c r="D246" t="s">
        <v>61</v>
      </c>
      <c r="E246" t="b">
        <v>0</v>
      </c>
      <c r="F246" t="b">
        <v>0</v>
      </c>
      <c r="G246" t="b">
        <v>0</v>
      </c>
      <c r="H246" t="b">
        <v>1</v>
      </c>
      <c r="I246" t="b">
        <v>0</v>
      </c>
      <c r="J246" s="1">
        <v>45903</v>
      </c>
    </row>
    <row r="247" spans="1:10" x14ac:dyDescent="0.35">
      <c r="A247">
        <v>744</v>
      </c>
      <c r="B247" t="s">
        <v>635</v>
      </c>
      <c r="C247" t="s">
        <v>636</v>
      </c>
      <c r="D247" t="s">
        <v>61</v>
      </c>
      <c r="E247" t="b">
        <v>0</v>
      </c>
      <c r="F247" t="b">
        <v>0</v>
      </c>
      <c r="G247" t="b">
        <v>0</v>
      </c>
      <c r="H247" t="b">
        <v>0</v>
      </c>
      <c r="I247" t="b">
        <v>1</v>
      </c>
      <c r="J247" s="1">
        <v>45903</v>
      </c>
    </row>
    <row r="248" spans="1:10" x14ac:dyDescent="0.35">
      <c r="A248">
        <v>337</v>
      </c>
      <c r="B248" t="s">
        <v>637</v>
      </c>
      <c r="C248" t="s">
        <v>459</v>
      </c>
      <c r="D248" t="s">
        <v>61</v>
      </c>
      <c r="E248" t="b">
        <v>1</v>
      </c>
      <c r="F248" t="b">
        <v>0</v>
      </c>
      <c r="G248" t="b">
        <v>0</v>
      </c>
      <c r="H248" t="b">
        <v>0</v>
      </c>
      <c r="I248" t="b">
        <v>1</v>
      </c>
      <c r="J248" s="1">
        <v>45903</v>
      </c>
    </row>
    <row r="249" spans="1:10" x14ac:dyDescent="0.35">
      <c r="A249">
        <v>1371</v>
      </c>
      <c r="B249" t="s">
        <v>638</v>
      </c>
      <c r="C249" t="s">
        <v>52</v>
      </c>
      <c r="D249" t="s">
        <v>61</v>
      </c>
      <c r="E249" t="b">
        <v>0</v>
      </c>
      <c r="F249" t="b">
        <v>0</v>
      </c>
      <c r="G249" t="b">
        <v>0</v>
      </c>
      <c r="H249" t="b">
        <v>1</v>
      </c>
      <c r="I249" t="b">
        <v>0</v>
      </c>
      <c r="J249" s="1">
        <v>45903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695</v>
      </c>
      <c r="B1" t="s">
        <v>696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7"/>
  <sheetViews>
    <sheetView topLeftCell="C1" zoomScale="120" zoomScaleNormal="120" workbookViewId="0">
      <selection activeCell="E26" sqref="E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645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642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640</v>
      </c>
      <c r="M1" s="4" t="s">
        <v>639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7" si="0">IF($B3="","",IF($E3=10,"","Y"))</f>
        <v>Y</v>
      </c>
      <c r="J3" s="34" t="str">
        <f t="shared" ref="J3:J27" si="1">IF($B3="","",IF($E3=10,"Y",""))</f>
        <v/>
      </c>
      <c r="K3" s="34" t="str">
        <f t="shared" ref="K3:K27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7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45931</v>
      </c>
      <c r="C26" s="33" t="s">
        <v>12</v>
      </c>
      <c r="D26" t="s">
        <v>45</v>
      </c>
      <c r="E26">
        <v>10</v>
      </c>
      <c r="F26" t="s">
        <v>45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 t="shared" si="4"/>
        <v>26</v>
      </c>
      <c r="B27" s="32">
        <v>45962</v>
      </c>
      <c r="C27" s="33" t="s">
        <v>46</v>
      </c>
      <c r="D27" t="s">
        <v>45</v>
      </c>
      <c r="E27">
        <v>10</v>
      </c>
      <c r="F27" t="s">
        <v>45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101" sqref="A101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359</v>
      </c>
      <c r="B1" s="39" t="s">
        <v>693</v>
      </c>
      <c r="C1" s="40" t="s">
        <v>694</v>
      </c>
    </row>
    <row r="2" spans="1:3" x14ac:dyDescent="0.35">
      <c r="A2">
        <f t="shared" ref="A2:A33" si="0">IF(ISBLANK(B2),"",_xlfn.XLOOKUP(B2,ClubNames,ClubNumbers))</f>
        <v>1094</v>
      </c>
      <c r="B2" t="s">
        <v>646</v>
      </c>
      <c r="C2" s="41" t="s">
        <v>647</v>
      </c>
    </row>
    <row r="3" spans="1:3" x14ac:dyDescent="0.35">
      <c r="A3">
        <f t="shared" si="0"/>
        <v>933</v>
      </c>
      <c r="B3" t="s">
        <v>648</v>
      </c>
      <c r="C3" s="41" t="s">
        <v>647</v>
      </c>
    </row>
    <row r="4" spans="1:3" x14ac:dyDescent="0.35">
      <c r="A4">
        <f t="shared" si="0"/>
        <v>1023</v>
      </c>
      <c r="B4" t="s">
        <v>649</v>
      </c>
      <c r="C4" s="41" t="s">
        <v>647</v>
      </c>
    </row>
    <row r="5" spans="1:3" x14ac:dyDescent="0.35">
      <c r="A5">
        <f t="shared" si="0"/>
        <v>407</v>
      </c>
      <c r="B5" t="s">
        <v>650</v>
      </c>
      <c r="C5" s="41" t="s">
        <v>647</v>
      </c>
    </row>
    <row r="6" spans="1:3" x14ac:dyDescent="0.35">
      <c r="A6">
        <f t="shared" si="0"/>
        <v>1144</v>
      </c>
      <c r="B6" t="s">
        <v>651</v>
      </c>
      <c r="C6" s="41" t="s">
        <v>647</v>
      </c>
    </row>
    <row r="7" spans="1:3" x14ac:dyDescent="0.35">
      <c r="A7">
        <f t="shared" si="0"/>
        <v>989</v>
      </c>
      <c r="B7" t="s">
        <v>652</v>
      </c>
      <c r="C7" s="41" t="s">
        <v>647</v>
      </c>
    </row>
    <row r="8" spans="1:3" x14ac:dyDescent="0.35">
      <c r="A8">
        <f t="shared" si="0"/>
        <v>699</v>
      </c>
      <c r="B8" t="s">
        <v>653</v>
      </c>
      <c r="C8" s="41" t="s">
        <v>647</v>
      </c>
    </row>
    <row r="9" spans="1:3" x14ac:dyDescent="0.35">
      <c r="A9">
        <f t="shared" si="0"/>
        <v>1161</v>
      </c>
      <c r="B9" t="s">
        <v>654</v>
      </c>
      <c r="C9" s="41" t="s">
        <v>647</v>
      </c>
    </row>
    <row r="10" spans="1:3" x14ac:dyDescent="0.35">
      <c r="A10">
        <f t="shared" si="0"/>
        <v>35</v>
      </c>
      <c r="B10" t="s">
        <v>655</v>
      </c>
      <c r="C10" s="41" t="s">
        <v>647</v>
      </c>
    </row>
    <row r="11" spans="1:3" x14ac:dyDescent="0.35">
      <c r="A11">
        <f t="shared" si="0"/>
        <v>1055</v>
      </c>
      <c r="B11" t="s">
        <v>656</v>
      </c>
      <c r="C11" s="41">
        <v>1</v>
      </c>
    </row>
    <row r="12" spans="1:3" x14ac:dyDescent="0.35">
      <c r="A12">
        <f t="shared" si="0"/>
        <v>1192</v>
      </c>
      <c r="B12" t="s">
        <v>657</v>
      </c>
      <c r="C12" s="41">
        <v>1</v>
      </c>
    </row>
    <row r="13" spans="1:3" x14ac:dyDescent="0.35">
      <c r="A13">
        <f t="shared" si="0"/>
        <v>1137</v>
      </c>
      <c r="B13" t="s">
        <v>181</v>
      </c>
      <c r="C13" s="41">
        <v>1</v>
      </c>
    </row>
    <row r="14" spans="1:3" x14ac:dyDescent="0.35">
      <c r="A14">
        <f t="shared" si="0"/>
        <v>747</v>
      </c>
      <c r="B14" t="s">
        <v>658</v>
      </c>
      <c r="C14" s="41">
        <v>1</v>
      </c>
    </row>
    <row r="15" spans="1:3" x14ac:dyDescent="0.35">
      <c r="A15">
        <f t="shared" si="0"/>
        <v>756</v>
      </c>
      <c r="B15" t="s">
        <v>659</v>
      </c>
      <c r="C15" s="41">
        <v>1</v>
      </c>
    </row>
    <row r="16" spans="1:3" x14ac:dyDescent="0.35">
      <c r="A16">
        <f t="shared" si="0"/>
        <v>1364</v>
      </c>
      <c r="B16" t="s">
        <v>219</v>
      </c>
      <c r="C16" s="41">
        <v>1</v>
      </c>
    </row>
    <row r="17" spans="1:3" x14ac:dyDescent="0.35">
      <c r="A17">
        <f t="shared" si="0"/>
        <v>567</v>
      </c>
      <c r="B17" t="s">
        <v>660</v>
      </c>
      <c r="C17" s="41">
        <v>1</v>
      </c>
    </row>
    <row r="18" spans="1:3" x14ac:dyDescent="0.35">
      <c r="A18">
        <f t="shared" si="0"/>
        <v>415</v>
      </c>
      <c r="B18" t="s">
        <v>661</v>
      </c>
      <c r="C18" s="41">
        <v>1</v>
      </c>
    </row>
    <row r="19" spans="1:3" x14ac:dyDescent="0.35">
      <c r="A19">
        <f t="shared" si="0"/>
        <v>1375</v>
      </c>
      <c r="B19" t="s">
        <v>662</v>
      </c>
      <c r="C19" s="41">
        <v>1</v>
      </c>
    </row>
    <row r="20" spans="1:3" x14ac:dyDescent="0.35">
      <c r="A20">
        <f t="shared" si="0"/>
        <v>1129</v>
      </c>
      <c r="B20" t="s">
        <v>663</v>
      </c>
      <c r="C20" s="41">
        <v>2</v>
      </c>
    </row>
    <row r="21" spans="1:3" x14ac:dyDescent="0.35">
      <c r="A21">
        <f t="shared" si="0"/>
        <v>1339</v>
      </c>
      <c r="B21" t="s">
        <v>664</v>
      </c>
      <c r="C21" s="41">
        <v>2</v>
      </c>
    </row>
    <row r="22" spans="1:3" x14ac:dyDescent="0.35">
      <c r="A22">
        <f t="shared" si="0"/>
        <v>1237</v>
      </c>
      <c r="B22" t="s">
        <v>665</v>
      </c>
      <c r="C22" s="41">
        <v>2</v>
      </c>
    </row>
    <row r="23" spans="1:3" x14ac:dyDescent="0.35">
      <c r="A23">
        <f t="shared" si="0"/>
        <v>468</v>
      </c>
      <c r="B23" t="s">
        <v>666</v>
      </c>
      <c r="C23" s="41">
        <v>2</v>
      </c>
    </row>
    <row r="24" spans="1:3" x14ac:dyDescent="0.35">
      <c r="A24">
        <f t="shared" si="0"/>
        <v>1107</v>
      </c>
      <c r="B24" t="s">
        <v>667</v>
      </c>
      <c r="C24" s="41">
        <v>2</v>
      </c>
    </row>
    <row r="25" spans="1:3" x14ac:dyDescent="0.35">
      <c r="A25">
        <f t="shared" si="0"/>
        <v>846</v>
      </c>
      <c r="B25" t="s">
        <v>668</v>
      </c>
      <c r="C25" s="41">
        <v>2</v>
      </c>
    </row>
    <row r="26" spans="1:3" x14ac:dyDescent="0.35">
      <c r="A26">
        <f t="shared" si="0"/>
        <v>1152</v>
      </c>
      <c r="B26" t="s">
        <v>669</v>
      </c>
      <c r="C26" s="41">
        <v>2</v>
      </c>
    </row>
    <row r="27" spans="1:3" x14ac:dyDescent="0.35">
      <c r="A27">
        <f t="shared" si="0"/>
        <v>203</v>
      </c>
      <c r="B27" t="s">
        <v>670</v>
      </c>
      <c r="C27" s="41">
        <v>3</v>
      </c>
    </row>
    <row r="28" spans="1:3" x14ac:dyDescent="0.35">
      <c r="A28">
        <f t="shared" si="0"/>
        <v>1355</v>
      </c>
      <c r="B28" t="s">
        <v>671</v>
      </c>
      <c r="C28" s="41">
        <v>3</v>
      </c>
    </row>
    <row r="29" spans="1:3" x14ac:dyDescent="0.35">
      <c r="A29">
        <f t="shared" si="0"/>
        <v>704</v>
      </c>
      <c r="B29" t="s">
        <v>672</v>
      </c>
      <c r="C29" s="41">
        <v>3</v>
      </c>
    </row>
    <row r="30" spans="1:3" x14ac:dyDescent="0.35">
      <c r="A30">
        <f t="shared" si="0"/>
        <v>23</v>
      </c>
      <c r="B30" t="s">
        <v>673</v>
      </c>
      <c r="C30" s="41">
        <v>3</v>
      </c>
    </row>
    <row r="31" spans="1:3" x14ac:dyDescent="0.35">
      <c r="A31">
        <f t="shared" si="0"/>
        <v>1112</v>
      </c>
      <c r="B31" t="s">
        <v>674</v>
      </c>
      <c r="C31" s="41">
        <v>3</v>
      </c>
    </row>
    <row r="32" spans="1:3" x14ac:dyDescent="0.35">
      <c r="A32">
        <f t="shared" si="0"/>
        <v>1024</v>
      </c>
      <c r="B32" t="s">
        <v>675</v>
      </c>
      <c r="C32" s="41">
        <v>3</v>
      </c>
    </row>
    <row r="33" spans="1:3" x14ac:dyDescent="0.35">
      <c r="A33">
        <f t="shared" si="0"/>
        <v>532</v>
      </c>
      <c r="B33" t="s">
        <v>676</v>
      </c>
      <c r="C33" s="41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677</v>
      </c>
      <c r="C34" s="41">
        <v>3</v>
      </c>
    </row>
    <row r="35" spans="1:3" x14ac:dyDescent="0.35">
      <c r="A35">
        <f t="shared" si="1"/>
        <v>1194</v>
      </c>
      <c r="B35" t="s">
        <v>678</v>
      </c>
      <c r="C35" s="41">
        <v>4</v>
      </c>
    </row>
    <row r="36" spans="1:3" x14ac:dyDescent="0.35">
      <c r="A36">
        <f t="shared" si="1"/>
        <v>1048</v>
      </c>
      <c r="B36" t="s">
        <v>679</v>
      </c>
      <c r="C36" s="41">
        <v>4</v>
      </c>
    </row>
    <row r="37" spans="1:3" x14ac:dyDescent="0.35">
      <c r="A37">
        <f t="shared" si="1"/>
        <v>1195</v>
      </c>
      <c r="B37" t="s">
        <v>680</v>
      </c>
      <c r="C37" s="41">
        <v>4</v>
      </c>
    </row>
    <row r="38" spans="1:3" x14ac:dyDescent="0.35">
      <c r="A38">
        <f t="shared" si="1"/>
        <v>1298</v>
      </c>
      <c r="B38" t="s">
        <v>681</v>
      </c>
      <c r="C38" s="41">
        <v>4</v>
      </c>
    </row>
    <row r="39" spans="1:3" x14ac:dyDescent="0.35">
      <c r="A39">
        <f t="shared" si="1"/>
        <v>1332</v>
      </c>
      <c r="B39" t="s">
        <v>682</v>
      </c>
      <c r="C39" s="41">
        <v>4</v>
      </c>
    </row>
    <row r="40" spans="1:3" x14ac:dyDescent="0.35">
      <c r="A40">
        <f t="shared" si="1"/>
        <v>1377</v>
      </c>
      <c r="B40" t="s">
        <v>683</v>
      </c>
      <c r="C40" s="41">
        <v>4</v>
      </c>
    </row>
    <row r="41" spans="1:3" x14ac:dyDescent="0.35">
      <c r="A41">
        <f t="shared" si="1"/>
        <v>1193</v>
      </c>
      <c r="B41" t="s">
        <v>684</v>
      </c>
      <c r="C41" s="41">
        <v>4</v>
      </c>
    </row>
    <row r="42" spans="1:3" x14ac:dyDescent="0.35">
      <c r="A42">
        <f t="shared" si="1"/>
        <v>1244</v>
      </c>
      <c r="B42" t="s">
        <v>685</v>
      </c>
      <c r="C42" s="41">
        <v>4</v>
      </c>
    </row>
    <row r="43" spans="1:3" x14ac:dyDescent="0.35">
      <c r="A43">
        <f t="shared" si="1"/>
        <v>38</v>
      </c>
      <c r="B43" t="s">
        <v>686</v>
      </c>
      <c r="C43" s="41" t="s">
        <v>647</v>
      </c>
    </row>
    <row r="44" spans="1:3" x14ac:dyDescent="0.35">
      <c r="A44">
        <f t="shared" si="1"/>
        <v>967</v>
      </c>
      <c r="B44" t="s">
        <v>687</v>
      </c>
      <c r="C44" s="41">
        <v>1</v>
      </c>
    </row>
    <row r="45" spans="1:3" x14ac:dyDescent="0.35">
      <c r="A45">
        <f t="shared" si="1"/>
        <v>1242</v>
      </c>
      <c r="B45" t="s">
        <v>688</v>
      </c>
      <c r="C45" s="41">
        <v>2</v>
      </c>
    </row>
    <row r="46" spans="1:3" x14ac:dyDescent="0.35">
      <c r="A46">
        <f t="shared" si="1"/>
        <v>1135</v>
      </c>
      <c r="B46" t="s">
        <v>689</v>
      </c>
      <c r="C46" s="41">
        <v>2</v>
      </c>
    </row>
    <row r="47" spans="1:3" x14ac:dyDescent="0.35">
      <c r="A47">
        <f t="shared" si="1"/>
        <v>715</v>
      </c>
      <c r="B47" t="s">
        <v>690</v>
      </c>
      <c r="C47" s="41">
        <v>3</v>
      </c>
    </row>
    <row r="48" spans="1:3" x14ac:dyDescent="0.35">
      <c r="A48">
        <f t="shared" si="1"/>
        <v>1254</v>
      </c>
      <c r="B48" t="s">
        <v>691</v>
      </c>
      <c r="C48" s="41">
        <v>3</v>
      </c>
    </row>
    <row r="49" spans="1:3" x14ac:dyDescent="0.35">
      <c r="A49">
        <f t="shared" si="1"/>
        <v>1385</v>
      </c>
      <c r="B49" t="s">
        <v>223</v>
      </c>
      <c r="C49" s="41">
        <v>3</v>
      </c>
    </row>
    <row r="50" spans="1:3" x14ac:dyDescent="0.35">
      <c r="A50">
        <f t="shared" si="1"/>
        <v>7</v>
      </c>
      <c r="B50" t="s">
        <v>692</v>
      </c>
      <c r="C50" s="41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115</v>
      </c>
      <c r="B1" t="s">
        <v>116</v>
      </c>
    </row>
    <row r="2" spans="1:4" ht="14.25" x14ac:dyDescent="0.45">
      <c r="A2" t="s">
        <v>117</v>
      </c>
      <c r="B2" t="s">
        <v>118</v>
      </c>
      <c r="C2" s="9" t="str">
        <f>_xlfn.CONCAT(A2," (",B2,")")</f>
        <v>Carl Dyson (Aerologic)</v>
      </c>
      <c r="D2" s="10"/>
    </row>
    <row r="3" spans="1:4" ht="14.25" x14ac:dyDescent="0.45">
      <c r="A3" t="s">
        <v>119</v>
      </c>
      <c r="B3" t="s">
        <v>120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121</v>
      </c>
      <c r="B4" t="s">
        <v>122</v>
      </c>
      <c r="C4" s="9" t="str">
        <f t="shared" si="0"/>
        <v>Jayne Mumford (Cov Tri)</v>
      </c>
      <c r="D4" s="10"/>
    </row>
    <row r="5" spans="1:4" ht="14.25" x14ac:dyDescent="0.45">
      <c r="A5" t="s">
        <v>123</v>
      </c>
      <c r="B5" t="s">
        <v>122</v>
      </c>
      <c r="C5" s="9" t="str">
        <f t="shared" si="0"/>
        <v>Simon Clarke (Cov Tri)</v>
      </c>
      <c r="D5" s="10"/>
    </row>
    <row r="6" spans="1:4" ht="14.25" x14ac:dyDescent="0.45">
      <c r="A6" t="s">
        <v>124</v>
      </c>
      <c r="B6" t="s">
        <v>125</v>
      </c>
      <c r="C6" s="9" t="str">
        <f t="shared" si="0"/>
        <v>Evan Collett Jnr (KCC)</v>
      </c>
      <c r="D6" s="10"/>
    </row>
    <row r="7" spans="1:4" ht="14.25" x14ac:dyDescent="0.45">
      <c r="A7" t="s">
        <v>126</v>
      </c>
      <c r="B7" t="s">
        <v>127</v>
      </c>
      <c r="C7" s="9" t="str">
        <f t="shared" si="0"/>
        <v>Harriet Hughes (LFCC)</v>
      </c>
      <c r="D7" s="10"/>
    </row>
    <row r="8" spans="1:4" ht="14.25" x14ac:dyDescent="0.45">
      <c r="A8" t="s">
        <v>128</v>
      </c>
      <c r="B8" t="s">
        <v>127</v>
      </c>
      <c r="C8" s="9" t="str">
        <f t="shared" si="0"/>
        <v>Mat Mabe (LFCC)</v>
      </c>
      <c r="D8" s="10"/>
    </row>
    <row r="9" spans="1:4" ht="14.25" x14ac:dyDescent="0.45">
      <c r="A9" t="s">
        <v>129</v>
      </c>
      <c r="B9" t="s">
        <v>127</v>
      </c>
      <c r="C9" s="9" t="str">
        <f t="shared" si="0"/>
        <v>Matt Finch (LFCC)</v>
      </c>
      <c r="D9" s="10"/>
    </row>
    <row r="10" spans="1:4" ht="14.25" x14ac:dyDescent="0.45">
      <c r="A10" t="s">
        <v>130</v>
      </c>
      <c r="B10" t="s">
        <v>127</v>
      </c>
      <c r="C10" s="9" t="str">
        <f t="shared" si="0"/>
        <v>Matthew Finch (LFCC)</v>
      </c>
      <c r="D10" s="10"/>
    </row>
    <row r="11" spans="1:4" ht="14.25" x14ac:dyDescent="0.45">
      <c r="A11" t="s">
        <v>130</v>
      </c>
      <c r="B11" t="s">
        <v>127</v>
      </c>
      <c r="C11" s="9" t="str">
        <f t="shared" si="0"/>
        <v>Matthew Finch (LFCC)</v>
      </c>
      <c r="D11" s="10"/>
    </row>
    <row r="12" spans="1:4" ht="14.25" x14ac:dyDescent="0.45">
      <c r="A12" t="s">
        <v>131</v>
      </c>
      <c r="B12" t="s">
        <v>127</v>
      </c>
      <c r="C12" s="9" t="str">
        <f t="shared" si="0"/>
        <v>Morris Mabe (LFCC)</v>
      </c>
      <c r="D12" s="10"/>
    </row>
    <row r="13" spans="1:4" ht="14.25" x14ac:dyDescent="0.45">
      <c r="A13" t="s">
        <v>132</v>
      </c>
      <c r="B13" t="s">
        <v>127</v>
      </c>
      <c r="C13" s="9" t="str">
        <f t="shared" si="0"/>
        <v>Sam Nettel (LFCC)</v>
      </c>
      <c r="D13" s="10"/>
    </row>
    <row r="14" spans="1:4" ht="14.25" x14ac:dyDescent="0.45">
      <c r="A14" t="s">
        <v>133</v>
      </c>
      <c r="B14" t="s">
        <v>127</v>
      </c>
      <c r="C14" s="9" t="str">
        <f t="shared" si="0"/>
        <v>Talles Medevives (LFCC)</v>
      </c>
      <c r="D14" s="10"/>
    </row>
    <row r="15" spans="1:4" ht="14.25" x14ac:dyDescent="0.45">
      <c r="A15" t="s">
        <v>134</v>
      </c>
      <c r="B15" t="s">
        <v>135</v>
      </c>
      <c r="C15" s="9" t="str">
        <f t="shared" si="0"/>
        <v>Dean Tacey (LRC)</v>
      </c>
      <c r="D15" s="10"/>
    </row>
    <row r="16" spans="1:4" ht="14.25" x14ac:dyDescent="0.45">
      <c r="A16" t="s">
        <v>136</v>
      </c>
      <c r="B16" t="s">
        <v>137</v>
      </c>
      <c r="C16" s="9" t="str">
        <f t="shared" si="0"/>
        <v>Joe Murray (M I Racing)</v>
      </c>
    </row>
    <row r="17" spans="1:3" ht="14.25" x14ac:dyDescent="0.45">
      <c r="A17" t="s">
        <v>138</v>
      </c>
      <c r="B17" t="s">
        <v>139</v>
      </c>
      <c r="C17" s="9" t="str">
        <f t="shared" si="0"/>
        <v>Chris Booth (MOCC)</v>
      </c>
    </row>
    <row r="18" spans="1:3" ht="14.25" x14ac:dyDescent="0.45">
      <c r="A18" t="s">
        <v>140</v>
      </c>
      <c r="B18" t="s">
        <v>139</v>
      </c>
      <c r="C18" s="9" t="str">
        <f t="shared" si="0"/>
        <v>David Cooper (MOCC)</v>
      </c>
    </row>
    <row r="19" spans="1:3" ht="14.25" x14ac:dyDescent="0.45">
      <c r="A19" t="s">
        <v>141</v>
      </c>
      <c r="B19" t="s">
        <v>139</v>
      </c>
      <c r="C19" s="9" t="str">
        <f t="shared" si="0"/>
        <v>Jamie Haines (MOCC)</v>
      </c>
    </row>
    <row r="20" spans="1:3" ht="14.25" x14ac:dyDescent="0.45">
      <c r="A20" t="s">
        <v>142</v>
      </c>
      <c r="B20" t="s">
        <v>139</v>
      </c>
      <c r="C20" s="9" t="str">
        <f t="shared" si="0"/>
        <v>Laura Ayers (MOCC)</v>
      </c>
    </row>
    <row r="21" spans="1:3" ht="14.25" x14ac:dyDescent="0.45">
      <c r="A21" t="s">
        <v>143</v>
      </c>
      <c r="B21" t="s">
        <v>144</v>
      </c>
      <c r="C21" s="9" t="str">
        <f t="shared" si="0"/>
        <v>Lewis Cooper (RAF Tri)</v>
      </c>
    </row>
    <row r="22" spans="1:3" ht="14.25" x14ac:dyDescent="0.45">
      <c r="A22" t="s">
        <v>145</v>
      </c>
      <c r="B22" t="s">
        <v>146</v>
      </c>
      <c r="C22" s="9" t="str">
        <f t="shared" si="0"/>
        <v>Alex Whitmore (RATAE)</v>
      </c>
    </row>
    <row r="23" spans="1:3" ht="14.25" x14ac:dyDescent="0.45">
      <c r="A23" t="s">
        <v>147</v>
      </c>
      <c r="B23" t="s">
        <v>146</v>
      </c>
      <c r="C23" s="9" t="str">
        <f t="shared" si="0"/>
        <v>Brian Lincoln (RATAE)</v>
      </c>
    </row>
    <row r="24" spans="1:3" ht="14.25" x14ac:dyDescent="0.45">
      <c r="A24" t="s">
        <v>148</v>
      </c>
      <c r="B24" t="s">
        <v>146</v>
      </c>
      <c r="C24" s="9" t="str">
        <f t="shared" si="0"/>
        <v>Chris Bonsor (RATAE)</v>
      </c>
    </row>
    <row r="25" spans="1:3" ht="14.25" x14ac:dyDescent="0.45">
      <c r="A25" t="s">
        <v>149</v>
      </c>
      <c r="B25" t="s">
        <v>146</v>
      </c>
      <c r="C25" s="9" t="str">
        <f t="shared" si="0"/>
        <v>Chris Spray (RATAE)</v>
      </c>
    </row>
    <row r="26" spans="1:3" ht="14.25" x14ac:dyDescent="0.45">
      <c r="A26" t="s">
        <v>150</v>
      </c>
      <c r="B26" t="s">
        <v>146</v>
      </c>
      <c r="C26" s="9" t="str">
        <f t="shared" si="0"/>
        <v>Ed Watson (RATAE)</v>
      </c>
    </row>
    <row r="27" spans="1:3" ht="14.25" x14ac:dyDescent="0.45">
      <c r="A27" t="s">
        <v>151</v>
      </c>
      <c r="B27" t="s">
        <v>146</v>
      </c>
      <c r="C27" s="9" t="str">
        <f t="shared" si="0"/>
        <v>Mark Marmoy (RATAE)</v>
      </c>
    </row>
    <row r="28" spans="1:3" ht="14.25" x14ac:dyDescent="0.45">
      <c r="A28" t="s">
        <v>152</v>
      </c>
      <c r="B28" t="s">
        <v>146</v>
      </c>
      <c r="C28" s="9" t="str">
        <f t="shared" si="0"/>
        <v>Mark Newton (RATAE)</v>
      </c>
    </row>
    <row r="29" spans="1:3" ht="14.25" x14ac:dyDescent="0.45">
      <c r="A29" t="s">
        <v>153</v>
      </c>
      <c r="B29" t="s">
        <v>146</v>
      </c>
      <c r="C29" s="9" t="str">
        <f t="shared" si="0"/>
        <v>Marshall Briggs (RATAE)</v>
      </c>
    </row>
    <row r="30" spans="1:3" ht="14.25" x14ac:dyDescent="0.45">
      <c r="A30" t="s">
        <v>154</v>
      </c>
      <c r="B30" t="s">
        <v>146</v>
      </c>
      <c r="C30" s="9" t="str">
        <f t="shared" si="0"/>
        <v>Paul Eden (RATAE)</v>
      </c>
    </row>
    <row r="31" spans="1:3" ht="14.25" x14ac:dyDescent="0.45">
      <c r="A31" t="s">
        <v>155</v>
      </c>
      <c r="B31" t="s">
        <v>146</v>
      </c>
      <c r="C31" s="9" t="str">
        <f t="shared" si="0"/>
        <v>Sadie Murphy (RATAE)</v>
      </c>
    </row>
    <row r="32" spans="1:3" ht="14.25" x14ac:dyDescent="0.45">
      <c r="A32" t="s">
        <v>156</v>
      </c>
      <c r="B32" t="s">
        <v>146</v>
      </c>
      <c r="C32" s="9" t="str">
        <f t="shared" si="0"/>
        <v>Steve Pearce (RATAE)</v>
      </c>
    </row>
    <row r="33" spans="1:3" ht="14.25" x14ac:dyDescent="0.45">
      <c r="A33" t="s">
        <v>157</v>
      </c>
      <c r="B33" t="s">
        <v>158</v>
      </c>
      <c r="C33" s="9" t="str">
        <f t="shared" si="0"/>
        <v>Adam Wells (RFW)</v>
      </c>
    </row>
    <row r="34" spans="1:3" ht="14.25" x14ac:dyDescent="0.45">
      <c r="A34" t="s">
        <v>159</v>
      </c>
      <c r="B34" t="s">
        <v>158</v>
      </c>
      <c r="C34" s="9" t="str">
        <f t="shared" si="0"/>
        <v>Alex Borrowman (RFW)</v>
      </c>
    </row>
    <row r="35" spans="1:3" ht="14.25" x14ac:dyDescent="0.45">
      <c r="A35" t="s">
        <v>160</v>
      </c>
      <c r="B35" t="s">
        <v>158</v>
      </c>
      <c r="C35" s="9" t="str">
        <f t="shared" si="0"/>
        <v>Chris Fowler (RFW)</v>
      </c>
    </row>
    <row r="36" spans="1:3" ht="14.25" x14ac:dyDescent="0.45">
      <c r="A36" t="s">
        <v>161</v>
      </c>
      <c r="B36" t="s">
        <v>158</v>
      </c>
      <c r="C36" s="9" t="str">
        <f t="shared" si="0"/>
        <v>Ethan Mitchell-Clarke (RFW)</v>
      </c>
    </row>
    <row r="37" spans="1:3" ht="14.25" x14ac:dyDescent="0.45">
      <c r="A37" t="s">
        <v>162</v>
      </c>
      <c r="B37" t="s">
        <v>158</v>
      </c>
      <c r="C37" s="9" t="str">
        <f t="shared" si="0"/>
        <v>Lynne Scofield (RFW)</v>
      </c>
    </row>
    <row r="38" spans="1:3" ht="14.25" x14ac:dyDescent="0.45">
      <c r="A38" t="s">
        <v>163</v>
      </c>
      <c r="B38" t="s">
        <v>158</v>
      </c>
      <c r="C38" s="9" t="str">
        <f t="shared" si="0"/>
        <v>Michael Carter (RFW)</v>
      </c>
    </row>
    <row r="39" spans="1:3" ht="14.25" x14ac:dyDescent="0.45">
      <c r="A39" t="s">
        <v>154</v>
      </c>
      <c r="B39" t="s">
        <v>158</v>
      </c>
      <c r="C39" s="9" t="str">
        <f t="shared" si="0"/>
        <v>Paul Eden (RFW)</v>
      </c>
    </row>
    <row r="40" spans="1:3" ht="14.25" x14ac:dyDescent="0.45">
      <c r="A40" t="s">
        <v>164</v>
      </c>
      <c r="B40" t="s">
        <v>158</v>
      </c>
      <c r="C40" s="9" t="str">
        <f t="shared" si="0"/>
        <v>Phil Wilkinson (RFW)</v>
      </c>
    </row>
    <row r="41" spans="1:3" ht="14.25" x14ac:dyDescent="0.45">
      <c r="A41" t="s">
        <v>165</v>
      </c>
      <c r="B41" t="s">
        <v>158</v>
      </c>
      <c r="C41" s="9" t="str">
        <f t="shared" si="0"/>
        <v>Philip Wilkinson (RFW)</v>
      </c>
    </row>
    <row r="42" spans="1:3" ht="14.25" x14ac:dyDescent="0.45">
      <c r="A42" t="s">
        <v>166</v>
      </c>
      <c r="B42" t="s">
        <v>167</v>
      </c>
      <c r="C42" s="9" t="str">
        <f t="shared" si="0"/>
        <v>Adrian James (Rugby RCC)</v>
      </c>
    </row>
    <row r="43" spans="1:3" ht="14.25" x14ac:dyDescent="0.45">
      <c r="A43" t="s">
        <v>168</v>
      </c>
      <c r="B43" t="s">
        <v>169</v>
      </c>
      <c r="C43" s="9" t="str">
        <f t="shared" si="0"/>
        <v>Carl Shaw (Speedhub)</v>
      </c>
    </row>
    <row r="44" spans="1:3" ht="14.25" x14ac:dyDescent="0.45">
      <c r="A44" t="s">
        <v>170</v>
      </c>
      <c r="B44" t="s">
        <v>171</v>
      </c>
      <c r="C44" s="9" t="str">
        <f t="shared" si="0"/>
        <v>Oliver Searle (St Ives CC)</v>
      </c>
    </row>
    <row r="45" spans="1:3" ht="14.25" x14ac:dyDescent="0.45">
      <c r="A45" t="s">
        <v>172</v>
      </c>
      <c r="B45" t="s">
        <v>173</v>
      </c>
      <c r="C45" s="9" t="str">
        <f t="shared" si="0"/>
        <v>Colin Parkinson (SWRC)</v>
      </c>
    </row>
    <row r="46" spans="1:3" ht="14.25" x14ac:dyDescent="0.45">
      <c r="A46" t="s">
        <v>174</v>
      </c>
      <c r="C46" s="9" t="str">
        <f t="shared" si="0"/>
        <v>Derek Lawlor ()</v>
      </c>
    </row>
    <row r="47" spans="1:3" ht="14.25" x14ac:dyDescent="0.45">
      <c r="A47" t="s">
        <v>175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D17" sqref="D17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1.6875000000000001E-2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181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150</v>
      </c>
      <c r="B15" s="19">
        <v>0</v>
      </c>
      <c r="C15" s="20">
        <v>28</v>
      </c>
      <c r="D15" s="20">
        <v>42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180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opLeftCell="A30" zoomScaleNormal="100" workbookViewId="0">
      <selection activeCell="E55" sqref="E5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 t="s">
        <v>182</v>
      </c>
      <c r="B2" s="19">
        <v>0</v>
      </c>
      <c r="C2" s="19">
        <v>22</v>
      </c>
      <c r="D2" s="19">
        <v>15</v>
      </c>
      <c r="E2" s="19" t="s">
        <v>183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184</v>
      </c>
      <c r="B3" s="19">
        <v>0</v>
      </c>
      <c r="C3" s="19">
        <v>22</v>
      </c>
      <c r="D3" s="19">
        <v>20</v>
      </c>
      <c r="E3" s="19" t="s">
        <v>183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185</v>
      </c>
      <c r="B4" s="19">
        <v>0</v>
      </c>
      <c r="C4" s="19">
        <v>23</v>
      </c>
      <c r="D4" s="19">
        <v>15</v>
      </c>
      <c r="E4" s="19" t="s">
        <v>183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186</v>
      </c>
      <c r="B5" s="19">
        <v>0</v>
      </c>
      <c r="C5" s="19">
        <v>23</v>
      </c>
      <c r="D5" s="19">
        <v>43</v>
      </c>
      <c r="E5" s="19" t="s">
        <v>180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187</v>
      </c>
      <c r="B6" s="19">
        <v>0</v>
      </c>
      <c r="C6" s="19">
        <v>23</v>
      </c>
      <c r="D6" s="19">
        <v>46</v>
      </c>
      <c r="E6" s="19" t="s">
        <v>183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183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188</v>
      </c>
      <c r="B8" s="19">
        <v>0</v>
      </c>
      <c r="C8" s="19">
        <v>24</v>
      </c>
      <c r="D8" s="19">
        <v>28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189</v>
      </c>
      <c r="B9" s="19">
        <v>0</v>
      </c>
      <c r="C9" s="19">
        <v>25</v>
      </c>
      <c r="D9" s="19">
        <v>16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190</v>
      </c>
      <c r="B10" s="19">
        <v>0</v>
      </c>
      <c r="C10" s="19">
        <v>25</v>
      </c>
      <c r="D10" s="19">
        <v>19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191</v>
      </c>
      <c r="B11" s="19">
        <v>0</v>
      </c>
      <c r="C11" s="19">
        <v>25</v>
      </c>
      <c r="D11" s="19">
        <v>36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192</v>
      </c>
      <c r="B12" s="19">
        <v>0</v>
      </c>
      <c r="C12" s="19">
        <v>25</v>
      </c>
      <c r="D12" s="19">
        <v>48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193</v>
      </c>
      <c r="B13" s="19">
        <v>0</v>
      </c>
      <c r="C13" s="19">
        <v>25</v>
      </c>
      <c r="D13" s="19">
        <v>49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194</v>
      </c>
      <c r="B14" s="19">
        <v>0</v>
      </c>
      <c r="C14" s="19">
        <v>25</v>
      </c>
      <c r="D14" s="19">
        <v>58</v>
      </c>
      <c r="E14" s="19" t="s">
        <v>183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165</v>
      </c>
      <c r="B15" s="19">
        <v>0</v>
      </c>
      <c r="C15" s="19">
        <v>26</v>
      </c>
      <c r="D15" s="19">
        <v>18</v>
      </c>
      <c r="E15" s="19" t="s">
        <v>183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157</v>
      </c>
      <c r="B16" s="19">
        <v>0</v>
      </c>
      <c r="C16" s="19">
        <v>26</v>
      </c>
      <c r="D16" s="19">
        <v>40</v>
      </c>
      <c r="E16" s="19" t="s">
        <v>183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195</v>
      </c>
      <c r="B17" s="19">
        <v>0</v>
      </c>
      <c r="C17" s="19">
        <v>26</v>
      </c>
      <c r="D17" s="19">
        <v>49</v>
      </c>
      <c r="E17" s="19" t="s">
        <v>180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196</v>
      </c>
      <c r="B18" s="19">
        <v>0</v>
      </c>
      <c r="C18" s="19">
        <v>26</v>
      </c>
      <c r="D18" s="19">
        <v>50</v>
      </c>
      <c r="E18" s="19" t="s">
        <v>183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183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197</v>
      </c>
      <c r="B20" s="19">
        <v>0</v>
      </c>
      <c r="C20" s="19">
        <v>27</v>
      </c>
      <c r="D20" s="19">
        <v>56</v>
      </c>
      <c r="E20" s="19" t="s">
        <v>183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183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198</v>
      </c>
      <c r="B22" s="19">
        <v>0</v>
      </c>
      <c r="C22" s="19">
        <v>28</v>
      </c>
      <c r="D22" s="19">
        <v>38</v>
      </c>
      <c r="E22" s="19" t="s">
        <v>183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199</v>
      </c>
      <c r="B24" s="19">
        <v>0</v>
      </c>
      <c r="C24" s="19">
        <v>28</v>
      </c>
      <c r="D24" s="19">
        <v>49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200</v>
      </c>
      <c r="B26" s="19">
        <v>0</v>
      </c>
      <c r="C26" s="19">
        <v>29</v>
      </c>
      <c r="D26" s="19">
        <v>13</v>
      </c>
      <c r="E26" s="19" t="s">
        <v>183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201</v>
      </c>
      <c r="B27" s="19">
        <v>0</v>
      </c>
      <c r="C27" s="19">
        <v>29</v>
      </c>
      <c r="D27" s="19">
        <v>55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202</v>
      </c>
      <c r="B28" s="19">
        <v>0</v>
      </c>
      <c r="C28" s="19">
        <v>29</v>
      </c>
      <c r="D28" s="19">
        <v>58</v>
      </c>
      <c r="E28" s="19" t="s">
        <v>183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203</v>
      </c>
      <c r="B29" s="19">
        <v>0</v>
      </c>
      <c r="C29" s="19">
        <v>30</v>
      </c>
      <c r="D29" s="19">
        <v>17</v>
      </c>
      <c r="E29" s="19" t="s">
        <v>183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204</v>
      </c>
      <c r="B30" s="19">
        <v>0</v>
      </c>
      <c r="C30" s="19">
        <v>30</v>
      </c>
      <c r="D30" s="19">
        <v>19</v>
      </c>
      <c r="E30" s="19" t="s">
        <v>183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205</v>
      </c>
      <c r="B31" s="19">
        <v>0</v>
      </c>
      <c r="C31" s="19">
        <v>30</v>
      </c>
      <c r="D31" s="19">
        <v>36</v>
      </c>
      <c r="E31" s="19" t="s">
        <v>183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206</v>
      </c>
      <c r="B32" s="19">
        <v>0</v>
      </c>
      <c r="C32" s="19">
        <v>31</v>
      </c>
      <c r="D32" s="19">
        <v>20</v>
      </c>
      <c r="E32" s="19" t="s">
        <v>183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207</v>
      </c>
      <c r="B33" s="19">
        <v>0</v>
      </c>
      <c r="C33" s="19">
        <v>31</v>
      </c>
      <c r="D33" s="19">
        <v>20</v>
      </c>
      <c r="E33" s="19" t="s">
        <v>180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208</v>
      </c>
      <c r="B34" s="19">
        <v>0</v>
      </c>
      <c r="C34" s="19">
        <v>32</v>
      </c>
      <c r="D34" s="19">
        <v>1</v>
      </c>
      <c r="E34" s="19" t="s">
        <v>180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>
        <v>674</v>
      </c>
      <c r="B35" s="19">
        <v>0</v>
      </c>
      <c r="C35" s="19">
        <v>32</v>
      </c>
      <c r="D35" s="19">
        <v>7</v>
      </c>
      <c r="E35" s="19" t="s">
        <v>183</v>
      </c>
      <c r="F35" s="19"/>
      <c r="G35" s="21" t="str">
        <f>IF(ISBLANK($A35),"",IF($I35="X",A35,CONCATENATE(VLOOKUP(A35,Competitors!$A$2:$I$650,3, FALSE)," ",VLOOKUP(A35,Competitors!$A$2:$I$650,2,FALSE))))</f>
        <v>Jennifer Clegg</v>
      </c>
      <c r="H35" s="22">
        <f t="shared" si="0"/>
        <v>2.2303240740740742E-2</v>
      </c>
      <c r="I35" t="str">
        <f t="shared" si="1"/>
        <v/>
      </c>
    </row>
    <row r="36" spans="1:9" ht="15" x14ac:dyDescent="0.4">
      <c r="A36" s="19" t="s">
        <v>209</v>
      </c>
      <c r="B36" s="19">
        <v>0</v>
      </c>
      <c r="C36" s="19">
        <v>33</v>
      </c>
      <c r="D36" s="19">
        <v>6</v>
      </c>
      <c r="E36" s="19" t="s">
        <v>183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210</v>
      </c>
      <c r="B37" s="19">
        <v>0</v>
      </c>
      <c r="C37" s="19">
        <v>33</v>
      </c>
      <c r="D37" s="19">
        <v>42</v>
      </c>
      <c r="E37" s="19" t="s">
        <v>183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211</v>
      </c>
      <c r="B38" s="19">
        <v>0</v>
      </c>
      <c r="C38" s="19">
        <v>34</v>
      </c>
      <c r="D38" s="19">
        <v>7</v>
      </c>
      <c r="E38" s="19" t="s">
        <v>180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212</v>
      </c>
      <c r="B39" s="19">
        <v>0</v>
      </c>
      <c r="C39" s="19">
        <v>35</v>
      </c>
      <c r="D39" s="19">
        <v>28</v>
      </c>
      <c r="E39" s="19" t="s">
        <v>180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162</v>
      </c>
      <c r="B40" s="19">
        <v>0</v>
      </c>
      <c r="C40" s="19">
        <v>36</v>
      </c>
      <c r="D40" s="19">
        <v>48</v>
      </c>
      <c r="E40" s="19" t="s">
        <v>180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180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213</v>
      </c>
      <c r="B42" s="19">
        <v>0</v>
      </c>
      <c r="C42" s="19">
        <v>45</v>
      </c>
      <c r="D42" s="19">
        <v>29</v>
      </c>
      <c r="E42" s="19" t="s">
        <v>180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214</v>
      </c>
      <c r="B43" s="19">
        <v>1</v>
      </c>
      <c r="C43" s="19">
        <v>0</v>
      </c>
      <c r="D43" s="19">
        <v>0</v>
      </c>
      <c r="E43" s="19"/>
      <c r="F43" s="19" t="s">
        <v>215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216</v>
      </c>
      <c r="B44" s="19">
        <v>2</v>
      </c>
      <c r="C44" s="19">
        <v>0</v>
      </c>
      <c r="D44" s="19">
        <v>0</v>
      </c>
      <c r="E44" s="19"/>
      <c r="F44" s="19" t="s">
        <v>215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217</v>
      </c>
      <c r="B45" s="19">
        <v>3</v>
      </c>
      <c r="C45" s="19">
        <v>0</v>
      </c>
      <c r="D45" s="19">
        <v>0</v>
      </c>
      <c r="E45" s="19"/>
      <c r="F45" s="19" t="s">
        <v>215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149</v>
      </c>
      <c r="B46" s="19">
        <v>4</v>
      </c>
      <c r="C46" s="19">
        <v>0</v>
      </c>
      <c r="D46" s="19">
        <v>0</v>
      </c>
      <c r="E46" s="19"/>
      <c r="F46" s="19" t="s">
        <v>215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218</v>
      </c>
      <c r="B47" s="19">
        <v>5</v>
      </c>
      <c r="C47" s="19">
        <v>0</v>
      </c>
      <c r="D47" s="19">
        <v>0</v>
      </c>
      <c r="E47" s="19"/>
      <c r="F47" s="19" t="s">
        <v>215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219</v>
      </c>
      <c r="B48" s="19">
        <v>6</v>
      </c>
      <c r="C48" s="19">
        <v>0</v>
      </c>
      <c r="D48" s="19">
        <v>0</v>
      </c>
      <c r="E48" s="19"/>
      <c r="F48" s="19" t="s">
        <v>215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180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220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13" sqref="A1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164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>
        <v>674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Jennifer Clegg</v>
      </c>
      <c r="H13" s="22">
        <f t="shared" si="0"/>
        <v>4.8368055555555553E-2</v>
      </c>
      <c r="I13" t="str">
        <f t="shared" si="1"/>
        <v/>
      </c>
    </row>
    <row r="14" spans="1:9" ht="15" x14ac:dyDescent="0.4">
      <c r="A14" s="26" t="s">
        <v>221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225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162</v>
      </c>
      <c r="B21" s="19">
        <v>3</v>
      </c>
      <c r="C21" s="19">
        <v>0</v>
      </c>
      <c r="D21" s="19">
        <v>0</v>
      </c>
      <c r="E21" s="19"/>
      <c r="F21" s="19" t="s">
        <v>215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601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7" sqref="A27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8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145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180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222</v>
      </c>
      <c r="B5" s="19">
        <v>0</v>
      </c>
      <c r="C5" s="19">
        <v>25</v>
      </c>
      <c r="D5" s="19">
        <v>6</v>
      </c>
      <c r="E5" s="19" t="s">
        <v>47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180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180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180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180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180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47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180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180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156</v>
      </c>
      <c r="B19" s="19">
        <v>0</v>
      </c>
      <c r="C19" s="19">
        <v>29</v>
      </c>
      <c r="D19" s="19">
        <v>57</v>
      </c>
      <c r="E19" s="19" t="s">
        <v>180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223</v>
      </c>
      <c r="B20" s="19">
        <v>0</v>
      </c>
      <c r="C20" s="19">
        <v>30</v>
      </c>
      <c r="D20" s="19">
        <v>9</v>
      </c>
      <c r="E20" s="19" t="s">
        <v>180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148</v>
      </c>
      <c r="B21" s="19">
        <v>0</v>
      </c>
      <c r="C21" s="19">
        <v>31</v>
      </c>
      <c r="D21" s="19">
        <v>23</v>
      </c>
      <c r="E21" s="19" t="s">
        <v>180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180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180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147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180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180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>
        <v>1062</v>
      </c>
      <c r="B27" s="19">
        <v>1</v>
      </c>
      <c r="C27" s="19">
        <v>1</v>
      </c>
      <c r="D27" s="19">
        <v>1</v>
      </c>
      <c r="E27" s="19"/>
      <c r="F27" s="19" t="s">
        <v>220</v>
      </c>
      <c r="G27" s="27" t="str">
        <f>IF(ISBLANK($A27),"",IF($I27="X",A27,CONCATENATE(VLOOKUP(A27,Competitors!$A$2:$I$650,3, FALSE)," ",VLOOKUP(A27,Competitors!$A$2:$I$650,2,FALSE))))</f>
        <v>Mark Evans</v>
      </c>
      <c r="H27" s="22">
        <f t="shared" si="0"/>
        <v>4.2372685185185187E-2</v>
      </c>
      <c r="I27" t="str">
        <f t="shared" si="1"/>
        <v/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225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153</v>
      </c>
      <c r="B29" s="19">
        <v>1</v>
      </c>
      <c r="C29" s="19">
        <v>1</v>
      </c>
      <c r="D29" s="19">
        <v>3</v>
      </c>
      <c r="E29" s="19"/>
      <c r="F29" s="19" t="s">
        <v>215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 t="s">
        <v>145</v>
      </c>
      <c r="B2" s="19">
        <v>0</v>
      </c>
      <c r="C2" s="19">
        <v>20</v>
      </c>
      <c r="D2" s="19">
        <v>54</v>
      </c>
      <c r="E2" s="19" t="s">
        <v>180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180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180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148</v>
      </c>
      <c r="B11" s="19">
        <v>0</v>
      </c>
      <c r="C11" s="19">
        <v>26</v>
      </c>
      <c r="D11" s="19">
        <v>53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147</v>
      </c>
      <c r="B15" s="19"/>
      <c r="C15" s="19"/>
      <c r="D15" s="19"/>
      <c r="E15" s="19"/>
      <c r="F15" s="19" t="s">
        <v>225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225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225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226</v>
      </c>
      <c r="B18" s="19"/>
      <c r="C18" s="19"/>
      <c r="D18" s="19"/>
      <c r="E18" s="19"/>
      <c r="F18" s="19" t="s">
        <v>225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227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228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162</v>
      </c>
      <c r="B13" s="19"/>
      <c r="C13" s="19"/>
      <c r="D13" s="19"/>
      <c r="E13" s="19"/>
      <c r="F13" s="19" t="s">
        <v>225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225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164</v>
      </c>
      <c r="B15" s="19"/>
      <c r="C15" s="19"/>
      <c r="D15" s="19"/>
      <c r="E15" s="19"/>
      <c r="F15" s="19" t="s">
        <v>225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225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164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150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148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201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156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223</v>
      </c>
      <c r="B23" s="19">
        <v>0</v>
      </c>
      <c r="C23" s="19">
        <v>25</v>
      </c>
      <c r="D23" s="19">
        <v>48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19">
        <v>26</v>
      </c>
      <c r="D26" s="19">
        <v>13</v>
      </c>
      <c r="E26" s="19" t="s">
        <v>180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229</v>
      </c>
      <c r="B27" s="19">
        <v>0</v>
      </c>
      <c r="C27" s="19">
        <v>26</v>
      </c>
      <c r="D27" s="19">
        <v>26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180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154</v>
      </c>
      <c r="B29" s="19">
        <v>0</v>
      </c>
      <c r="C29" s="19">
        <v>28</v>
      </c>
      <c r="D29" s="19">
        <v>20</v>
      </c>
      <c r="E29" s="19" t="s">
        <v>180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180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162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0" sqref="A20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 t="s">
        <v>230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160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231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157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164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190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163</v>
      </c>
      <c r="B12" s="19">
        <v>1</v>
      </c>
      <c r="C12" s="19">
        <v>5</v>
      </c>
      <c r="D12" s="19">
        <v>6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232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233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234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>
        <v>674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Jennifer Clegg</v>
      </c>
      <c r="H20" s="22">
        <f t="shared" si="0"/>
        <v>5.0034722222222223E-2</v>
      </c>
      <c r="I20" t="str">
        <f t="shared" si="1"/>
        <v/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235</v>
      </c>
      <c r="B22" s="19">
        <v>1</v>
      </c>
      <c r="C22" s="19">
        <v>13</v>
      </c>
      <c r="D22" s="19">
        <v>1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236</v>
      </c>
      <c r="B24" s="19">
        <v>1</v>
      </c>
      <c r="C24" s="19">
        <v>17</v>
      </c>
      <c r="D24" s="19">
        <v>12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162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201</v>
      </c>
      <c r="B27" s="19"/>
      <c r="C27" s="19"/>
      <c r="D27" s="19"/>
      <c r="E27" s="19"/>
      <c r="F27" s="19" t="s">
        <v>225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157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237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238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225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239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240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148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241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156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152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153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29</v>
      </c>
      <c r="D26" s="20">
        <v>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223</v>
      </c>
      <c r="B28" s="19"/>
      <c r="C28" s="20"/>
      <c r="D28" s="20"/>
      <c r="E28" s="20"/>
      <c r="F28" s="20" t="s">
        <v>215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242</v>
      </c>
      <c r="B29" s="19"/>
      <c r="C29" s="20"/>
      <c r="D29" s="20"/>
      <c r="E29" s="20"/>
      <c r="F29" s="20" t="s">
        <v>215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243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244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241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148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240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156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245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153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162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147</v>
      </c>
      <c r="B34" s="19">
        <v>0</v>
      </c>
      <c r="C34" s="20">
        <v>28</v>
      </c>
      <c r="D34" s="20">
        <v>28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154</v>
      </c>
      <c r="B37" s="19">
        <v>0</v>
      </c>
      <c r="C37" s="20">
        <v>29</v>
      </c>
      <c r="D37" s="20">
        <v>11</v>
      </c>
      <c r="E37" s="20" t="s">
        <v>180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224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246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247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248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249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250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251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163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252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253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254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255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256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257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258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259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260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261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262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236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263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264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243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265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 t="s">
        <v>247</v>
      </c>
      <c r="B2" s="19">
        <v>0</v>
      </c>
      <c r="C2" s="20">
        <v>22</v>
      </c>
      <c r="D2" s="20">
        <v>58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266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267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268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260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20">
        <v>26</v>
      </c>
      <c r="D16" s="20">
        <v>21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153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263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147</v>
      </c>
      <c r="B29" s="19">
        <v>0</v>
      </c>
      <c r="C29" s="20">
        <v>30</v>
      </c>
      <c r="D29" s="20">
        <v>24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269</v>
      </c>
      <c r="B30" s="19">
        <v>0</v>
      </c>
      <c r="C30" s="20">
        <v>30</v>
      </c>
      <c r="D30" s="20">
        <v>33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265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 t="s">
        <v>247</v>
      </c>
      <c r="B2" s="19">
        <v>0</v>
      </c>
      <c r="C2" s="20">
        <v>23</v>
      </c>
      <c r="D2" s="20">
        <v>29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249</v>
      </c>
      <c r="B3" s="19">
        <v>0</v>
      </c>
      <c r="C3" s="20">
        <v>23</v>
      </c>
      <c r="D3" s="20">
        <v>54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248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266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252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270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163</v>
      </c>
      <c r="B12" s="19">
        <v>0</v>
      </c>
      <c r="C12" s="20">
        <v>25</v>
      </c>
      <c r="D12" s="20">
        <v>44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271</v>
      </c>
      <c r="B14" s="19">
        <v>0</v>
      </c>
      <c r="C14" s="20">
        <v>26</v>
      </c>
      <c r="D14" s="20">
        <v>23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267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272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268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245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28</v>
      </c>
      <c r="D22" s="20">
        <v>10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273</v>
      </c>
      <c r="B28" s="19">
        <v>0</v>
      </c>
      <c r="C28" s="20">
        <v>28</v>
      </c>
      <c r="D28" s="20">
        <v>42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260</v>
      </c>
      <c r="B29" s="19">
        <v>0</v>
      </c>
      <c r="C29" s="20">
        <v>29</v>
      </c>
      <c r="D29" s="20">
        <v>12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263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274</v>
      </c>
      <c r="B34" s="19">
        <v>0</v>
      </c>
      <c r="C34" s="20">
        <v>30</v>
      </c>
      <c r="D34" s="20">
        <v>48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265</v>
      </c>
      <c r="B35" s="19">
        <v>0</v>
      </c>
      <c r="C35" s="20">
        <v>31</v>
      </c>
      <c r="D35" s="20">
        <v>50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215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243</v>
      </c>
      <c r="B39" s="19"/>
      <c r="C39" s="20"/>
      <c r="D39" s="20"/>
      <c r="E39" s="20"/>
      <c r="F39" s="20" t="s">
        <v>215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9" sqref="A29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247</v>
      </c>
      <c r="B3" s="19">
        <v>0</v>
      </c>
      <c r="C3" s="20">
        <v>23</v>
      </c>
      <c r="D3" s="20">
        <v>15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275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249</v>
      </c>
      <c r="B5" s="19">
        <v>0</v>
      </c>
      <c r="C5" s="20">
        <v>23</v>
      </c>
      <c r="D5" s="20">
        <v>46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248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266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276</v>
      </c>
      <c r="B10" s="19">
        <v>0</v>
      </c>
      <c r="C10" s="20">
        <v>24</v>
      </c>
      <c r="D10" s="20">
        <v>34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277</v>
      </c>
      <c r="B11" s="19">
        <v>0</v>
      </c>
      <c r="C11" s="20">
        <v>24</v>
      </c>
      <c r="D11" s="20">
        <v>45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227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272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260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153</v>
      </c>
      <c r="B26" s="19">
        <v>0</v>
      </c>
      <c r="C26" s="20">
        <v>27</v>
      </c>
      <c r="D26" s="20">
        <v>48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151</v>
      </c>
      <c r="B27" s="19">
        <v>0</v>
      </c>
      <c r="C27" s="20">
        <v>28</v>
      </c>
      <c r="D27" s="20">
        <v>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>
        <v>674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Jennifer Clegg</v>
      </c>
      <c r="H29" s="22">
        <f t="shared" si="0"/>
        <v>1.9571759259259261E-2</v>
      </c>
      <c r="I29" t="str">
        <f t="shared" si="1"/>
        <v/>
      </c>
    </row>
    <row r="30" spans="1:9" ht="15" x14ac:dyDescent="0.4">
      <c r="A30" s="19" t="s">
        <v>278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263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 t="s">
        <v>170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168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279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280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281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248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282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164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283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284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260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272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175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285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166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286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287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288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174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180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289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263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290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180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291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180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292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293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294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180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172</v>
      </c>
      <c r="B53" s="19"/>
      <c r="C53" s="20"/>
      <c r="D53" s="20"/>
      <c r="E53" s="20"/>
      <c r="F53" s="20" t="s">
        <v>224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 t="s">
        <v>295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296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247</v>
      </c>
      <c r="B4" s="19">
        <v>0</v>
      </c>
      <c r="C4" s="20">
        <v>23</v>
      </c>
      <c r="D4" s="29">
        <v>41</v>
      </c>
      <c r="E4" s="20" t="s">
        <v>180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248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297</v>
      </c>
      <c r="B11" s="19">
        <v>0</v>
      </c>
      <c r="C11" s="20">
        <v>26</v>
      </c>
      <c r="D11" s="29">
        <v>12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298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272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285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299</v>
      </c>
      <c r="B19" s="19">
        <v>0</v>
      </c>
      <c r="C19" s="20">
        <v>28</v>
      </c>
      <c r="D19" s="29">
        <v>3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286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300</v>
      </c>
      <c r="B25" s="19">
        <v>0</v>
      </c>
      <c r="C25" s="20">
        <v>29</v>
      </c>
      <c r="D25" s="29">
        <v>56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301</v>
      </c>
      <c r="B26" s="19">
        <v>0</v>
      </c>
      <c r="C26" s="20">
        <v>31</v>
      </c>
      <c r="D26" s="29">
        <v>24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302</v>
      </c>
      <c r="B27" s="19">
        <v>0</v>
      </c>
      <c r="C27" s="20">
        <v>32</v>
      </c>
      <c r="D27" s="29">
        <v>14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260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292</v>
      </c>
      <c r="B29" s="19">
        <v>0</v>
      </c>
      <c r="C29" s="20">
        <v>32</v>
      </c>
      <c r="D29" s="29">
        <v>57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43" sqref="A43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 t="s">
        <v>303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295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279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281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304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47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248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305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306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307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266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237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308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255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260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284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309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310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311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312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268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313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272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314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315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316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317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286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318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180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319</v>
      </c>
      <c r="B43" s="19">
        <v>0</v>
      </c>
      <c r="C43" s="20">
        <v>26</v>
      </c>
      <c r="D43" s="20">
        <v>16</v>
      </c>
      <c r="E43" s="20" t="s">
        <v>180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180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288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320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300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180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321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263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322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292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180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323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180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30" t="s">
        <v>324</v>
      </c>
      <c r="B2" s="30">
        <v>0</v>
      </c>
      <c r="C2" s="30">
        <v>23</v>
      </c>
      <c r="D2" s="30">
        <v>12</v>
      </c>
      <c r="E2" s="30" t="s">
        <v>180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180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180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150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180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148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152</v>
      </c>
      <c r="B14" s="30">
        <v>0</v>
      </c>
      <c r="C14" s="30">
        <v>28</v>
      </c>
      <c r="D14" s="30">
        <v>27</v>
      </c>
      <c r="E14" s="30" t="s">
        <v>180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153</v>
      </c>
      <c r="B15" s="30">
        <v>0</v>
      </c>
      <c r="C15" s="30">
        <v>28</v>
      </c>
      <c r="D15" s="30">
        <v>30</v>
      </c>
      <c r="E15" s="30" t="s">
        <v>180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180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156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180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180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180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325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326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180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180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147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154</v>
      </c>
      <c r="B28" s="30">
        <v>0</v>
      </c>
      <c r="C28" s="30">
        <v>33</v>
      </c>
      <c r="D28" s="30">
        <v>15</v>
      </c>
      <c r="E28" s="30" t="s">
        <v>180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327</v>
      </c>
      <c r="B29" s="30">
        <v>0</v>
      </c>
      <c r="C29" s="30">
        <v>41</v>
      </c>
      <c r="D29" s="30">
        <v>24</v>
      </c>
      <c r="E29" s="30" t="s">
        <v>180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B17" sqref="B17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36" t="s">
        <v>328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246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329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330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230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180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180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190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270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180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284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180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331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332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333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>
        <v>1348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/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180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180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180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334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180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335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180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232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271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180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180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336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180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337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203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234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233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236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196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180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180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338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339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340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180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210</v>
      </c>
      <c r="B43" s="36">
        <v>0</v>
      </c>
      <c r="C43" s="37">
        <v>6</v>
      </c>
      <c r="D43" s="38">
        <v>2.37</v>
      </c>
      <c r="E43" s="37" t="s">
        <v>47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341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644</v>
      </c>
      <c r="B104" t="str">
        <f ca="1">_xlfn.XLOOKUP(B103,Calendar!L:L,Calendar!G:G,"Event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abSelected="1" zoomScale="75" zoomScaleNormal="75" workbookViewId="0">
      <selection activeCell="G2" sqref="G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153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156</v>
      </c>
      <c r="B21" s="19">
        <v>0</v>
      </c>
      <c r="C21" s="20">
        <v>29</v>
      </c>
      <c r="D21" s="20">
        <v>54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31</v>
      </c>
      <c r="D26" s="20">
        <v>28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362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361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643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644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10</vt:i4>
      </vt:variant>
    </vt:vector>
  </HeadingPairs>
  <TitlesOfParts>
    <vt:vector size="42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2025-12-05T17:37:36Z</dcterms:modified>
</cp:coreProperties>
</file>