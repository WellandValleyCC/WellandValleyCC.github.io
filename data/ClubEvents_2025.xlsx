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6BB1C1E-93EC-4C07-9D3C-97A75300A926}" xr6:coauthVersionLast="47" xr6:coauthVersionMax="47" xr10:uidLastSave="{00000000-0000-0000-0000-000000000000}"/>
  <bookViews>
    <workbookView xWindow="-98" yWindow="-98" windowWidth="28996" windowHeight="17475" activeTab="8" xr2:uid="{45F9DFA6-3E60-47DF-96C3-C485FAB93508}"/>
  </bookViews>
  <sheets>
    <sheet name="Revisions" sheetId="1" r:id="rId1"/>
    <sheet name="Competitors" sheetId="31" r:id="rId2"/>
    <sheet name="NameLookup" sheetId="33" r:id="rId3"/>
    <sheet name="Calendar (2)" sheetId="36" r:id="rId4"/>
    <sheet name="Calendar" sheetId="2" r:id="rId5"/>
    <sheet name="Leagues (2)" sheetId="37" r:id="rId6"/>
    <sheet name="Leagues" sheetId="35" r:id="rId7"/>
    <sheet name="RoundRobinRiders" sheetId="4" r:id="rId8"/>
    <sheet name="Event_01" sheetId="5" r:id="rId9"/>
    <sheet name="Event_02" sheetId="6" r:id="rId10"/>
    <sheet name="Event_03" sheetId="7" r:id="rId11"/>
    <sheet name="Event_04" sheetId="8" r:id="rId12"/>
    <sheet name="Event_05" sheetId="9" r:id="rId13"/>
    <sheet name="Event_06" sheetId="10" r:id="rId14"/>
    <sheet name="Event_07" sheetId="11" r:id="rId15"/>
    <sheet name="Event_08" sheetId="12" r:id="rId16"/>
    <sheet name="Event_09" sheetId="13" r:id="rId17"/>
    <sheet name="Event_10" sheetId="14" r:id="rId18"/>
    <sheet name="Event_11" sheetId="15" r:id="rId19"/>
    <sheet name="Event_12" sheetId="16" r:id="rId20"/>
    <sheet name="Event_13" sheetId="17" r:id="rId21"/>
    <sheet name="Event_14" sheetId="18" r:id="rId22"/>
    <sheet name="Event_15" sheetId="19" r:id="rId23"/>
    <sheet name="Event_16" sheetId="20" r:id="rId24"/>
    <sheet name="Event_17" sheetId="21" r:id="rId25"/>
    <sheet name="Event_18" sheetId="22" r:id="rId26"/>
    <sheet name="Event_19" sheetId="23" r:id="rId27"/>
    <sheet name="Event_20" sheetId="24" r:id="rId28"/>
    <sheet name="Event_21" sheetId="25" r:id="rId29"/>
    <sheet name="Event_22" sheetId="26" r:id="rId30"/>
    <sheet name="Event_23" sheetId="27" r:id="rId31"/>
    <sheet name="Event_24" sheetId="28" r:id="rId32"/>
    <sheet name="Event_25" sheetId="29" r:id="rId33"/>
    <sheet name="Event_26" sheetId="30" r:id="rId34"/>
    <sheet name="Event_27" sheetId="34" r:id="rId35"/>
  </sheets>
  <definedNames>
    <definedName name="Calendar" localSheetId="3">'Calendar (2)'!$A$2:$F$27</definedName>
    <definedName name="Calendar">Calendar!#REF!</definedName>
    <definedName name="CalendarEventNumbers" localSheetId="3">'Calendar (2)'!$A$2:$A$27</definedName>
    <definedName name="CalendarEventNumbers">Calendar!#REF!</definedName>
    <definedName name="ClubNames">NameLookup!$B$2:$B$402</definedName>
    <definedName name="ClubNumbers">NameLookup!$A$2:$A$402</definedName>
    <definedName name="MemberData">Event_01!$G$2</definedName>
    <definedName name="NonTenEvents" localSheetId="3">'Calendar (2)'!$I$2:$I$27</definedName>
    <definedName name="NonTenEvents">Calendar!#REF!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 localSheetId="3">'Calendar (2)'!$J$2:$J$27</definedName>
    <definedName name="TenMileEvents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37" l="1"/>
  <c r="A100" i="37"/>
  <c r="A99" i="37"/>
  <c r="A98" i="37"/>
  <c r="A97" i="37"/>
  <c r="A96" i="37"/>
  <c r="A95" i="37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A78" i="37"/>
  <c r="A77" i="37"/>
  <c r="A76" i="37"/>
  <c r="A75" i="37"/>
  <c r="A74" i="37"/>
  <c r="A73" i="37"/>
  <c r="A72" i="37"/>
  <c r="A71" i="37"/>
  <c r="A70" i="37"/>
  <c r="A69" i="37"/>
  <c r="A68" i="37"/>
  <c r="A67" i="37"/>
  <c r="A66" i="37"/>
  <c r="A65" i="37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K28" i="36"/>
  <c r="J28" i="36"/>
  <c r="I28" i="36"/>
  <c r="K27" i="36"/>
  <c r="J27" i="36"/>
  <c r="I27" i="36"/>
  <c r="K26" i="36"/>
  <c r="J26" i="36"/>
  <c r="I26" i="36"/>
  <c r="K25" i="36"/>
  <c r="J25" i="36"/>
  <c r="I25" i="36"/>
  <c r="K24" i="36"/>
  <c r="J24" i="36"/>
  <c r="I24" i="36"/>
  <c r="K23" i="36"/>
  <c r="J23" i="36"/>
  <c r="I23" i="36"/>
  <c r="K22" i="36"/>
  <c r="J22" i="36"/>
  <c r="I22" i="36"/>
  <c r="K21" i="36"/>
  <c r="J21" i="36"/>
  <c r="I21" i="36"/>
  <c r="K20" i="36"/>
  <c r="J20" i="36"/>
  <c r="I20" i="36"/>
  <c r="K19" i="36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E7" i="36"/>
  <c r="K6" i="36"/>
  <c r="J6" i="36"/>
  <c r="I6" i="36"/>
  <c r="K5" i="36"/>
  <c r="J5" i="36"/>
  <c r="I5" i="36"/>
  <c r="K4" i="36"/>
  <c r="J4" i="36"/>
  <c r="I4" i="36"/>
  <c r="K3" i="36"/>
  <c r="J3" i="36"/>
  <c r="I3" i="36"/>
  <c r="A3" i="36"/>
  <c r="L2" i="36"/>
  <c r="K2" i="36"/>
  <c r="J2" i="36"/>
  <c r="I2" i="36"/>
  <c r="A101" i="35"/>
  <c r="A100" i="35"/>
  <c r="A99" i="35"/>
  <c r="A98" i="35"/>
  <c r="A97" i="35"/>
  <c r="A96" i="35"/>
  <c r="A95" i="35"/>
  <c r="A94" i="35"/>
  <c r="A93" i="35"/>
  <c r="A92" i="35"/>
  <c r="A91" i="35"/>
  <c r="A90" i="35"/>
  <c r="A89" i="35"/>
  <c r="A88" i="35"/>
  <c r="A87" i="35"/>
  <c r="A86" i="35"/>
  <c r="A85" i="35"/>
  <c r="A84" i="35"/>
  <c r="A83" i="35"/>
  <c r="A82" i="35"/>
  <c r="A81" i="35"/>
  <c r="A80" i="35"/>
  <c r="A79" i="35"/>
  <c r="A78" i="35"/>
  <c r="A77" i="35"/>
  <c r="A76" i="35"/>
  <c r="A75" i="35"/>
  <c r="A74" i="35"/>
  <c r="A73" i="35"/>
  <c r="A72" i="35"/>
  <c r="A71" i="35"/>
  <c r="A70" i="35"/>
  <c r="A69" i="35"/>
  <c r="A68" i="35"/>
  <c r="A67" i="35"/>
  <c r="A66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A2" i="35"/>
  <c r="J2" i="2"/>
  <c r="B103" i="34" a="1"/>
  <c r="B103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" i="2"/>
  <c r="I2" i="2"/>
  <c r="K2" i="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B104" i="34" l="1"/>
  <c r="A4" i="36"/>
  <c r="L3" i="36"/>
  <c r="B104" i="6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36" l="1"/>
  <c r="A5" i="36"/>
  <c r="L5" i="36" l="1"/>
  <c r="A6" i="36"/>
  <c r="B104" i="7"/>
  <c r="B104" i="8"/>
  <c r="L6" i="36" l="1"/>
  <c r="A7" i="36"/>
  <c r="L7" i="36" l="1"/>
  <c r="A8" i="36"/>
  <c r="B104" i="9"/>
  <c r="L8" i="36" l="1"/>
  <c r="A9" i="36"/>
  <c r="B104" i="10"/>
  <c r="L9" i="36" l="1"/>
  <c r="A10" i="36"/>
  <c r="B104" i="12"/>
  <c r="B104" i="11"/>
  <c r="A11" i="36" l="1"/>
  <c r="L10" i="36"/>
  <c r="L11" i="36" l="1"/>
  <c r="A12" i="36"/>
  <c r="B104" i="13"/>
  <c r="L12" i="36" l="1"/>
  <c r="A13" i="36"/>
  <c r="B104" i="15"/>
  <c r="L13" i="36" l="1"/>
  <c r="A14" i="36"/>
  <c r="L14" i="36" l="1"/>
  <c r="A15" i="36"/>
  <c r="B104" i="17"/>
  <c r="L15" i="36" l="1"/>
  <c r="A16" i="36"/>
  <c r="L16" i="36" l="1"/>
  <c r="A17" i="36"/>
  <c r="A18" i="36" l="1"/>
  <c r="L17" i="36"/>
  <c r="L18" i="36" l="1"/>
  <c r="A19" i="36"/>
  <c r="A20" i="36" l="1"/>
  <c r="L19" i="36"/>
  <c r="L20" i="36" l="1"/>
  <c r="A21" i="36"/>
  <c r="L21" i="36" l="1"/>
  <c r="A22" i="36"/>
  <c r="L22" i="36" l="1"/>
  <c r="A23" i="36"/>
  <c r="B104" i="25"/>
  <c r="B104" i="16"/>
  <c r="B104" i="18"/>
  <c r="B104" i="19"/>
  <c r="B104" i="23"/>
  <c r="B104" i="22"/>
  <c r="B104" i="21"/>
  <c r="B104" i="24"/>
  <c r="B104" i="20"/>
  <c r="L23" i="36" l="1"/>
  <c r="A24" i="36"/>
  <c r="A25" i="36" l="1"/>
  <c r="L24" i="36"/>
  <c r="B104" i="26"/>
  <c r="B104" i="27"/>
  <c r="A26" i="36" l="1"/>
  <c r="L25" i="36"/>
  <c r="L26" i="36" l="1"/>
  <c r="A27" i="36"/>
  <c r="B104" i="28"/>
  <c r="B104" i="14"/>
  <c r="A28" i="36" l="1"/>
  <c r="L28" i="36" s="1"/>
  <c r="L27" i="36"/>
  <c r="B104" i="29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<sst xmlns="http://schemas.openxmlformats.org/spreadsheetml/2006/main" count="1603" uniqueCount="540">
  <si>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</si>
  <si>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</si>
  <si>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</si>
  <si>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</si>
  <si>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</si>
  <si>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</si>
  <si>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</si>
  <si>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</si>
  <si>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</si>
  <si>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</si>
  <si>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</si>
  <si>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</si>
  <si>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</si>
  <si>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</si>
  <si>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</si>
  <si>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</si>
  <si>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</si>
  <si>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</si>
  <si>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</si>
  <si>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</si>
  <si>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</si>
  <si>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</si>
  <si>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</si>
  <si>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</si>
  <si>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</si>
  <si>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</si>
  <si>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</si>
  <si>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</si>
  <si>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</si>
  <si>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</si>
  <si>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</si>
  <si>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</si>
  <si>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</si>
  <si>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</si>
  <si>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</si>
  <si>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</si>
  <si>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</si>
  <si>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</si>
  <si>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</si>
  <si>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</si>
  <si>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</si>
  <si>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</si>
  <si>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</si>
  <si>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</si>
  <si>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</si>
  <si>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</si>
  <si>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</si>
  <si>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</si>
  <si>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</si>
  <si>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</si>
  <si>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</si>
  <si>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</si>
  <si>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</si>
  <si>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</si>
  <si>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</si>
  <si>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</si>
  <si>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</si>
  <si>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</si>
  <si>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</si>
  <si>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</si>
  <si>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</si>
  <si>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</si>
  <si>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</si>
  <si>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</si>
  <si>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</si>
  <si>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</si>
  <si>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</si>
  <si>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</si>
  <si>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</si>
  <si>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</si>
  <si>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</si>
  <si>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</si>
  <si>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</si>
  <si>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</si>
  <si>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</si>
  <si>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</si>
  <si>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</si>
  <si>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</si>
  <si>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</si>
  <si>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</si>
  <si>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</si>
  <si>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</si>
  <si>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</si>
  <si>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</si>
  <si>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</si>
  <si>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</si>
  <si>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</si>
  <si>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</si>
  <si>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</si>
  <si>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</si>
  <si>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</si>
  <si>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</si>
  <si>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</si>
  <si>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</si>
  <si>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</si>
  <si>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</si>
  <si>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</si>
  <si>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</si>
  <si>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</si>
  <si>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</si>
  <si>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</si>
  <si>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</si>
  <si>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</si>
  <si>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</si>
  <si>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</si>
  <si>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</si>
  <si>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</si>
  <si>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</si>
  <si>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</si>
  <si>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</si>
  <si>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</si>
  <si>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</si>
  <si>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</si>
  <si>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</si>
  <si>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</si>
  <si>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</si>
  <si>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</si>
  <si>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</si>
  <si>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</si>
  <si>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</si>
  <si>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</si>
  <si>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</si>
  <si>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</si>
  <si>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</si>
  <si>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</si>
  <si>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</si>
  <si>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</si>
  <si>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</si>
  <si>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</si>
  <si>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</si>
  <si>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</si>
  <si>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</si>
  <si>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</si>
  <si>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</si>
  <si>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</si>
  <si>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</si>
  <si>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</si>
  <si>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</si>
  <si>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</si>
  <si>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</si>
  <si>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</si>
  <si>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</si>
  <si>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</si>
  <si>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</si>
  <si>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</si>
  <si>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</si>
  <si>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</si>
  <si>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</si>
  <si>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</si>
  <si>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</si>
  <si>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</si>
  <si>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</si>
  <si>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</si>
  <si>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</si>
  <si>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</si>
  <si>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</si>
  <si>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</si>
  <si>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</si>
  <si>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</si>
  <si>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</si>
  <si>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</si>
  <si>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</si>
  <si>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</si>
  <si>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</si>
  <si>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</si>
  <si>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</si>
  <si>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</si>
  <si>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</si>
  <si>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</si>
  <si>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</si>
  <si>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</si>
  <si>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</si>
  <si>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</si>
  <si>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</si>
  <si>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</si>
  <si>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</si>
  <si>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</si>
  <si>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</si>
  <si>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Graham Doe</t>
  </si>
  <si>
    <t>Laurence Noble</t>
  </si>
  <si>
    <t>Miles Marr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</si>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</sst>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3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181</v>
      </c>
    </row>
    <row r="3" spans="1:3" x14ac:dyDescent="0.35">
      <c r="C3" t="s">
        <v>182</v>
      </c>
    </row>
    <row r="4" spans="1:3" x14ac:dyDescent="0.35">
      <c r="C4" t="s">
        <v>183</v>
      </c>
    </row>
    <row r="5" spans="1:3" x14ac:dyDescent="0.35">
      <c r="C5" t="s">
        <v>184</v>
      </c>
    </row>
    <row r="6" spans="1:3" x14ac:dyDescent="0.35">
      <c r="C6" t="s">
        <v>185</v>
      </c>
    </row>
    <row r="7" spans="1:3" x14ac:dyDescent="0.35">
      <c r="A7" s="1">
        <v>45954</v>
      </c>
      <c r="B7" s="1" t="s">
        <v>0</v>
      </c>
      <c r="C7" t="s">
        <v>475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194</v>
      </c>
      <c r="B1" t="s">
        <v>47</v>
      </c>
      <c r="C1" t="s">
        <v>195</v>
      </c>
      <c r="D1" t="s">
        <v>193</v>
      </c>
      <c r="E1" t="s">
        <v>192</v>
      </c>
      <c r="F1" t="s">
        <v>533</v>
      </c>
      <c r="G1" t="s">
        <v>534</v>
      </c>
      <c r="H1" t="s">
        <v>436</v>
      </c>
    </row>
    <row r="2" spans="1:10" x14ac:dyDescent="0.35">
      <c r="A2">
        <v>1237</v>
      </c>
      <c r="B2" t="s">
        <v>48</v>
      </c>
      <c r="C2" t="s">
        <v>49</v>
      </c>
      <c r="D2" t="s">
        <v>59</v>
      </c>
      <c r="E2" t="b">
        <v>0</v>
      </c>
      <c r="F2" t="s">
        <v>535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48</v>
      </c>
      <c r="C3" t="s">
        <v>50</v>
      </c>
      <c r="D3" t="s">
        <v>59</v>
      </c>
      <c r="E3" t="b">
        <v>0</v>
      </c>
      <c r="F3" t="s">
        <v>536</v>
      </c>
      <c r="H3" s="1">
        <v>46000</v>
      </c>
      <c r="J3" s="1"/>
    </row>
    <row r="4" spans="1:10" x14ac:dyDescent="0.35">
      <c r="A4">
        <v>1197</v>
      </c>
      <c r="B4" t="s">
        <v>51</v>
      </c>
      <c r="C4" t="s">
        <v>52</v>
      </c>
      <c r="D4" t="s">
        <v>59</v>
      </c>
      <c r="E4" t="b">
        <v>0</v>
      </c>
      <c r="F4" t="s">
        <v>535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53</v>
      </c>
      <c r="C5" t="s">
        <v>54</v>
      </c>
      <c r="D5" t="s">
        <v>59</v>
      </c>
      <c r="E5" t="b">
        <v>1</v>
      </c>
      <c r="F5" t="s">
        <v>536</v>
      </c>
      <c r="H5" s="1">
        <v>46000</v>
      </c>
      <c r="J5" s="1"/>
    </row>
    <row r="6" spans="1:10" x14ac:dyDescent="0.35">
      <c r="A6">
        <v>819</v>
      </c>
      <c r="B6" t="s">
        <v>55</v>
      </c>
      <c r="C6" t="s">
        <v>56</v>
      </c>
      <c r="D6" t="s">
        <v>59</v>
      </c>
      <c r="E6" t="b">
        <v>1</v>
      </c>
      <c r="F6" t="s">
        <v>535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57</v>
      </c>
      <c r="C7" t="s">
        <v>58</v>
      </c>
      <c r="D7" t="s">
        <v>59</v>
      </c>
      <c r="E7" t="b">
        <v>0</v>
      </c>
      <c r="F7" t="s">
        <v>535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60</v>
      </c>
      <c r="C8" t="s">
        <v>61</v>
      </c>
      <c r="D8" t="s">
        <v>59</v>
      </c>
      <c r="E8" t="b">
        <v>0</v>
      </c>
      <c r="F8" t="s">
        <v>535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62</v>
      </c>
      <c r="C9" t="s">
        <v>61</v>
      </c>
      <c r="D9" t="s">
        <v>59</v>
      </c>
      <c r="E9" t="b">
        <v>0</v>
      </c>
      <c r="F9" t="s">
        <v>535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62</v>
      </c>
      <c r="C10" t="s">
        <v>63</v>
      </c>
      <c r="D10" t="s">
        <v>59</v>
      </c>
      <c r="E10" t="b">
        <v>0</v>
      </c>
      <c r="F10" t="s">
        <v>536</v>
      </c>
      <c r="H10" s="1">
        <v>46000</v>
      </c>
      <c r="J10" s="1"/>
    </row>
    <row r="11" spans="1:10" x14ac:dyDescent="0.35">
      <c r="A11">
        <v>1153</v>
      </c>
      <c r="B11" t="s">
        <v>64</v>
      </c>
      <c r="C11" t="s">
        <v>65</v>
      </c>
      <c r="D11" t="s">
        <v>59</v>
      </c>
      <c r="E11" t="b">
        <v>0</v>
      </c>
      <c r="F11" t="s">
        <v>536</v>
      </c>
      <c r="H11" s="1">
        <v>46000</v>
      </c>
      <c r="J11" s="1"/>
    </row>
    <row r="12" spans="1:10" x14ac:dyDescent="0.35">
      <c r="A12">
        <v>1372</v>
      </c>
      <c r="B12" t="s">
        <v>66</v>
      </c>
      <c r="C12" t="s">
        <v>191</v>
      </c>
      <c r="D12" t="s">
        <v>59</v>
      </c>
      <c r="E12" t="b">
        <v>0</v>
      </c>
      <c r="F12" t="s">
        <v>536</v>
      </c>
      <c r="H12" s="1">
        <v>46000</v>
      </c>
      <c r="J12" s="1"/>
    </row>
    <row r="13" spans="1:10" x14ac:dyDescent="0.35">
      <c r="A13">
        <v>1112</v>
      </c>
      <c r="B13" t="s">
        <v>67</v>
      </c>
      <c r="C13" t="s">
        <v>68</v>
      </c>
      <c r="D13" t="s">
        <v>59</v>
      </c>
      <c r="E13" t="b">
        <v>0</v>
      </c>
      <c r="F13" t="s">
        <v>535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69</v>
      </c>
      <c r="C14" t="s">
        <v>70</v>
      </c>
      <c r="D14" t="s">
        <v>59</v>
      </c>
      <c r="E14" t="b">
        <v>0</v>
      </c>
      <c r="F14" t="s">
        <v>535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71</v>
      </c>
      <c r="C15" t="s">
        <v>72</v>
      </c>
      <c r="D15" t="s">
        <v>59</v>
      </c>
      <c r="E15" t="b">
        <v>0</v>
      </c>
      <c r="F15" t="s">
        <v>537</v>
      </c>
      <c r="H15" s="1">
        <v>46000</v>
      </c>
      <c r="J15" s="1"/>
    </row>
    <row r="16" spans="1:10" x14ac:dyDescent="0.35">
      <c r="A16">
        <v>1328</v>
      </c>
      <c r="B16" t="s">
        <v>190</v>
      </c>
      <c r="C16" t="s">
        <v>73</v>
      </c>
      <c r="D16" t="s">
        <v>59</v>
      </c>
      <c r="E16" t="b">
        <v>0</v>
      </c>
      <c r="F16" t="s">
        <v>535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74</v>
      </c>
      <c r="C17" t="s">
        <v>75</v>
      </c>
      <c r="D17" t="s">
        <v>59</v>
      </c>
      <c r="E17" t="b">
        <v>0</v>
      </c>
      <c r="F17" t="s">
        <v>535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74</v>
      </c>
      <c r="C18" t="s">
        <v>76</v>
      </c>
      <c r="D18" t="s">
        <v>77</v>
      </c>
      <c r="E18" t="b">
        <v>0</v>
      </c>
      <c r="F18" t="s">
        <v>535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74</v>
      </c>
      <c r="C19" t="s">
        <v>78</v>
      </c>
      <c r="D19" t="s">
        <v>77</v>
      </c>
      <c r="E19" t="b">
        <v>0</v>
      </c>
      <c r="F19" t="s">
        <v>535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79</v>
      </c>
      <c r="C20" t="s">
        <v>80</v>
      </c>
      <c r="D20" t="s">
        <v>59</v>
      </c>
      <c r="E20" t="b">
        <v>0</v>
      </c>
      <c r="F20" t="s">
        <v>535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81</v>
      </c>
      <c r="C21" t="s">
        <v>82</v>
      </c>
      <c r="D21" t="s">
        <v>188</v>
      </c>
      <c r="E21" t="b">
        <v>1</v>
      </c>
      <c r="F21" t="s">
        <v>536</v>
      </c>
      <c r="H21" s="1">
        <v>46000</v>
      </c>
      <c r="J21" s="1"/>
    </row>
    <row r="22" spans="1:10" x14ac:dyDescent="0.35">
      <c r="A22">
        <v>1275</v>
      </c>
      <c r="B22" t="s">
        <v>81</v>
      </c>
      <c r="C22" t="s">
        <v>83</v>
      </c>
      <c r="D22" t="s">
        <v>59</v>
      </c>
      <c r="E22" t="b">
        <v>1</v>
      </c>
      <c r="F22" t="s">
        <v>537</v>
      </c>
      <c r="H22" s="1">
        <v>46000</v>
      </c>
      <c r="J22" s="1"/>
    </row>
    <row r="23" spans="1:10" x14ac:dyDescent="0.35">
      <c r="A23">
        <v>68</v>
      </c>
      <c r="B23" t="s">
        <v>84</v>
      </c>
      <c r="C23" t="s">
        <v>85</v>
      </c>
      <c r="D23" t="s">
        <v>77</v>
      </c>
      <c r="E23" t="b">
        <v>0</v>
      </c>
      <c r="F23" t="s">
        <v>535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189</v>
      </c>
      <c r="C24" t="s">
        <v>86</v>
      </c>
      <c r="D24" t="s">
        <v>59</v>
      </c>
      <c r="E24" t="b">
        <v>0</v>
      </c>
      <c r="F24" t="s">
        <v>535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87</v>
      </c>
      <c r="C25" t="s">
        <v>88</v>
      </c>
      <c r="D25" t="s">
        <v>59</v>
      </c>
      <c r="E25" t="b">
        <v>1</v>
      </c>
      <c r="F25" t="s">
        <v>536</v>
      </c>
      <c r="H25" s="1">
        <v>46000</v>
      </c>
      <c r="J25" s="1"/>
    </row>
    <row r="26" spans="1:10" x14ac:dyDescent="0.35">
      <c r="A26">
        <v>10</v>
      </c>
      <c r="B26" t="s">
        <v>89</v>
      </c>
      <c r="C26" t="s">
        <v>90</v>
      </c>
      <c r="D26" t="s">
        <v>77</v>
      </c>
      <c r="E26" t="b">
        <v>0</v>
      </c>
      <c r="F26" t="s">
        <v>535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89</v>
      </c>
      <c r="C27" t="s">
        <v>91</v>
      </c>
      <c r="D27" t="s">
        <v>59</v>
      </c>
      <c r="E27" t="b">
        <v>1</v>
      </c>
      <c r="F27" t="s">
        <v>535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92</v>
      </c>
      <c r="C28" t="s">
        <v>93</v>
      </c>
      <c r="D28" t="s">
        <v>59</v>
      </c>
      <c r="E28" t="b">
        <v>0</v>
      </c>
      <c r="F28" t="s">
        <v>535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94</v>
      </c>
      <c r="C29" t="s">
        <v>95</v>
      </c>
      <c r="D29" t="s">
        <v>59</v>
      </c>
      <c r="E29" t="b">
        <v>0</v>
      </c>
      <c r="F29" t="s">
        <v>535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96</v>
      </c>
      <c r="C30" t="s">
        <v>97</v>
      </c>
      <c r="D30" t="s">
        <v>59</v>
      </c>
      <c r="E30" t="b">
        <v>0</v>
      </c>
      <c r="F30" t="s">
        <v>535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98</v>
      </c>
      <c r="C31" t="s">
        <v>80</v>
      </c>
      <c r="D31" t="s">
        <v>59</v>
      </c>
      <c r="E31" t="b">
        <v>0</v>
      </c>
      <c r="F31" t="s">
        <v>535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99</v>
      </c>
      <c r="C32" t="s">
        <v>100</v>
      </c>
      <c r="D32" t="s">
        <v>59</v>
      </c>
      <c r="E32" t="b">
        <v>1</v>
      </c>
      <c r="F32" t="s">
        <v>535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101</v>
      </c>
      <c r="C33" t="s">
        <v>80</v>
      </c>
      <c r="D33" t="s">
        <v>59</v>
      </c>
      <c r="E33" t="b">
        <v>0</v>
      </c>
      <c r="F33" t="s">
        <v>535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102</v>
      </c>
      <c r="C34" t="s">
        <v>103</v>
      </c>
      <c r="D34" t="s">
        <v>59</v>
      </c>
      <c r="E34" t="b">
        <v>0</v>
      </c>
      <c r="F34" t="s">
        <v>537</v>
      </c>
      <c r="H34" s="1">
        <v>46000</v>
      </c>
      <c r="J34" s="1"/>
    </row>
    <row r="35" spans="1:10" x14ac:dyDescent="0.35">
      <c r="A35">
        <v>1189</v>
      </c>
      <c r="B35" t="s">
        <v>102</v>
      </c>
      <c r="C35" t="s">
        <v>104</v>
      </c>
      <c r="D35" t="s">
        <v>59</v>
      </c>
      <c r="E35" t="b">
        <v>0</v>
      </c>
      <c r="F35" t="s">
        <v>537</v>
      </c>
      <c r="H35" s="1">
        <v>46000</v>
      </c>
      <c r="J35" s="1"/>
    </row>
    <row r="36" spans="1:10" x14ac:dyDescent="0.35">
      <c r="A36">
        <v>735</v>
      </c>
      <c r="B36" t="s">
        <v>102</v>
      </c>
      <c r="C36" t="s">
        <v>105</v>
      </c>
      <c r="D36" t="s">
        <v>188</v>
      </c>
      <c r="E36" t="b">
        <v>0</v>
      </c>
      <c r="F36" t="s">
        <v>536</v>
      </c>
      <c r="H36" s="1">
        <v>46000</v>
      </c>
      <c r="J36" s="1"/>
    </row>
    <row r="37" spans="1:10" x14ac:dyDescent="0.35">
      <c r="A37">
        <v>1319</v>
      </c>
      <c r="B37" t="s">
        <v>106</v>
      </c>
      <c r="C37" t="s">
        <v>58</v>
      </c>
      <c r="D37" t="s">
        <v>59</v>
      </c>
      <c r="E37" t="b">
        <v>0</v>
      </c>
      <c r="F37" t="s">
        <v>535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187</v>
      </c>
      <c r="C38" t="s">
        <v>186</v>
      </c>
      <c r="D38" t="s">
        <v>59</v>
      </c>
      <c r="E38" t="b">
        <v>0</v>
      </c>
      <c r="F38" t="s">
        <v>536</v>
      </c>
      <c r="H38" s="1">
        <v>46000</v>
      </c>
      <c r="J38" s="1"/>
    </row>
    <row r="39" spans="1:10" x14ac:dyDescent="0.35">
      <c r="A39">
        <v>1291</v>
      </c>
      <c r="B39" t="s">
        <v>107</v>
      </c>
      <c r="C39" t="s">
        <v>108</v>
      </c>
      <c r="D39" t="s">
        <v>59</v>
      </c>
      <c r="E39" t="b">
        <v>0</v>
      </c>
      <c r="F39" t="s">
        <v>535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109</v>
      </c>
      <c r="C40" t="s">
        <v>110</v>
      </c>
      <c r="D40" t="s">
        <v>59</v>
      </c>
      <c r="E40" t="b">
        <v>1</v>
      </c>
      <c r="F40" t="s">
        <v>535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109</v>
      </c>
      <c r="C41" t="s">
        <v>95</v>
      </c>
      <c r="D41" t="s">
        <v>59</v>
      </c>
      <c r="E41" t="b">
        <v>0</v>
      </c>
      <c r="F41" t="s">
        <v>535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111</v>
      </c>
      <c r="C42" t="s">
        <v>58</v>
      </c>
      <c r="D42" t="s">
        <v>59</v>
      </c>
      <c r="E42" t="b">
        <v>0</v>
      </c>
      <c r="F42" t="s">
        <v>535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112</v>
      </c>
      <c r="C43" t="s">
        <v>52</v>
      </c>
      <c r="D43" t="s">
        <v>59</v>
      </c>
      <c r="E43" t="b">
        <v>0</v>
      </c>
      <c r="F43" t="s">
        <v>535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112</v>
      </c>
      <c r="C44" t="s">
        <v>198</v>
      </c>
      <c r="D44" t="s">
        <v>59</v>
      </c>
      <c r="E44" t="b">
        <v>0</v>
      </c>
      <c r="F44" t="s">
        <v>535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199</v>
      </c>
      <c r="C45" t="s">
        <v>200</v>
      </c>
      <c r="D45" t="s">
        <v>188</v>
      </c>
      <c r="E45" t="b">
        <v>1</v>
      </c>
      <c r="F45" t="s">
        <v>535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201</v>
      </c>
      <c r="C46" t="s">
        <v>202</v>
      </c>
      <c r="D46" t="s">
        <v>59</v>
      </c>
      <c r="E46" t="b">
        <v>0</v>
      </c>
      <c r="F46" t="s">
        <v>537</v>
      </c>
      <c r="H46" s="1">
        <v>46000</v>
      </c>
      <c r="J46" s="1"/>
    </row>
    <row r="47" spans="1:10" x14ac:dyDescent="0.35">
      <c r="A47">
        <v>1061</v>
      </c>
      <c r="B47" t="s">
        <v>203</v>
      </c>
      <c r="C47" t="s">
        <v>204</v>
      </c>
      <c r="D47" t="s">
        <v>59</v>
      </c>
      <c r="E47" t="b">
        <v>0</v>
      </c>
      <c r="F47" t="s">
        <v>535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205</v>
      </c>
      <c r="C48" t="s">
        <v>86</v>
      </c>
      <c r="D48" t="s">
        <v>59</v>
      </c>
      <c r="E48" t="b">
        <v>0</v>
      </c>
      <c r="F48" t="s">
        <v>535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206</v>
      </c>
      <c r="C49" t="s">
        <v>207</v>
      </c>
      <c r="D49" t="s">
        <v>59</v>
      </c>
      <c r="E49" t="b">
        <v>1</v>
      </c>
      <c r="F49" t="s">
        <v>535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208</v>
      </c>
      <c r="C50" t="s">
        <v>209</v>
      </c>
      <c r="D50" t="s">
        <v>59</v>
      </c>
      <c r="E50" t="b">
        <v>0</v>
      </c>
      <c r="F50" t="s">
        <v>535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210</v>
      </c>
      <c r="C51" t="s">
        <v>211</v>
      </c>
      <c r="D51" t="s">
        <v>59</v>
      </c>
      <c r="E51" t="b">
        <v>0</v>
      </c>
      <c r="F51" t="s">
        <v>535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212</v>
      </c>
      <c r="C52" t="s">
        <v>213</v>
      </c>
      <c r="D52" t="s">
        <v>59</v>
      </c>
      <c r="E52" t="b">
        <v>1</v>
      </c>
      <c r="F52" t="s">
        <v>536</v>
      </c>
      <c r="H52" s="1">
        <v>46000</v>
      </c>
      <c r="J52" s="1"/>
    </row>
    <row r="53" spans="1:10" x14ac:dyDescent="0.35">
      <c r="A53">
        <v>704</v>
      </c>
      <c r="B53" t="s">
        <v>214</v>
      </c>
      <c r="C53" t="s">
        <v>65</v>
      </c>
      <c r="D53" t="s">
        <v>59</v>
      </c>
      <c r="E53" t="b">
        <v>0</v>
      </c>
      <c r="F53" t="s">
        <v>535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215</v>
      </c>
      <c r="C54" t="s">
        <v>216</v>
      </c>
      <c r="D54" t="s">
        <v>59</v>
      </c>
      <c r="E54" t="b">
        <v>0</v>
      </c>
      <c r="F54" t="s">
        <v>535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217</v>
      </c>
      <c r="C55" t="s">
        <v>218</v>
      </c>
      <c r="D55" t="s">
        <v>59</v>
      </c>
      <c r="E55" t="b">
        <v>0</v>
      </c>
      <c r="F55" t="s">
        <v>535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219</v>
      </c>
      <c r="C56" t="s">
        <v>93</v>
      </c>
      <c r="D56" t="s">
        <v>59</v>
      </c>
      <c r="E56" t="b">
        <v>0</v>
      </c>
      <c r="F56" t="s">
        <v>536</v>
      </c>
      <c r="H56" s="1">
        <v>46000</v>
      </c>
      <c r="J56" s="1"/>
    </row>
    <row r="57" spans="1:10" x14ac:dyDescent="0.35">
      <c r="A57">
        <v>1226</v>
      </c>
      <c r="B57" t="s">
        <v>220</v>
      </c>
      <c r="C57" t="s">
        <v>221</v>
      </c>
      <c r="D57" t="s">
        <v>59</v>
      </c>
      <c r="E57" t="b">
        <v>1</v>
      </c>
      <c r="F57" t="s">
        <v>536</v>
      </c>
      <c r="H57" s="1">
        <v>46000</v>
      </c>
      <c r="J57" s="1"/>
    </row>
    <row r="58" spans="1:10" x14ac:dyDescent="0.35">
      <c r="A58">
        <v>1333</v>
      </c>
      <c r="B58" t="s">
        <v>222</v>
      </c>
      <c r="C58" t="s">
        <v>223</v>
      </c>
      <c r="D58" t="s">
        <v>59</v>
      </c>
      <c r="E58" t="b">
        <v>0</v>
      </c>
      <c r="F58" t="s">
        <v>535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224</v>
      </c>
      <c r="C59" t="s">
        <v>225</v>
      </c>
      <c r="D59" t="s">
        <v>59</v>
      </c>
      <c r="E59" t="b">
        <v>1</v>
      </c>
      <c r="F59" t="s">
        <v>537</v>
      </c>
      <c r="H59" s="1">
        <v>46000</v>
      </c>
      <c r="J59" s="1"/>
    </row>
    <row r="60" spans="1:10" x14ac:dyDescent="0.35">
      <c r="A60">
        <v>1065</v>
      </c>
      <c r="B60" t="s">
        <v>224</v>
      </c>
      <c r="C60" t="s">
        <v>70</v>
      </c>
      <c r="D60" t="s">
        <v>59</v>
      </c>
      <c r="E60" t="b">
        <v>0</v>
      </c>
      <c r="F60" t="s">
        <v>535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226</v>
      </c>
      <c r="C61" t="s">
        <v>223</v>
      </c>
      <c r="D61" t="s">
        <v>188</v>
      </c>
      <c r="E61" t="b">
        <v>0</v>
      </c>
      <c r="F61" t="s">
        <v>535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227</v>
      </c>
      <c r="C62" t="s">
        <v>228</v>
      </c>
      <c r="D62" t="s">
        <v>59</v>
      </c>
      <c r="E62" t="b">
        <v>0</v>
      </c>
      <c r="F62" t="s">
        <v>535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229</v>
      </c>
      <c r="C63" t="s">
        <v>66</v>
      </c>
      <c r="D63" t="s">
        <v>188</v>
      </c>
      <c r="E63" t="b">
        <v>0</v>
      </c>
      <c r="F63" t="s">
        <v>535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230</v>
      </c>
      <c r="C64" t="s">
        <v>231</v>
      </c>
      <c r="D64" t="s">
        <v>59</v>
      </c>
      <c r="E64" t="b">
        <v>0</v>
      </c>
      <c r="F64" t="s">
        <v>537</v>
      </c>
      <c r="H64" s="1">
        <v>46000</v>
      </c>
      <c r="J64" s="1"/>
    </row>
    <row r="65" spans="1:10" x14ac:dyDescent="0.35">
      <c r="A65">
        <v>1236</v>
      </c>
      <c r="B65" t="s">
        <v>230</v>
      </c>
      <c r="C65" t="s">
        <v>232</v>
      </c>
      <c r="D65" t="s">
        <v>59</v>
      </c>
      <c r="E65" t="b">
        <v>1</v>
      </c>
      <c r="F65" t="s">
        <v>535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230</v>
      </c>
      <c r="C66" t="s">
        <v>233</v>
      </c>
      <c r="D66" t="s">
        <v>59</v>
      </c>
      <c r="E66" t="b">
        <v>0</v>
      </c>
      <c r="F66" t="s">
        <v>535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234</v>
      </c>
      <c r="C67" t="s">
        <v>235</v>
      </c>
      <c r="D67" t="s">
        <v>188</v>
      </c>
      <c r="E67" t="b">
        <v>0</v>
      </c>
      <c r="F67" t="s">
        <v>535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236</v>
      </c>
      <c r="C68" t="s">
        <v>237</v>
      </c>
      <c r="D68" t="s">
        <v>59</v>
      </c>
      <c r="E68" t="b">
        <v>0</v>
      </c>
      <c r="F68" t="s">
        <v>536</v>
      </c>
      <c r="H68" s="1">
        <v>46000</v>
      </c>
      <c r="J68" s="1"/>
    </row>
    <row r="69" spans="1:10" x14ac:dyDescent="0.35">
      <c r="A69">
        <v>1332</v>
      </c>
      <c r="B69" t="s">
        <v>238</v>
      </c>
      <c r="C69" t="s">
        <v>239</v>
      </c>
      <c r="D69" t="s">
        <v>59</v>
      </c>
      <c r="E69" t="b">
        <v>1</v>
      </c>
      <c r="F69" t="s">
        <v>536</v>
      </c>
      <c r="H69" s="1">
        <v>46000</v>
      </c>
      <c r="J69" s="1"/>
    </row>
    <row r="70" spans="1:10" x14ac:dyDescent="0.35">
      <c r="A70">
        <v>1355</v>
      </c>
      <c r="B70" t="s">
        <v>240</v>
      </c>
      <c r="C70" t="s">
        <v>241</v>
      </c>
      <c r="D70" t="s">
        <v>59</v>
      </c>
      <c r="E70" t="b">
        <v>0</v>
      </c>
      <c r="F70" t="s">
        <v>537</v>
      </c>
      <c r="H70" s="1">
        <v>46000</v>
      </c>
      <c r="J70" s="1"/>
    </row>
    <row r="71" spans="1:10" x14ac:dyDescent="0.35">
      <c r="A71">
        <v>1164</v>
      </c>
      <c r="B71" t="s">
        <v>242</v>
      </c>
      <c r="C71" t="s">
        <v>243</v>
      </c>
      <c r="D71" t="s">
        <v>188</v>
      </c>
      <c r="E71" t="b">
        <v>1</v>
      </c>
      <c r="F71" t="s">
        <v>536</v>
      </c>
      <c r="H71" s="1">
        <v>46000</v>
      </c>
      <c r="J71" s="1"/>
    </row>
    <row r="72" spans="1:10" x14ac:dyDescent="0.35">
      <c r="A72">
        <v>1062</v>
      </c>
      <c r="B72" t="s">
        <v>242</v>
      </c>
      <c r="C72" t="s">
        <v>95</v>
      </c>
      <c r="D72" t="s">
        <v>59</v>
      </c>
      <c r="E72" t="b">
        <v>0</v>
      </c>
      <c r="F72" t="s">
        <v>535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242</v>
      </c>
      <c r="C73" t="s">
        <v>244</v>
      </c>
      <c r="D73" t="s">
        <v>59</v>
      </c>
      <c r="E73" t="b">
        <v>1</v>
      </c>
      <c r="F73" t="s">
        <v>535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245</v>
      </c>
      <c r="C74" t="s">
        <v>246</v>
      </c>
      <c r="D74" t="s">
        <v>59</v>
      </c>
      <c r="E74" t="b">
        <v>1</v>
      </c>
      <c r="F74" t="s">
        <v>535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247</v>
      </c>
      <c r="C75" t="s">
        <v>248</v>
      </c>
      <c r="D75" t="s">
        <v>59</v>
      </c>
      <c r="E75" t="b">
        <v>1</v>
      </c>
      <c r="F75" t="s">
        <v>535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249</v>
      </c>
      <c r="C76" t="s">
        <v>250</v>
      </c>
      <c r="D76" t="s">
        <v>59</v>
      </c>
      <c r="E76" t="b">
        <v>0</v>
      </c>
      <c r="F76" t="s">
        <v>535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251</v>
      </c>
      <c r="C77" t="s">
        <v>252</v>
      </c>
      <c r="D77" t="s">
        <v>59</v>
      </c>
      <c r="E77" t="b">
        <v>1</v>
      </c>
      <c r="F77" t="s">
        <v>536</v>
      </c>
      <c r="H77" s="1">
        <v>46000</v>
      </c>
      <c r="J77" s="1"/>
    </row>
    <row r="78" spans="1:10" x14ac:dyDescent="0.35">
      <c r="A78">
        <v>933</v>
      </c>
      <c r="B78" t="s">
        <v>253</v>
      </c>
      <c r="C78" t="s">
        <v>254</v>
      </c>
      <c r="D78" t="s">
        <v>59</v>
      </c>
      <c r="E78" t="b">
        <v>0</v>
      </c>
      <c r="F78" t="s">
        <v>536</v>
      </c>
      <c r="H78" s="1">
        <v>46000</v>
      </c>
      <c r="J78" s="1"/>
    </row>
    <row r="79" spans="1:10" x14ac:dyDescent="0.35">
      <c r="A79">
        <v>1317</v>
      </c>
      <c r="B79" t="s">
        <v>255</v>
      </c>
      <c r="C79" t="s">
        <v>211</v>
      </c>
      <c r="D79" t="s">
        <v>59</v>
      </c>
      <c r="E79" t="b">
        <v>0</v>
      </c>
      <c r="F79" t="s">
        <v>535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256</v>
      </c>
      <c r="C80" t="s">
        <v>78</v>
      </c>
      <c r="D80" t="s">
        <v>77</v>
      </c>
      <c r="E80" t="b">
        <v>0</v>
      </c>
      <c r="F80" t="s">
        <v>535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257</v>
      </c>
      <c r="C81" t="s">
        <v>258</v>
      </c>
      <c r="D81" t="s">
        <v>59</v>
      </c>
      <c r="E81" t="b">
        <v>1</v>
      </c>
      <c r="F81" t="s">
        <v>535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259</v>
      </c>
      <c r="C82" t="s">
        <v>260</v>
      </c>
      <c r="D82" t="s">
        <v>59</v>
      </c>
      <c r="E82" t="b">
        <v>0</v>
      </c>
      <c r="F82" t="s">
        <v>535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261</v>
      </c>
      <c r="C83" t="s">
        <v>262</v>
      </c>
      <c r="D83" t="s">
        <v>59</v>
      </c>
      <c r="E83" t="b">
        <v>0</v>
      </c>
      <c r="F83" t="s">
        <v>537</v>
      </c>
      <c r="H83" s="1">
        <v>46000</v>
      </c>
      <c r="J83" s="1"/>
    </row>
    <row r="84" spans="1:10" x14ac:dyDescent="0.35">
      <c r="A84">
        <v>1195</v>
      </c>
      <c r="B84" t="s">
        <v>261</v>
      </c>
      <c r="C84" t="s">
        <v>263</v>
      </c>
      <c r="D84" t="s">
        <v>59</v>
      </c>
      <c r="E84" t="b">
        <v>0</v>
      </c>
      <c r="F84" t="s">
        <v>537</v>
      </c>
      <c r="H84" s="1">
        <v>46000</v>
      </c>
      <c r="J84" s="1"/>
    </row>
    <row r="85" spans="1:10" x14ac:dyDescent="0.35">
      <c r="A85">
        <v>1193</v>
      </c>
      <c r="B85" t="s">
        <v>261</v>
      </c>
      <c r="C85" t="s">
        <v>264</v>
      </c>
      <c r="D85" t="s">
        <v>59</v>
      </c>
      <c r="E85" t="b">
        <v>0</v>
      </c>
      <c r="F85" t="s">
        <v>536</v>
      </c>
      <c r="H85" s="1">
        <v>46000</v>
      </c>
      <c r="J85" s="1"/>
    </row>
    <row r="86" spans="1:10" x14ac:dyDescent="0.35">
      <c r="A86">
        <v>1194</v>
      </c>
      <c r="B86" t="s">
        <v>261</v>
      </c>
      <c r="C86" t="s">
        <v>265</v>
      </c>
      <c r="D86" t="s">
        <v>59</v>
      </c>
      <c r="E86" t="b">
        <v>1</v>
      </c>
      <c r="F86" t="s">
        <v>536</v>
      </c>
      <c r="H86" s="1">
        <v>46000</v>
      </c>
      <c r="J86" s="1"/>
    </row>
    <row r="87" spans="1:10" x14ac:dyDescent="0.35">
      <c r="A87">
        <v>936</v>
      </c>
      <c r="B87" t="s">
        <v>266</v>
      </c>
      <c r="C87" t="s">
        <v>267</v>
      </c>
      <c r="D87" t="s">
        <v>59</v>
      </c>
      <c r="E87" t="b">
        <v>0</v>
      </c>
      <c r="F87" t="s">
        <v>535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268</v>
      </c>
      <c r="C88" t="s">
        <v>269</v>
      </c>
      <c r="D88" t="s">
        <v>59</v>
      </c>
      <c r="E88" t="b">
        <v>0</v>
      </c>
      <c r="F88" t="s">
        <v>535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268</v>
      </c>
      <c r="C89" t="s">
        <v>270</v>
      </c>
      <c r="D89" t="s">
        <v>59</v>
      </c>
      <c r="E89" t="b">
        <v>0</v>
      </c>
      <c r="F89" t="s">
        <v>537</v>
      </c>
      <c r="H89" s="1">
        <v>46000</v>
      </c>
      <c r="J89" s="1"/>
    </row>
    <row r="90" spans="1:10" x14ac:dyDescent="0.35">
      <c r="A90">
        <v>1174</v>
      </c>
      <c r="B90" t="s">
        <v>268</v>
      </c>
      <c r="C90" t="s">
        <v>271</v>
      </c>
      <c r="D90" t="s">
        <v>59</v>
      </c>
      <c r="E90" t="b">
        <v>1</v>
      </c>
      <c r="F90" t="s">
        <v>535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268</v>
      </c>
      <c r="C91" t="s">
        <v>264</v>
      </c>
      <c r="D91" t="s">
        <v>59</v>
      </c>
      <c r="E91" t="b">
        <v>0</v>
      </c>
      <c r="F91" t="s">
        <v>535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272</v>
      </c>
      <c r="C92" t="s">
        <v>218</v>
      </c>
      <c r="D92" t="s">
        <v>59</v>
      </c>
      <c r="E92" t="b">
        <v>0</v>
      </c>
      <c r="F92" t="s">
        <v>536</v>
      </c>
      <c r="H92" s="1">
        <v>46000</v>
      </c>
      <c r="J92" s="1"/>
    </row>
    <row r="93" spans="1:10" x14ac:dyDescent="0.35">
      <c r="A93">
        <v>1073</v>
      </c>
      <c r="B93" t="s">
        <v>273</v>
      </c>
      <c r="C93" t="s">
        <v>264</v>
      </c>
      <c r="D93" t="s">
        <v>59</v>
      </c>
      <c r="E93" t="b">
        <v>0</v>
      </c>
      <c r="F93" t="s">
        <v>535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274</v>
      </c>
      <c r="C94" t="s">
        <v>275</v>
      </c>
      <c r="D94" t="s">
        <v>59</v>
      </c>
      <c r="E94" t="b">
        <v>0</v>
      </c>
      <c r="F94" t="s">
        <v>535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274</v>
      </c>
      <c r="C95" t="s">
        <v>276</v>
      </c>
      <c r="D95" t="s">
        <v>59</v>
      </c>
      <c r="E95" t="b">
        <v>1</v>
      </c>
      <c r="F95" t="s">
        <v>535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274</v>
      </c>
      <c r="C96" t="s">
        <v>277</v>
      </c>
      <c r="D96" t="s">
        <v>59</v>
      </c>
      <c r="E96" t="b">
        <v>1</v>
      </c>
      <c r="F96" t="s">
        <v>536</v>
      </c>
      <c r="H96" s="1">
        <v>46000</v>
      </c>
      <c r="J96" s="1"/>
    </row>
    <row r="97" spans="1:10" x14ac:dyDescent="0.35">
      <c r="A97">
        <v>1367</v>
      </c>
      <c r="B97" t="s">
        <v>274</v>
      </c>
      <c r="C97" t="s">
        <v>262</v>
      </c>
      <c r="D97" t="s">
        <v>59</v>
      </c>
      <c r="E97" t="b">
        <v>0</v>
      </c>
      <c r="F97" t="s">
        <v>537</v>
      </c>
      <c r="H97" s="1">
        <v>46000</v>
      </c>
      <c r="J97" s="1"/>
    </row>
    <row r="98" spans="1:10" x14ac:dyDescent="0.35">
      <c r="A98">
        <v>1387</v>
      </c>
      <c r="B98" t="s">
        <v>278</v>
      </c>
      <c r="C98" t="s">
        <v>279</v>
      </c>
      <c r="D98" t="s">
        <v>59</v>
      </c>
      <c r="E98" t="b">
        <v>1</v>
      </c>
      <c r="F98" t="s">
        <v>536</v>
      </c>
      <c r="H98" s="1">
        <v>46000</v>
      </c>
      <c r="J98" s="1"/>
    </row>
    <row r="99" spans="1:10" x14ac:dyDescent="0.35">
      <c r="A99">
        <v>1308</v>
      </c>
      <c r="B99" t="s">
        <v>280</v>
      </c>
      <c r="C99" t="s">
        <v>281</v>
      </c>
      <c r="D99" t="s">
        <v>59</v>
      </c>
      <c r="E99" t="b">
        <v>1</v>
      </c>
      <c r="F99" t="s">
        <v>535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282</v>
      </c>
      <c r="C100" t="s">
        <v>283</v>
      </c>
      <c r="D100" t="s">
        <v>59</v>
      </c>
      <c r="E100" t="b">
        <v>1</v>
      </c>
      <c r="F100" t="s">
        <v>535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282</v>
      </c>
      <c r="C101" t="s">
        <v>90</v>
      </c>
      <c r="D101" t="s">
        <v>59</v>
      </c>
      <c r="E101" t="b">
        <v>0</v>
      </c>
      <c r="F101" t="s">
        <v>535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284</v>
      </c>
      <c r="C102" t="s">
        <v>228</v>
      </c>
      <c r="D102" t="s">
        <v>59</v>
      </c>
      <c r="E102" t="b">
        <v>0</v>
      </c>
      <c r="F102" t="s">
        <v>535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285</v>
      </c>
      <c r="C103" t="s">
        <v>286</v>
      </c>
      <c r="D103" t="s">
        <v>59</v>
      </c>
      <c r="E103" t="b">
        <v>0</v>
      </c>
      <c r="F103" t="s">
        <v>535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287</v>
      </c>
      <c r="C104" t="s">
        <v>263</v>
      </c>
      <c r="D104" t="s">
        <v>59</v>
      </c>
      <c r="E104" t="b">
        <v>0</v>
      </c>
      <c r="F104" t="s">
        <v>535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287</v>
      </c>
      <c r="C105" t="s">
        <v>288</v>
      </c>
      <c r="D105" t="s">
        <v>59</v>
      </c>
      <c r="E105" t="b">
        <v>0</v>
      </c>
      <c r="F105" t="s">
        <v>536</v>
      </c>
      <c r="H105" s="1">
        <v>46000</v>
      </c>
      <c r="J105" s="1"/>
    </row>
    <row r="106" spans="1:10" x14ac:dyDescent="0.35">
      <c r="A106">
        <v>746</v>
      </c>
      <c r="B106" t="s">
        <v>289</v>
      </c>
      <c r="C106" t="s">
        <v>70</v>
      </c>
      <c r="D106" t="s">
        <v>59</v>
      </c>
      <c r="E106" t="b">
        <v>0</v>
      </c>
      <c r="F106" t="s">
        <v>535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290</v>
      </c>
      <c r="C107" t="s">
        <v>291</v>
      </c>
      <c r="D107" t="s">
        <v>59</v>
      </c>
      <c r="E107" t="b">
        <v>0</v>
      </c>
      <c r="F107" t="s">
        <v>535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292</v>
      </c>
      <c r="C108" t="s">
        <v>198</v>
      </c>
      <c r="D108" t="s">
        <v>59</v>
      </c>
      <c r="E108" t="b">
        <v>0</v>
      </c>
      <c r="F108" t="s">
        <v>535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293</v>
      </c>
      <c r="C109" t="s">
        <v>294</v>
      </c>
      <c r="D109" t="s">
        <v>59</v>
      </c>
      <c r="E109" t="b">
        <v>1</v>
      </c>
      <c r="F109" t="s">
        <v>535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295</v>
      </c>
      <c r="C110" t="s">
        <v>200</v>
      </c>
      <c r="D110" t="s">
        <v>59</v>
      </c>
      <c r="E110" t="b">
        <v>1</v>
      </c>
      <c r="F110" t="s">
        <v>535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296</v>
      </c>
      <c r="C111" t="s">
        <v>297</v>
      </c>
      <c r="D111" t="s">
        <v>59</v>
      </c>
      <c r="E111" t="b">
        <v>1</v>
      </c>
      <c r="F111" t="s">
        <v>536</v>
      </c>
      <c r="H111" s="1">
        <v>46000</v>
      </c>
      <c r="J111" s="1"/>
    </row>
    <row r="112" spans="1:10" x14ac:dyDescent="0.35">
      <c r="A112">
        <v>23</v>
      </c>
      <c r="B112" t="s">
        <v>298</v>
      </c>
      <c r="C112" t="s">
        <v>65</v>
      </c>
      <c r="D112" t="s">
        <v>59</v>
      </c>
      <c r="E112" t="b">
        <v>0</v>
      </c>
      <c r="F112" t="s">
        <v>535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299</v>
      </c>
      <c r="C113" t="s">
        <v>300</v>
      </c>
      <c r="D113" t="s">
        <v>188</v>
      </c>
      <c r="E113" t="b">
        <v>1</v>
      </c>
      <c r="F113" t="s">
        <v>538</v>
      </c>
      <c r="H113" s="1">
        <v>46000</v>
      </c>
      <c r="J113" s="1"/>
    </row>
    <row r="114" spans="1:10" x14ac:dyDescent="0.35">
      <c r="A114">
        <v>581</v>
      </c>
      <c r="B114" t="s">
        <v>301</v>
      </c>
      <c r="C114" t="s">
        <v>302</v>
      </c>
      <c r="D114" t="s">
        <v>59</v>
      </c>
      <c r="E114" t="b">
        <v>0</v>
      </c>
      <c r="F114" t="s">
        <v>535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303</v>
      </c>
      <c r="C115" t="s">
        <v>304</v>
      </c>
      <c r="D115" t="s">
        <v>59</v>
      </c>
      <c r="E115" t="b">
        <v>0</v>
      </c>
      <c r="F115" t="s">
        <v>536</v>
      </c>
      <c r="H115" s="1">
        <v>46000</v>
      </c>
      <c r="J115" s="1"/>
    </row>
    <row r="116" spans="1:10" x14ac:dyDescent="0.35">
      <c r="A116">
        <v>25</v>
      </c>
      <c r="B116" t="s">
        <v>50</v>
      </c>
      <c r="C116" t="s">
        <v>305</v>
      </c>
      <c r="D116" t="s">
        <v>59</v>
      </c>
      <c r="E116" t="b">
        <v>0</v>
      </c>
      <c r="F116" t="s">
        <v>535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306</v>
      </c>
      <c r="C117" t="s">
        <v>264</v>
      </c>
      <c r="D117" t="s">
        <v>188</v>
      </c>
      <c r="E117" t="b">
        <v>0</v>
      </c>
      <c r="F117" t="s">
        <v>536</v>
      </c>
      <c r="H117" s="1">
        <v>46000</v>
      </c>
      <c r="J117" s="1"/>
    </row>
    <row r="118" spans="1:10" x14ac:dyDescent="0.35">
      <c r="A118">
        <v>1144</v>
      </c>
      <c r="B118" t="s">
        <v>307</v>
      </c>
      <c r="C118" t="s">
        <v>308</v>
      </c>
      <c r="D118" t="s">
        <v>188</v>
      </c>
      <c r="E118" t="b">
        <v>0</v>
      </c>
      <c r="F118" t="s">
        <v>538</v>
      </c>
      <c r="H118" s="1">
        <v>46000</v>
      </c>
      <c r="J118" s="1"/>
    </row>
    <row r="119" spans="1:10" x14ac:dyDescent="0.35">
      <c r="A119">
        <v>415</v>
      </c>
      <c r="B119" t="s">
        <v>307</v>
      </c>
      <c r="C119" t="s">
        <v>309</v>
      </c>
      <c r="D119" t="s">
        <v>59</v>
      </c>
      <c r="E119" t="b">
        <v>0</v>
      </c>
      <c r="F119" t="s">
        <v>535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310</v>
      </c>
      <c r="C120" t="s">
        <v>311</v>
      </c>
      <c r="D120" t="s">
        <v>59</v>
      </c>
      <c r="E120" t="b">
        <v>0</v>
      </c>
      <c r="F120" t="s">
        <v>535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312</v>
      </c>
      <c r="C121" t="s">
        <v>209</v>
      </c>
      <c r="D121" t="s">
        <v>59</v>
      </c>
      <c r="E121" t="b">
        <v>0</v>
      </c>
      <c r="F121" t="s">
        <v>535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313</v>
      </c>
      <c r="C122" t="s">
        <v>314</v>
      </c>
      <c r="D122" t="s">
        <v>59</v>
      </c>
      <c r="E122" t="b">
        <v>1</v>
      </c>
      <c r="F122" t="s">
        <v>535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313</v>
      </c>
      <c r="C123" t="s">
        <v>267</v>
      </c>
      <c r="D123" t="s">
        <v>59</v>
      </c>
      <c r="E123" t="b">
        <v>0</v>
      </c>
      <c r="F123" t="s">
        <v>535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315</v>
      </c>
      <c r="C124" t="s">
        <v>316</v>
      </c>
      <c r="D124" t="s">
        <v>59</v>
      </c>
      <c r="E124" t="b">
        <v>0</v>
      </c>
      <c r="F124" t="s">
        <v>535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317</v>
      </c>
      <c r="C125" t="s">
        <v>264</v>
      </c>
      <c r="D125" t="s">
        <v>59</v>
      </c>
      <c r="E125" t="b">
        <v>0</v>
      </c>
      <c r="F125" t="s">
        <v>536</v>
      </c>
      <c r="H125" s="1">
        <v>46000</v>
      </c>
      <c r="J125" s="1"/>
    </row>
    <row r="126" spans="1:10" x14ac:dyDescent="0.35">
      <c r="A126">
        <v>1244</v>
      </c>
      <c r="B126" t="s">
        <v>318</v>
      </c>
      <c r="C126" t="s">
        <v>209</v>
      </c>
      <c r="D126" t="s">
        <v>59</v>
      </c>
      <c r="E126" t="b">
        <v>0</v>
      </c>
      <c r="F126" t="s">
        <v>535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318</v>
      </c>
      <c r="C127" t="s">
        <v>319</v>
      </c>
      <c r="D127" t="s">
        <v>59</v>
      </c>
      <c r="E127" t="b">
        <v>1</v>
      </c>
      <c r="F127" t="s">
        <v>536</v>
      </c>
      <c r="H127" s="1">
        <v>46000</v>
      </c>
      <c r="J127" s="1"/>
    </row>
    <row r="128" spans="1:10" x14ac:dyDescent="0.35">
      <c r="A128">
        <v>1296</v>
      </c>
      <c r="B128" t="s">
        <v>320</v>
      </c>
      <c r="C128" t="s">
        <v>264</v>
      </c>
      <c r="D128" t="s">
        <v>59</v>
      </c>
      <c r="E128" t="b">
        <v>0</v>
      </c>
      <c r="F128" t="s">
        <v>536</v>
      </c>
      <c r="H128" s="1">
        <v>46000</v>
      </c>
      <c r="J128" s="1"/>
    </row>
    <row r="129" spans="1:10" x14ac:dyDescent="0.35">
      <c r="A129">
        <v>1362</v>
      </c>
      <c r="B129" t="s">
        <v>321</v>
      </c>
      <c r="C129" t="s">
        <v>322</v>
      </c>
      <c r="D129" t="s">
        <v>59</v>
      </c>
      <c r="E129" t="b">
        <v>1</v>
      </c>
      <c r="F129" t="s">
        <v>535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323</v>
      </c>
      <c r="C130" t="s">
        <v>324</v>
      </c>
      <c r="D130" t="s">
        <v>59</v>
      </c>
      <c r="E130" t="b">
        <v>1</v>
      </c>
      <c r="F130" t="s">
        <v>536</v>
      </c>
      <c r="H130" s="1">
        <v>46000</v>
      </c>
      <c r="J130" s="1"/>
    </row>
    <row r="131" spans="1:10" x14ac:dyDescent="0.35">
      <c r="A131">
        <v>1198</v>
      </c>
      <c r="B131" t="s">
        <v>325</v>
      </c>
      <c r="C131" t="s">
        <v>326</v>
      </c>
      <c r="D131" t="s">
        <v>59</v>
      </c>
      <c r="E131" t="b">
        <v>0</v>
      </c>
      <c r="F131" t="s">
        <v>535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327</v>
      </c>
      <c r="C132" t="s">
        <v>110</v>
      </c>
      <c r="D132" t="s">
        <v>59</v>
      </c>
      <c r="E132" t="b">
        <v>1</v>
      </c>
      <c r="F132" t="s">
        <v>535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328</v>
      </c>
      <c r="C133" t="s">
        <v>329</v>
      </c>
      <c r="D133" t="s">
        <v>59</v>
      </c>
      <c r="E133" t="b">
        <v>0</v>
      </c>
      <c r="F133" t="s">
        <v>535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330</v>
      </c>
      <c r="C134" t="s">
        <v>61</v>
      </c>
      <c r="D134" t="s">
        <v>59</v>
      </c>
      <c r="E134" t="b">
        <v>0</v>
      </c>
      <c r="F134" t="s">
        <v>535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331</v>
      </c>
      <c r="C135" t="s">
        <v>6</v>
      </c>
      <c r="D135" t="s">
        <v>59</v>
      </c>
      <c r="E135" t="b">
        <v>0</v>
      </c>
      <c r="F135" t="s">
        <v>536</v>
      </c>
      <c r="H135" s="1">
        <v>46000</v>
      </c>
      <c r="J135" s="1"/>
    </row>
    <row r="136" spans="1:10" x14ac:dyDescent="0.35">
      <c r="A136">
        <v>1373</v>
      </c>
      <c r="B136" t="s">
        <v>332</v>
      </c>
      <c r="C136" t="s">
        <v>52</v>
      </c>
      <c r="D136" t="s">
        <v>59</v>
      </c>
      <c r="E136" t="b">
        <v>0</v>
      </c>
      <c r="F136" t="s">
        <v>535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333</v>
      </c>
      <c r="C137" t="s">
        <v>334</v>
      </c>
      <c r="D137" t="s">
        <v>59</v>
      </c>
      <c r="E137" t="b">
        <v>0</v>
      </c>
      <c r="F137" t="s">
        <v>535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335</v>
      </c>
      <c r="C138" t="s">
        <v>336</v>
      </c>
      <c r="D138" t="s">
        <v>59</v>
      </c>
      <c r="E138" t="b">
        <v>1</v>
      </c>
      <c r="F138" t="s">
        <v>536</v>
      </c>
      <c r="H138" s="1">
        <v>46000</v>
      </c>
      <c r="J138" s="1"/>
    </row>
    <row r="139" spans="1:10" x14ac:dyDescent="0.35">
      <c r="A139">
        <v>967</v>
      </c>
      <c r="B139" t="s">
        <v>337</v>
      </c>
      <c r="C139" t="s">
        <v>262</v>
      </c>
      <c r="D139" t="s">
        <v>59</v>
      </c>
      <c r="E139" t="b">
        <v>0</v>
      </c>
      <c r="F139" t="s">
        <v>535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338</v>
      </c>
      <c r="C140" t="s">
        <v>339</v>
      </c>
      <c r="D140" t="s">
        <v>59</v>
      </c>
      <c r="E140" t="b">
        <v>1</v>
      </c>
      <c r="F140" t="s">
        <v>535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338</v>
      </c>
      <c r="C141" t="s">
        <v>340</v>
      </c>
      <c r="D141" t="s">
        <v>59</v>
      </c>
      <c r="E141" t="b">
        <v>0</v>
      </c>
      <c r="F141" t="s">
        <v>535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341</v>
      </c>
      <c r="C142" t="s">
        <v>342</v>
      </c>
      <c r="D142" t="s">
        <v>59</v>
      </c>
      <c r="E142" t="b">
        <v>0</v>
      </c>
      <c r="F142" t="s">
        <v>536</v>
      </c>
      <c r="H142" s="1">
        <v>46000</v>
      </c>
      <c r="J142" s="1"/>
    </row>
    <row r="143" spans="1:10" x14ac:dyDescent="0.35">
      <c r="A143">
        <v>1349</v>
      </c>
      <c r="B143" t="s">
        <v>343</v>
      </c>
      <c r="C143" t="s">
        <v>344</v>
      </c>
      <c r="D143" t="s">
        <v>59</v>
      </c>
      <c r="E143" t="b">
        <v>0</v>
      </c>
      <c r="F143" t="s">
        <v>536</v>
      </c>
      <c r="H143" s="1">
        <v>46000</v>
      </c>
      <c r="J143" s="1"/>
    </row>
    <row r="144" spans="1:10" x14ac:dyDescent="0.35">
      <c r="A144">
        <v>1342</v>
      </c>
      <c r="B144" t="s">
        <v>345</v>
      </c>
      <c r="C144" t="s">
        <v>346</v>
      </c>
      <c r="D144" t="s">
        <v>59</v>
      </c>
      <c r="E144" t="b">
        <v>0</v>
      </c>
      <c r="F144" t="s">
        <v>535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347</v>
      </c>
      <c r="C145" t="s">
        <v>348</v>
      </c>
      <c r="D145" t="s">
        <v>59</v>
      </c>
      <c r="E145" t="b">
        <v>0</v>
      </c>
      <c r="F145" t="s">
        <v>535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349</v>
      </c>
      <c r="C146" t="s">
        <v>350</v>
      </c>
      <c r="D146" t="s">
        <v>59</v>
      </c>
      <c r="E146" t="b">
        <v>0</v>
      </c>
      <c r="F146" t="s">
        <v>535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351</v>
      </c>
      <c r="C147" t="s">
        <v>350</v>
      </c>
      <c r="D147" t="s">
        <v>59</v>
      </c>
      <c r="E147" t="b">
        <v>0</v>
      </c>
      <c r="F147" t="s">
        <v>535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305</v>
      </c>
      <c r="C148" t="s">
        <v>352</v>
      </c>
      <c r="D148" t="s">
        <v>59</v>
      </c>
      <c r="E148" t="b">
        <v>1</v>
      </c>
      <c r="F148" t="s">
        <v>536</v>
      </c>
      <c r="H148" s="1">
        <v>46000</v>
      </c>
      <c r="J148" s="1"/>
    </row>
    <row r="149" spans="1:10" x14ac:dyDescent="0.35">
      <c r="A149">
        <v>1282</v>
      </c>
      <c r="B149" t="s">
        <v>353</v>
      </c>
      <c r="C149" t="s">
        <v>80</v>
      </c>
      <c r="D149" t="s">
        <v>59</v>
      </c>
      <c r="E149" t="b">
        <v>0</v>
      </c>
      <c r="F149" t="s">
        <v>535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354</v>
      </c>
      <c r="C150" t="s">
        <v>355</v>
      </c>
      <c r="D150" t="s">
        <v>59</v>
      </c>
      <c r="E150" t="b">
        <v>1</v>
      </c>
      <c r="F150" t="s">
        <v>537</v>
      </c>
      <c r="H150" s="1">
        <v>46000</v>
      </c>
      <c r="J150" s="1"/>
    </row>
    <row r="151" spans="1:10" x14ac:dyDescent="0.35">
      <c r="A151">
        <v>747</v>
      </c>
      <c r="B151" t="s">
        <v>354</v>
      </c>
      <c r="C151" t="s">
        <v>50</v>
      </c>
      <c r="D151" t="s">
        <v>59</v>
      </c>
      <c r="E151" t="b">
        <v>0</v>
      </c>
      <c r="F151" t="s">
        <v>535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354</v>
      </c>
      <c r="C152" t="s">
        <v>244</v>
      </c>
      <c r="D152" t="s">
        <v>59</v>
      </c>
      <c r="E152" t="b">
        <v>1</v>
      </c>
      <c r="F152" t="s">
        <v>535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354</v>
      </c>
      <c r="C153" t="s">
        <v>271</v>
      </c>
      <c r="D153" t="s">
        <v>59</v>
      </c>
      <c r="E153" t="b">
        <v>1</v>
      </c>
      <c r="F153" t="s">
        <v>535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354</v>
      </c>
      <c r="C154" t="s">
        <v>356</v>
      </c>
      <c r="D154" t="s">
        <v>59</v>
      </c>
      <c r="E154" t="b">
        <v>0</v>
      </c>
      <c r="F154" t="s">
        <v>535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357</v>
      </c>
      <c r="C155" t="s">
        <v>52</v>
      </c>
      <c r="D155" t="s">
        <v>59</v>
      </c>
      <c r="E155" t="b">
        <v>0</v>
      </c>
      <c r="F155" t="s">
        <v>536</v>
      </c>
      <c r="H155" s="1">
        <v>46000</v>
      </c>
      <c r="J155" s="1"/>
    </row>
    <row r="156" spans="1:10" x14ac:dyDescent="0.35">
      <c r="A156">
        <v>900</v>
      </c>
      <c r="B156" t="s">
        <v>358</v>
      </c>
      <c r="C156" t="s">
        <v>95</v>
      </c>
      <c r="D156" t="s">
        <v>59</v>
      </c>
      <c r="E156" t="b">
        <v>0</v>
      </c>
      <c r="F156" t="s">
        <v>535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359</v>
      </c>
      <c r="C157" t="s">
        <v>291</v>
      </c>
      <c r="D157" t="s">
        <v>59</v>
      </c>
      <c r="E157" t="b">
        <v>0</v>
      </c>
      <c r="F157" t="s">
        <v>535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360</v>
      </c>
      <c r="C158" t="s">
        <v>350</v>
      </c>
      <c r="D158" t="s">
        <v>59</v>
      </c>
      <c r="E158" t="b">
        <v>0</v>
      </c>
      <c r="F158" t="s">
        <v>535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361</v>
      </c>
      <c r="C159" t="s">
        <v>362</v>
      </c>
      <c r="D159" t="s">
        <v>59</v>
      </c>
      <c r="E159" t="b">
        <v>0</v>
      </c>
      <c r="F159" t="s">
        <v>535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363</v>
      </c>
      <c r="C160" t="s">
        <v>364</v>
      </c>
      <c r="D160" t="s">
        <v>59</v>
      </c>
      <c r="E160" t="b">
        <v>0</v>
      </c>
      <c r="F160" t="s">
        <v>535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365</v>
      </c>
      <c r="C161" t="s">
        <v>78</v>
      </c>
      <c r="D161" t="s">
        <v>59</v>
      </c>
      <c r="E161" t="b">
        <v>0</v>
      </c>
      <c r="F161" t="s">
        <v>535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366</v>
      </c>
      <c r="C162" t="s">
        <v>367</v>
      </c>
      <c r="D162" t="s">
        <v>59</v>
      </c>
      <c r="E162" t="b">
        <v>0</v>
      </c>
      <c r="F162" t="s">
        <v>535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368</v>
      </c>
      <c r="C163" t="s">
        <v>65</v>
      </c>
      <c r="D163" t="s">
        <v>59</v>
      </c>
      <c r="E163" t="b">
        <v>0</v>
      </c>
      <c r="F163" t="s">
        <v>536</v>
      </c>
      <c r="H163" s="1">
        <v>46000</v>
      </c>
      <c r="J163" s="1"/>
    </row>
    <row r="164" spans="1:10" x14ac:dyDescent="0.35">
      <c r="A164">
        <v>1357</v>
      </c>
      <c r="B164" t="s">
        <v>369</v>
      </c>
      <c r="C164" t="s">
        <v>61</v>
      </c>
      <c r="D164" t="s">
        <v>59</v>
      </c>
      <c r="E164" t="b">
        <v>0</v>
      </c>
      <c r="F164" t="s">
        <v>535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369</v>
      </c>
      <c r="C165" t="s">
        <v>370</v>
      </c>
      <c r="D165" t="s">
        <v>59</v>
      </c>
      <c r="E165" t="b">
        <v>1</v>
      </c>
      <c r="F165" t="s">
        <v>535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369</v>
      </c>
      <c r="C166" t="s">
        <v>78</v>
      </c>
      <c r="D166" t="s">
        <v>59</v>
      </c>
      <c r="E166" t="b">
        <v>0</v>
      </c>
      <c r="F166" t="s">
        <v>538</v>
      </c>
      <c r="H166" s="1">
        <v>46000</v>
      </c>
      <c r="J166" s="1"/>
    </row>
    <row r="167" spans="1:10" x14ac:dyDescent="0.35">
      <c r="A167">
        <v>1360</v>
      </c>
      <c r="B167" t="s">
        <v>369</v>
      </c>
      <c r="C167" t="s">
        <v>371</v>
      </c>
      <c r="D167" t="s">
        <v>59</v>
      </c>
      <c r="E167" t="b">
        <v>1</v>
      </c>
      <c r="F167" t="s">
        <v>537</v>
      </c>
      <c r="H167" s="1">
        <v>46000</v>
      </c>
      <c r="J167" s="1"/>
    </row>
    <row r="168" spans="1:10" x14ac:dyDescent="0.35">
      <c r="A168">
        <v>1093</v>
      </c>
      <c r="B168" t="s">
        <v>372</v>
      </c>
      <c r="C168" t="s">
        <v>95</v>
      </c>
      <c r="D168" t="s">
        <v>59</v>
      </c>
      <c r="E168" t="b">
        <v>0</v>
      </c>
      <c r="F168" t="s">
        <v>536</v>
      </c>
      <c r="H168" s="1">
        <v>46000</v>
      </c>
      <c r="J168" s="1"/>
    </row>
    <row r="169" spans="1:10" x14ac:dyDescent="0.35">
      <c r="A169">
        <v>1107</v>
      </c>
      <c r="B169" t="s">
        <v>373</v>
      </c>
      <c r="C169" t="s">
        <v>374</v>
      </c>
      <c r="D169" t="s">
        <v>59</v>
      </c>
      <c r="E169" t="b">
        <v>1</v>
      </c>
      <c r="F169" t="s">
        <v>536</v>
      </c>
      <c r="H169" s="1">
        <v>46000</v>
      </c>
      <c r="J169" s="1"/>
    </row>
    <row r="170" spans="1:10" x14ac:dyDescent="0.35">
      <c r="A170">
        <v>35</v>
      </c>
      <c r="B170" t="s">
        <v>375</v>
      </c>
      <c r="C170" t="s">
        <v>376</v>
      </c>
      <c r="D170" t="s">
        <v>59</v>
      </c>
      <c r="E170" t="b">
        <v>0</v>
      </c>
      <c r="F170" t="s">
        <v>535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377</v>
      </c>
      <c r="C171" t="s">
        <v>93</v>
      </c>
      <c r="D171" t="s">
        <v>59</v>
      </c>
      <c r="E171" t="b">
        <v>0</v>
      </c>
      <c r="F171" t="s">
        <v>535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378</v>
      </c>
      <c r="C172" t="s">
        <v>379</v>
      </c>
      <c r="D172" t="s">
        <v>59</v>
      </c>
      <c r="E172" t="b">
        <v>0</v>
      </c>
      <c r="F172" t="s">
        <v>535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380</v>
      </c>
      <c r="C173" t="s">
        <v>356</v>
      </c>
      <c r="D173" t="s">
        <v>59</v>
      </c>
      <c r="E173" t="b">
        <v>0</v>
      </c>
      <c r="F173" t="s">
        <v>535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381</v>
      </c>
      <c r="C174" t="s">
        <v>348</v>
      </c>
      <c r="D174" t="s">
        <v>59</v>
      </c>
      <c r="E174" t="b">
        <v>0</v>
      </c>
      <c r="F174" t="s">
        <v>535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382</v>
      </c>
      <c r="C175" t="s">
        <v>383</v>
      </c>
      <c r="D175" t="s">
        <v>59</v>
      </c>
      <c r="E175" t="b">
        <v>0</v>
      </c>
      <c r="F175" t="s">
        <v>535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384</v>
      </c>
      <c r="C176" t="s">
        <v>52</v>
      </c>
      <c r="D176" t="s">
        <v>59</v>
      </c>
      <c r="E176" t="b">
        <v>0</v>
      </c>
      <c r="F176" t="s">
        <v>535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384</v>
      </c>
      <c r="C177" t="s">
        <v>105</v>
      </c>
      <c r="D177" t="s">
        <v>59</v>
      </c>
      <c r="E177" t="b">
        <v>0</v>
      </c>
      <c r="F177" t="s">
        <v>535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385</v>
      </c>
      <c r="C178" t="s">
        <v>86</v>
      </c>
      <c r="D178" t="s">
        <v>59</v>
      </c>
      <c r="E178" t="b">
        <v>0</v>
      </c>
      <c r="F178" t="s">
        <v>535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386</v>
      </c>
      <c r="C179" t="s">
        <v>387</v>
      </c>
      <c r="D179" t="s">
        <v>59</v>
      </c>
      <c r="E179" t="b">
        <v>0</v>
      </c>
      <c r="F179" t="s">
        <v>537</v>
      </c>
      <c r="H179" s="1">
        <v>46000</v>
      </c>
      <c r="J179" s="1"/>
    </row>
    <row r="180" spans="1:10" x14ac:dyDescent="0.35">
      <c r="A180">
        <v>1024</v>
      </c>
      <c r="B180" t="s">
        <v>386</v>
      </c>
      <c r="C180" t="s">
        <v>388</v>
      </c>
      <c r="D180" t="s">
        <v>59</v>
      </c>
      <c r="E180" t="b">
        <v>0</v>
      </c>
      <c r="F180" t="s">
        <v>538</v>
      </c>
      <c r="H180" s="1">
        <v>46000</v>
      </c>
      <c r="J180" s="1"/>
    </row>
    <row r="181" spans="1:10" x14ac:dyDescent="0.35">
      <c r="A181">
        <v>1023</v>
      </c>
      <c r="B181" t="s">
        <v>386</v>
      </c>
      <c r="C181" t="s">
        <v>68</v>
      </c>
      <c r="D181" t="s">
        <v>59</v>
      </c>
      <c r="E181" t="b">
        <v>0</v>
      </c>
      <c r="F181" t="s">
        <v>536</v>
      </c>
      <c r="H181" s="1">
        <v>46000</v>
      </c>
      <c r="J181" s="1"/>
    </row>
    <row r="182" spans="1:10" x14ac:dyDescent="0.35">
      <c r="A182">
        <v>1232</v>
      </c>
      <c r="B182" t="s">
        <v>386</v>
      </c>
      <c r="C182" t="s">
        <v>389</v>
      </c>
      <c r="D182" t="s">
        <v>59</v>
      </c>
      <c r="E182" t="b">
        <v>1</v>
      </c>
      <c r="F182" t="s">
        <v>535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390</v>
      </c>
      <c r="C183" t="s">
        <v>391</v>
      </c>
      <c r="D183" t="s">
        <v>59</v>
      </c>
      <c r="E183" t="b">
        <v>1</v>
      </c>
      <c r="F183" t="s">
        <v>535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392</v>
      </c>
      <c r="C184" t="s">
        <v>393</v>
      </c>
      <c r="D184" t="s">
        <v>59</v>
      </c>
      <c r="E184" t="b">
        <v>1</v>
      </c>
      <c r="F184" t="s">
        <v>536</v>
      </c>
      <c r="H184" s="1">
        <v>46000</v>
      </c>
      <c r="J184" s="1"/>
    </row>
    <row r="185" spans="1:10" x14ac:dyDescent="0.35">
      <c r="A185">
        <v>1191</v>
      </c>
      <c r="B185" t="s">
        <v>394</v>
      </c>
      <c r="C185" t="s">
        <v>264</v>
      </c>
      <c r="D185" t="s">
        <v>59</v>
      </c>
      <c r="E185" t="b">
        <v>0</v>
      </c>
      <c r="F185" t="s">
        <v>535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394</v>
      </c>
      <c r="C186" t="s">
        <v>395</v>
      </c>
      <c r="D186" t="s">
        <v>59</v>
      </c>
      <c r="E186" t="b">
        <v>0</v>
      </c>
      <c r="F186" t="s">
        <v>536</v>
      </c>
      <c r="H186" s="1">
        <v>46000</v>
      </c>
      <c r="J186" s="1"/>
    </row>
    <row r="187" spans="1:10" x14ac:dyDescent="0.35">
      <c r="A187">
        <v>1350</v>
      </c>
      <c r="B187" t="s">
        <v>396</v>
      </c>
      <c r="C187" t="s">
        <v>397</v>
      </c>
      <c r="D187" t="s">
        <v>59</v>
      </c>
      <c r="E187" t="b">
        <v>0</v>
      </c>
      <c r="F187" t="s">
        <v>536</v>
      </c>
      <c r="H187" s="1">
        <v>46000</v>
      </c>
      <c r="J187" s="1"/>
    </row>
    <row r="188" spans="1:10" x14ac:dyDescent="0.35">
      <c r="A188">
        <v>1352</v>
      </c>
      <c r="B188" t="s">
        <v>398</v>
      </c>
      <c r="C188" t="s">
        <v>61</v>
      </c>
      <c r="D188" t="s">
        <v>59</v>
      </c>
      <c r="E188" t="b">
        <v>0</v>
      </c>
      <c r="F188" t="s">
        <v>535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399</v>
      </c>
      <c r="C189" t="s">
        <v>400</v>
      </c>
      <c r="D189" t="s">
        <v>59</v>
      </c>
      <c r="E189" t="b">
        <v>0</v>
      </c>
      <c r="F189" t="s">
        <v>535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401</v>
      </c>
      <c r="C190" t="s">
        <v>402</v>
      </c>
      <c r="D190" t="s">
        <v>59</v>
      </c>
      <c r="E190" t="b">
        <v>0</v>
      </c>
      <c r="F190" t="s">
        <v>536</v>
      </c>
      <c r="H190" s="1">
        <v>46000</v>
      </c>
      <c r="J190" s="1"/>
    </row>
    <row r="191" spans="1:10" x14ac:dyDescent="0.35">
      <c r="A191">
        <v>914</v>
      </c>
      <c r="B191" t="s">
        <v>403</v>
      </c>
      <c r="C191" t="s">
        <v>263</v>
      </c>
      <c r="D191" t="s">
        <v>59</v>
      </c>
      <c r="E191" t="b">
        <v>0</v>
      </c>
      <c r="F191" t="s">
        <v>535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403</v>
      </c>
      <c r="C192" t="s">
        <v>80</v>
      </c>
      <c r="D192" t="s">
        <v>59</v>
      </c>
      <c r="E192" t="b">
        <v>0</v>
      </c>
      <c r="F192" t="s">
        <v>535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404</v>
      </c>
      <c r="C193" t="s">
        <v>218</v>
      </c>
      <c r="D193" t="s">
        <v>59</v>
      </c>
      <c r="E193" t="b">
        <v>0</v>
      </c>
      <c r="F193" t="s">
        <v>536</v>
      </c>
      <c r="H193" s="1">
        <v>46000</v>
      </c>
      <c r="J193" s="1"/>
    </row>
    <row r="194" spans="1:10" x14ac:dyDescent="0.35">
      <c r="A194">
        <v>1380</v>
      </c>
      <c r="B194" t="s">
        <v>405</v>
      </c>
      <c r="C194" t="s">
        <v>406</v>
      </c>
      <c r="D194" t="s">
        <v>59</v>
      </c>
      <c r="E194" t="b">
        <v>1</v>
      </c>
      <c r="F194" t="s">
        <v>535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407</v>
      </c>
      <c r="C195" t="s">
        <v>302</v>
      </c>
      <c r="D195" t="s">
        <v>59</v>
      </c>
      <c r="E195" t="b">
        <v>0</v>
      </c>
      <c r="F195" t="s">
        <v>535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408</v>
      </c>
      <c r="C196" t="s">
        <v>93</v>
      </c>
      <c r="D196" t="s">
        <v>59</v>
      </c>
      <c r="E196" t="b">
        <v>0</v>
      </c>
      <c r="F196" t="s">
        <v>535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408</v>
      </c>
      <c r="C197" t="s">
        <v>409</v>
      </c>
      <c r="D197" t="s">
        <v>59</v>
      </c>
      <c r="E197" t="b">
        <v>0</v>
      </c>
      <c r="F197" t="s">
        <v>535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408</v>
      </c>
      <c r="C198" t="s">
        <v>410</v>
      </c>
      <c r="D198" t="s">
        <v>59</v>
      </c>
      <c r="E198" t="b">
        <v>0</v>
      </c>
      <c r="F198" t="s">
        <v>535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408</v>
      </c>
      <c r="C199" t="s">
        <v>248</v>
      </c>
      <c r="D199" t="s">
        <v>59</v>
      </c>
      <c r="E199" t="b">
        <v>1</v>
      </c>
      <c r="F199" t="s">
        <v>535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408</v>
      </c>
      <c r="C200" t="s">
        <v>302</v>
      </c>
      <c r="D200" t="s">
        <v>59</v>
      </c>
      <c r="E200" t="b">
        <v>0</v>
      </c>
      <c r="F200" t="s">
        <v>535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408</v>
      </c>
      <c r="C201" t="s">
        <v>411</v>
      </c>
      <c r="D201" t="s">
        <v>59</v>
      </c>
      <c r="E201" t="b">
        <v>0</v>
      </c>
      <c r="F201" t="s">
        <v>535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412</v>
      </c>
      <c r="C202" t="s">
        <v>413</v>
      </c>
      <c r="D202" t="s">
        <v>59</v>
      </c>
      <c r="E202" t="b">
        <v>0</v>
      </c>
      <c r="F202" t="s">
        <v>536</v>
      </c>
      <c r="H202" s="1">
        <v>46000</v>
      </c>
      <c r="J202" s="1"/>
    </row>
    <row r="203" spans="1:10" x14ac:dyDescent="0.35">
      <c r="A203">
        <v>1382</v>
      </c>
      <c r="B203" t="s">
        <v>414</v>
      </c>
      <c r="C203" t="s">
        <v>415</v>
      </c>
      <c r="D203" t="s">
        <v>59</v>
      </c>
      <c r="E203" t="b">
        <v>0</v>
      </c>
      <c r="F203" t="s">
        <v>536</v>
      </c>
      <c r="H203" s="1">
        <v>46000</v>
      </c>
      <c r="J203" s="1"/>
    </row>
    <row r="204" spans="1:10" x14ac:dyDescent="0.35">
      <c r="A204">
        <v>1161</v>
      </c>
      <c r="B204" t="s">
        <v>416</v>
      </c>
      <c r="C204" t="s">
        <v>417</v>
      </c>
      <c r="D204" t="s">
        <v>59</v>
      </c>
      <c r="E204" t="b">
        <v>0</v>
      </c>
      <c r="F204" t="s">
        <v>536</v>
      </c>
      <c r="H204" s="1">
        <v>46000</v>
      </c>
      <c r="J204" s="1"/>
    </row>
    <row r="205" spans="1:10" x14ac:dyDescent="0.35">
      <c r="A205">
        <v>890</v>
      </c>
      <c r="B205" t="s">
        <v>418</v>
      </c>
      <c r="C205" t="s">
        <v>419</v>
      </c>
      <c r="D205" t="s">
        <v>188</v>
      </c>
      <c r="E205" t="b">
        <v>0</v>
      </c>
      <c r="F205" t="s">
        <v>535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420</v>
      </c>
      <c r="C206" t="s">
        <v>421</v>
      </c>
      <c r="D206" t="s">
        <v>59</v>
      </c>
      <c r="E206" t="b">
        <v>1</v>
      </c>
      <c r="F206" t="s">
        <v>536</v>
      </c>
      <c r="H206" s="1">
        <v>46000</v>
      </c>
      <c r="J206" s="1"/>
    </row>
    <row r="207" spans="1:10" x14ac:dyDescent="0.35">
      <c r="A207">
        <v>780</v>
      </c>
      <c r="B207" t="s">
        <v>422</v>
      </c>
      <c r="C207" t="s">
        <v>52</v>
      </c>
      <c r="D207" t="s">
        <v>59</v>
      </c>
      <c r="E207" t="b">
        <v>0</v>
      </c>
      <c r="F207" t="s">
        <v>535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423</v>
      </c>
      <c r="C208" t="s">
        <v>254</v>
      </c>
      <c r="D208" t="s">
        <v>188</v>
      </c>
      <c r="E208" t="b">
        <v>0</v>
      </c>
      <c r="F208" t="s">
        <v>535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424</v>
      </c>
      <c r="C209" t="s">
        <v>425</v>
      </c>
      <c r="D209" t="s">
        <v>59</v>
      </c>
      <c r="E209" t="b">
        <v>0</v>
      </c>
      <c r="F209" t="s">
        <v>535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342</v>
      </c>
      <c r="C210" t="s">
        <v>426</v>
      </c>
      <c r="D210" t="s">
        <v>59</v>
      </c>
      <c r="E210" t="b">
        <v>0</v>
      </c>
      <c r="F210" t="s">
        <v>536</v>
      </c>
      <c r="H210" s="1">
        <v>46000</v>
      </c>
      <c r="J210" s="1"/>
    </row>
    <row r="211" spans="1:10" x14ac:dyDescent="0.35">
      <c r="A211">
        <v>1341</v>
      </c>
      <c r="B211" t="s">
        <v>427</v>
      </c>
      <c r="C211" t="s">
        <v>95</v>
      </c>
      <c r="D211" t="s">
        <v>59</v>
      </c>
      <c r="E211" t="b">
        <v>0</v>
      </c>
      <c r="F211" t="s">
        <v>536</v>
      </c>
      <c r="H211" s="1">
        <v>46000</v>
      </c>
      <c r="J211" s="1"/>
    </row>
    <row r="212" spans="1:10" x14ac:dyDescent="0.35">
      <c r="A212">
        <v>945</v>
      </c>
      <c r="B212" t="s">
        <v>428</v>
      </c>
      <c r="C212" t="s">
        <v>78</v>
      </c>
      <c r="D212" t="s">
        <v>59</v>
      </c>
      <c r="E212" t="b">
        <v>0</v>
      </c>
      <c r="F212" t="s">
        <v>536</v>
      </c>
      <c r="H212" s="1">
        <v>46000</v>
      </c>
      <c r="J212" s="1"/>
    </row>
    <row r="213" spans="1:10" x14ac:dyDescent="0.35">
      <c r="A213">
        <v>813</v>
      </c>
      <c r="B213" t="s">
        <v>428</v>
      </c>
      <c r="C213" t="s">
        <v>393</v>
      </c>
      <c r="D213" t="s">
        <v>59</v>
      </c>
      <c r="E213" t="b">
        <v>1</v>
      </c>
      <c r="F213" t="s">
        <v>535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428</v>
      </c>
      <c r="C214" t="s">
        <v>429</v>
      </c>
      <c r="D214" t="s">
        <v>59</v>
      </c>
      <c r="E214" t="b">
        <v>0</v>
      </c>
      <c r="F214" t="s">
        <v>535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430</v>
      </c>
      <c r="C215" t="s">
        <v>431</v>
      </c>
      <c r="D215" t="s">
        <v>59</v>
      </c>
      <c r="E215" t="b">
        <v>0</v>
      </c>
      <c r="F215" t="s">
        <v>535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432</v>
      </c>
      <c r="C216" t="s">
        <v>433</v>
      </c>
      <c r="D216" t="s">
        <v>59</v>
      </c>
      <c r="E216" t="b">
        <v>1</v>
      </c>
      <c r="F216" t="s">
        <v>535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434</v>
      </c>
      <c r="C217" t="s">
        <v>269</v>
      </c>
      <c r="D217" t="s">
        <v>59</v>
      </c>
      <c r="E217" t="b">
        <v>0</v>
      </c>
      <c r="F217" t="s">
        <v>536</v>
      </c>
      <c r="H217" s="1">
        <v>46000</v>
      </c>
      <c r="J217" s="1"/>
    </row>
    <row r="218" spans="1:10" x14ac:dyDescent="0.35">
      <c r="A218">
        <v>1209</v>
      </c>
      <c r="B218" t="s">
        <v>435</v>
      </c>
      <c r="C218" t="s">
        <v>80</v>
      </c>
      <c r="D218" t="s">
        <v>188</v>
      </c>
      <c r="E218" t="b">
        <v>0</v>
      </c>
      <c r="F218" t="s">
        <v>535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437</v>
      </c>
      <c r="C219" t="s">
        <v>438</v>
      </c>
      <c r="D219" t="s">
        <v>188</v>
      </c>
      <c r="E219" t="b">
        <v>0</v>
      </c>
      <c r="F219" t="s">
        <v>535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439</v>
      </c>
      <c r="C220" t="s">
        <v>440</v>
      </c>
      <c r="D220" t="s">
        <v>59</v>
      </c>
      <c r="E220" t="b">
        <v>1</v>
      </c>
      <c r="F220" t="s">
        <v>536</v>
      </c>
      <c r="H220" s="1">
        <v>46000</v>
      </c>
      <c r="J220" s="1"/>
    </row>
    <row r="221" spans="1:10" x14ac:dyDescent="0.35">
      <c r="A221">
        <v>756</v>
      </c>
      <c r="B221" t="s">
        <v>439</v>
      </c>
      <c r="C221" t="s">
        <v>441</v>
      </c>
      <c r="D221" t="s">
        <v>59</v>
      </c>
      <c r="E221" t="b">
        <v>0</v>
      </c>
      <c r="F221" t="s">
        <v>536</v>
      </c>
      <c r="H221" s="1">
        <v>46000</v>
      </c>
      <c r="J221" s="1"/>
    </row>
    <row r="222" spans="1:10" x14ac:dyDescent="0.35">
      <c r="A222">
        <v>407</v>
      </c>
      <c r="B222" t="s">
        <v>439</v>
      </c>
      <c r="C222" t="s">
        <v>442</v>
      </c>
      <c r="D222" t="s">
        <v>59</v>
      </c>
      <c r="E222" t="b">
        <v>0</v>
      </c>
      <c r="F222" t="s">
        <v>535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443</v>
      </c>
      <c r="C223" t="s">
        <v>391</v>
      </c>
      <c r="D223" t="s">
        <v>59</v>
      </c>
      <c r="E223" t="b">
        <v>1</v>
      </c>
      <c r="F223" t="s">
        <v>535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444</v>
      </c>
      <c r="C224" t="s">
        <v>352</v>
      </c>
      <c r="D224" t="s">
        <v>59</v>
      </c>
      <c r="E224" t="b">
        <v>1</v>
      </c>
      <c r="F224" t="s">
        <v>536</v>
      </c>
      <c r="H224" s="1">
        <v>46000</v>
      </c>
      <c r="J224" s="1"/>
    </row>
    <row r="225" spans="1:10" x14ac:dyDescent="0.35">
      <c r="A225">
        <v>999</v>
      </c>
      <c r="B225" t="s">
        <v>444</v>
      </c>
      <c r="C225" t="s">
        <v>445</v>
      </c>
      <c r="D225" t="s">
        <v>59</v>
      </c>
      <c r="E225" t="b">
        <v>1</v>
      </c>
      <c r="F225" t="s">
        <v>536</v>
      </c>
      <c r="H225" s="1">
        <v>46000</v>
      </c>
      <c r="J225" s="1"/>
    </row>
    <row r="226" spans="1:10" x14ac:dyDescent="0.35">
      <c r="A226">
        <v>998</v>
      </c>
      <c r="B226" t="s">
        <v>444</v>
      </c>
      <c r="C226" t="s">
        <v>446</v>
      </c>
      <c r="D226" t="s">
        <v>59</v>
      </c>
      <c r="E226" t="b">
        <v>1</v>
      </c>
      <c r="F226" t="s">
        <v>535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444</v>
      </c>
      <c r="C227" t="s">
        <v>70</v>
      </c>
      <c r="D227" t="s">
        <v>59</v>
      </c>
      <c r="E227" t="b">
        <v>0</v>
      </c>
      <c r="F227" t="s">
        <v>535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444</v>
      </c>
      <c r="C228" t="s">
        <v>447</v>
      </c>
      <c r="D228" t="s">
        <v>59</v>
      </c>
      <c r="E228" t="b">
        <v>1</v>
      </c>
      <c r="F228" t="s">
        <v>535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448</v>
      </c>
      <c r="C229" t="s">
        <v>449</v>
      </c>
      <c r="D229" t="s">
        <v>59</v>
      </c>
      <c r="E229" t="b">
        <v>1</v>
      </c>
      <c r="F229" t="s">
        <v>535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450</v>
      </c>
      <c r="C230" t="s">
        <v>66</v>
      </c>
      <c r="D230" t="s">
        <v>59</v>
      </c>
      <c r="E230" t="b">
        <v>0</v>
      </c>
      <c r="F230" t="s">
        <v>535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451</v>
      </c>
      <c r="C231" t="s">
        <v>297</v>
      </c>
      <c r="D231" t="s">
        <v>59</v>
      </c>
      <c r="E231" t="b">
        <v>1</v>
      </c>
      <c r="F231" t="s">
        <v>537</v>
      </c>
      <c r="H231" s="1">
        <v>46000</v>
      </c>
      <c r="J231" s="1"/>
    </row>
    <row r="232" spans="1:10" x14ac:dyDescent="0.35">
      <c r="A232">
        <v>707</v>
      </c>
      <c r="B232" t="s">
        <v>452</v>
      </c>
      <c r="C232" t="s">
        <v>216</v>
      </c>
      <c r="D232" t="s">
        <v>59</v>
      </c>
      <c r="E232" t="b">
        <v>0</v>
      </c>
      <c r="F232" t="s">
        <v>535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453</v>
      </c>
      <c r="C233" t="s">
        <v>49</v>
      </c>
      <c r="D233" t="s">
        <v>59</v>
      </c>
      <c r="E233" t="b">
        <v>0</v>
      </c>
      <c r="F233" t="s">
        <v>535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454</v>
      </c>
      <c r="C234" t="s">
        <v>342</v>
      </c>
      <c r="D234" t="s">
        <v>59</v>
      </c>
      <c r="E234" t="b">
        <v>0</v>
      </c>
      <c r="F234" t="s">
        <v>536</v>
      </c>
      <c r="H234" s="1">
        <v>46000</v>
      </c>
      <c r="J234" s="1"/>
    </row>
    <row r="235" spans="1:10" x14ac:dyDescent="0.35">
      <c r="A235">
        <v>1378</v>
      </c>
      <c r="B235" t="s">
        <v>455</v>
      </c>
      <c r="C235" t="s">
        <v>456</v>
      </c>
      <c r="D235" t="s">
        <v>59</v>
      </c>
      <c r="E235" t="b">
        <v>0</v>
      </c>
      <c r="F235" t="s">
        <v>536</v>
      </c>
      <c r="H235" s="1">
        <v>46000</v>
      </c>
      <c r="J235" s="1"/>
    </row>
    <row r="236" spans="1:10" x14ac:dyDescent="0.35">
      <c r="A236">
        <v>1254</v>
      </c>
      <c r="B236" t="s">
        <v>457</v>
      </c>
      <c r="C236" t="s">
        <v>80</v>
      </c>
      <c r="D236" t="s">
        <v>59</v>
      </c>
      <c r="E236" t="b">
        <v>0</v>
      </c>
      <c r="F236" t="s">
        <v>535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458</v>
      </c>
      <c r="C237" t="s">
        <v>459</v>
      </c>
      <c r="D237" t="s">
        <v>59</v>
      </c>
      <c r="E237" t="b">
        <v>0</v>
      </c>
      <c r="F237" t="s">
        <v>537</v>
      </c>
      <c r="H237" s="1">
        <v>46000</v>
      </c>
      <c r="J237" s="1"/>
    </row>
    <row r="238" spans="1:10" x14ac:dyDescent="0.35">
      <c r="A238">
        <v>1200</v>
      </c>
      <c r="B238" t="s">
        <v>460</v>
      </c>
      <c r="C238" t="s">
        <v>461</v>
      </c>
      <c r="D238" t="s">
        <v>59</v>
      </c>
      <c r="E238" t="b">
        <v>0</v>
      </c>
      <c r="F238" t="s">
        <v>535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304</v>
      </c>
      <c r="C239" t="s">
        <v>246</v>
      </c>
      <c r="D239" t="s">
        <v>59</v>
      </c>
      <c r="E239" t="b">
        <v>1</v>
      </c>
      <c r="F239" t="s">
        <v>536</v>
      </c>
      <c r="H239" s="1">
        <v>46000</v>
      </c>
      <c r="J239" s="1"/>
    </row>
    <row r="240" spans="1:10" x14ac:dyDescent="0.35">
      <c r="A240">
        <v>1140</v>
      </c>
      <c r="B240" t="s">
        <v>462</v>
      </c>
      <c r="C240" t="s">
        <v>350</v>
      </c>
      <c r="D240" t="s">
        <v>59</v>
      </c>
      <c r="E240" t="b">
        <v>0</v>
      </c>
      <c r="F240" t="s">
        <v>536</v>
      </c>
      <c r="H240" s="1">
        <v>46000</v>
      </c>
      <c r="J240" s="1"/>
    </row>
    <row r="241" spans="1:10" x14ac:dyDescent="0.35">
      <c r="A241">
        <v>989</v>
      </c>
      <c r="B241" t="s">
        <v>463</v>
      </c>
      <c r="C241" t="s">
        <v>108</v>
      </c>
      <c r="D241" t="s">
        <v>59</v>
      </c>
      <c r="E241" t="b">
        <v>0</v>
      </c>
      <c r="F241" t="s">
        <v>535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464</v>
      </c>
      <c r="C242" t="s">
        <v>237</v>
      </c>
      <c r="D242" t="s">
        <v>59</v>
      </c>
      <c r="E242" t="b">
        <v>0</v>
      </c>
      <c r="F242" t="s">
        <v>536</v>
      </c>
      <c r="H242" s="1">
        <v>46000</v>
      </c>
      <c r="J242" s="1"/>
    </row>
    <row r="243" spans="1:10" x14ac:dyDescent="0.35">
      <c r="A243">
        <v>875</v>
      </c>
      <c r="B243" t="s">
        <v>464</v>
      </c>
      <c r="C243" t="s">
        <v>465</v>
      </c>
      <c r="D243" t="s">
        <v>59</v>
      </c>
      <c r="E243" t="b">
        <v>0</v>
      </c>
      <c r="F243" t="s">
        <v>536</v>
      </c>
      <c r="H243" s="1">
        <v>46000</v>
      </c>
      <c r="J243" s="1"/>
    </row>
    <row r="244" spans="1:10" x14ac:dyDescent="0.35">
      <c r="A244">
        <v>62</v>
      </c>
      <c r="B244" t="s">
        <v>464</v>
      </c>
      <c r="C244" t="s">
        <v>52</v>
      </c>
      <c r="D244" t="s">
        <v>59</v>
      </c>
      <c r="E244" t="b">
        <v>0</v>
      </c>
      <c r="F244" t="s">
        <v>535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466</v>
      </c>
      <c r="C245" t="s">
        <v>467</v>
      </c>
      <c r="D245" t="s">
        <v>59</v>
      </c>
      <c r="E245" t="b">
        <v>1</v>
      </c>
      <c r="F245" t="s">
        <v>535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468</v>
      </c>
      <c r="C246" t="s">
        <v>304</v>
      </c>
      <c r="D246" t="s">
        <v>59</v>
      </c>
      <c r="E246" t="b">
        <v>0</v>
      </c>
      <c r="F246" t="s">
        <v>536</v>
      </c>
      <c r="H246" s="1">
        <v>46000</v>
      </c>
      <c r="J246" s="1"/>
    </row>
    <row r="247" spans="1:10" x14ac:dyDescent="0.35">
      <c r="A247">
        <v>744</v>
      </c>
      <c r="B247" t="s">
        <v>469</v>
      </c>
      <c r="C247" t="s">
        <v>470</v>
      </c>
      <c r="D247" t="s">
        <v>59</v>
      </c>
      <c r="E247" t="b">
        <v>0</v>
      </c>
      <c r="F247" t="s">
        <v>535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471</v>
      </c>
      <c r="C248" t="s">
        <v>294</v>
      </c>
      <c r="D248" t="s">
        <v>59</v>
      </c>
      <c r="E248" t="b">
        <v>1</v>
      </c>
      <c r="F248" t="s">
        <v>535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472</v>
      </c>
      <c r="C249" t="s">
        <v>50</v>
      </c>
      <c r="D249" t="s">
        <v>59</v>
      </c>
      <c r="E249" t="b">
        <v>0</v>
      </c>
      <c r="F249" t="s">
        <v>536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529</v>
      </c>
      <c r="B1" t="s">
        <v>530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C0DC-8E8F-4CD4-BD06-A33864260BF0}">
  <sheetPr>
    <pageSetUpPr fitToPage="1"/>
  </sheetPr>
  <dimension ref="A1:M28"/>
  <sheetViews>
    <sheetView zoomScale="120" zoomScaleNormal="120" workbookViewId="0">
      <selection activeCell="D28" sqref="D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8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532</v>
      </c>
      <c r="E26">
        <v>10</v>
      </c>
      <c r="F26" t="s">
        <v>531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532</v>
      </c>
      <c r="E27">
        <v>10</v>
      </c>
      <c r="F27" t="s">
        <v>531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539</v>
      </c>
      <c r="E28">
        <v>10</v>
      </c>
      <c r="F28" t="s">
        <v>44</v>
      </c>
      <c r="G28"/>
      <c r="H28" s="34"/>
      <c r="I28" s="34" t="str">
        <f t="shared" si="0"/>
        <v/>
      </c>
      <c r="J28" s="34" t="str">
        <f t="shared" si="1"/>
        <v>Y</v>
      </c>
      <c r="K28" s="34" t="str">
        <f t="shared" si="2"/>
        <v/>
      </c>
      <c r="L28" t="str">
        <f t="shared" si="3"/>
        <v>Event_27</v>
      </c>
      <c r="M28"/>
    </row>
  </sheetData>
  <sheetProtection formatCells="0" formatColumns="0" formatRows="0" insertColumns="0" insertRows="0" insertHyperlinks="0" deleteColumns="0" deleteRows="0" pivotTables="0"/>
  <conditionalFormatting sqref="B2:B28">
    <cfRule type="expression" dxfId="82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"/>
  <sheetViews>
    <sheetView zoomScale="120" zoomScaleNormal="120" workbookViewId="0">
      <selection activeCell="A3" sqref="A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46017</v>
      </c>
      <c r="C2" s="33">
        <v>0.41666666666666669</v>
      </c>
      <c r="D2" t="s">
        <v>539</v>
      </c>
      <c r="E2">
        <v>10</v>
      </c>
      <c r="F2" t="s">
        <v>44</v>
      </c>
      <c r="G2"/>
      <c r="H2" s="34"/>
      <c r="I2" s="34" t="str">
        <f t="shared" ref="I2" si="0">IF($B2="","",IF($E2=10,"","Y"))</f>
        <v/>
      </c>
      <c r="J2" s="34" t="str">
        <f t="shared" ref="J2" si="1">IF($B2="","",IF($E2=10,"Y",""))</f>
        <v>Y</v>
      </c>
      <c r="K2" s="34" t="str">
        <f t="shared" ref="K2" si="2">IF($B2="","",IF(ISNUMBER(SEARCH("Hardride",$D2)),"Y",""))</f>
        <v/>
      </c>
      <c r="L2" t="str">
        <f t="shared" ref="L2" si="3">"Event_" &amp; TEXT(A2,"00")</f>
        <v>Event_01</v>
      </c>
      <c r="M2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F23A-C9A7-48CE-9234-E8FE1ABF291F}">
  <dimension ref="A1:C101"/>
  <sheetViews>
    <sheetView workbookViewId="0">
      <selection activeCell="J14" sqref="J1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>
        <f t="shared" ref="A2:A65" si="0">IF(ISBLANK(B2),"",_xlfn.XLOOKUP(B2,ClubNames,ClubNumbers))</f>
        <v>1094</v>
      </c>
      <c r="B2" t="s">
        <v>480</v>
      </c>
      <c r="C2" s="41" t="s">
        <v>481</v>
      </c>
    </row>
    <row r="3" spans="1:3" x14ac:dyDescent="0.35">
      <c r="A3">
        <f t="shared" si="0"/>
        <v>933</v>
      </c>
      <c r="B3" t="s">
        <v>482</v>
      </c>
      <c r="C3" s="41" t="s">
        <v>481</v>
      </c>
    </row>
    <row r="4" spans="1:3" x14ac:dyDescent="0.35">
      <c r="A4">
        <f t="shared" si="0"/>
        <v>1023</v>
      </c>
      <c r="B4" t="s">
        <v>483</v>
      </c>
      <c r="C4" s="41" t="s">
        <v>481</v>
      </c>
    </row>
    <row r="5" spans="1:3" x14ac:dyDescent="0.35">
      <c r="A5">
        <f t="shared" si="0"/>
        <v>407</v>
      </c>
      <c r="B5" t="s">
        <v>484</v>
      </c>
      <c r="C5" s="41" t="s">
        <v>481</v>
      </c>
    </row>
    <row r="6" spans="1:3" x14ac:dyDescent="0.35">
      <c r="A6">
        <f t="shared" si="0"/>
        <v>1144</v>
      </c>
      <c r="B6" t="s">
        <v>485</v>
      </c>
      <c r="C6" s="41" t="s">
        <v>481</v>
      </c>
    </row>
    <row r="7" spans="1:3" x14ac:dyDescent="0.35">
      <c r="A7">
        <f t="shared" si="0"/>
        <v>989</v>
      </c>
      <c r="B7" t="s">
        <v>486</v>
      </c>
      <c r="C7" s="41" t="s">
        <v>481</v>
      </c>
    </row>
    <row r="8" spans="1:3" x14ac:dyDescent="0.35">
      <c r="A8">
        <f t="shared" si="0"/>
        <v>699</v>
      </c>
      <c r="B8" t="s">
        <v>487</v>
      </c>
      <c r="C8" s="41" t="s">
        <v>481</v>
      </c>
    </row>
    <row r="9" spans="1:3" x14ac:dyDescent="0.35">
      <c r="A9">
        <f t="shared" si="0"/>
        <v>1161</v>
      </c>
      <c r="B9" t="s">
        <v>488</v>
      </c>
      <c r="C9" s="41" t="s">
        <v>481</v>
      </c>
    </row>
    <row r="10" spans="1:3" x14ac:dyDescent="0.35">
      <c r="A10">
        <f t="shared" si="0"/>
        <v>35</v>
      </c>
      <c r="B10" t="s">
        <v>489</v>
      </c>
      <c r="C10" s="41" t="s">
        <v>481</v>
      </c>
    </row>
    <row r="11" spans="1:3" x14ac:dyDescent="0.35">
      <c r="A11">
        <f t="shared" si="0"/>
        <v>1055</v>
      </c>
      <c r="B11" t="s">
        <v>490</v>
      </c>
      <c r="C11" s="41">
        <v>1</v>
      </c>
    </row>
    <row r="12" spans="1:3" x14ac:dyDescent="0.35">
      <c r="A12">
        <f t="shared" si="0"/>
        <v>1192</v>
      </c>
      <c r="B12" t="s">
        <v>491</v>
      </c>
      <c r="C12" s="41">
        <v>1</v>
      </c>
    </row>
    <row r="13" spans="1:3" x14ac:dyDescent="0.35">
      <c r="A13">
        <f t="shared" si="0"/>
        <v>1137</v>
      </c>
      <c r="B13" t="s">
        <v>178</v>
      </c>
      <c r="C13" s="41">
        <v>1</v>
      </c>
    </row>
    <row r="14" spans="1:3" x14ac:dyDescent="0.35">
      <c r="A14">
        <f t="shared" si="0"/>
        <v>747</v>
      </c>
      <c r="B14" t="s">
        <v>492</v>
      </c>
      <c r="C14" s="41">
        <v>1</v>
      </c>
    </row>
    <row r="15" spans="1:3" x14ac:dyDescent="0.35">
      <c r="A15">
        <f t="shared" si="0"/>
        <v>756</v>
      </c>
      <c r="B15" t="s">
        <v>493</v>
      </c>
      <c r="C15" s="41">
        <v>1</v>
      </c>
    </row>
    <row r="16" spans="1:3" x14ac:dyDescent="0.35">
      <c r="A16">
        <f t="shared" si="0"/>
        <v>1364</v>
      </c>
      <c r="B16" t="s">
        <v>179</v>
      </c>
      <c r="C16" s="41">
        <v>1</v>
      </c>
    </row>
    <row r="17" spans="1:3" x14ac:dyDescent="0.35">
      <c r="A17">
        <f t="shared" si="0"/>
        <v>567</v>
      </c>
      <c r="B17" t="s">
        <v>494</v>
      </c>
      <c r="C17" s="41">
        <v>1</v>
      </c>
    </row>
    <row r="18" spans="1:3" x14ac:dyDescent="0.35">
      <c r="A18">
        <f t="shared" si="0"/>
        <v>415</v>
      </c>
      <c r="B18" t="s">
        <v>495</v>
      </c>
      <c r="C18" s="41">
        <v>1</v>
      </c>
    </row>
    <row r="19" spans="1:3" x14ac:dyDescent="0.35">
      <c r="A19">
        <f t="shared" si="0"/>
        <v>1375</v>
      </c>
      <c r="B19" t="s">
        <v>496</v>
      </c>
      <c r="C19" s="41">
        <v>1</v>
      </c>
    </row>
    <row r="20" spans="1:3" x14ac:dyDescent="0.35">
      <c r="A20">
        <f t="shared" si="0"/>
        <v>1129</v>
      </c>
      <c r="B20" t="s">
        <v>497</v>
      </c>
      <c r="C20" s="41">
        <v>2</v>
      </c>
    </row>
    <row r="21" spans="1:3" x14ac:dyDescent="0.35">
      <c r="A21">
        <f t="shared" si="0"/>
        <v>1339</v>
      </c>
      <c r="B21" t="s">
        <v>498</v>
      </c>
      <c r="C21" s="41">
        <v>2</v>
      </c>
    </row>
    <row r="22" spans="1:3" x14ac:dyDescent="0.35">
      <c r="A22">
        <f t="shared" si="0"/>
        <v>1237</v>
      </c>
      <c r="B22" t="s">
        <v>499</v>
      </c>
      <c r="C22" s="41">
        <v>2</v>
      </c>
    </row>
    <row r="23" spans="1:3" x14ac:dyDescent="0.35">
      <c r="A23">
        <f t="shared" si="0"/>
        <v>468</v>
      </c>
      <c r="B23" t="s">
        <v>500</v>
      </c>
      <c r="C23" s="41">
        <v>2</v>
      </c>
    </row>
    <row r="24" spans="1:3" x14ac:dyDescent="0.35">
      <c r="A24">
        <f t="shared" si="0"/>
        <v>1107</v>
      </c>
      <c r="B24" t="s">
        <v>501</v>
      </c>
      <c r="C24" s="41">
        <v>2</v>
      </c>
    </row>
    <row r="25" spans="1:3" x14ac:dyDescent="0.35">
      <c r="A25">
        <f t="shared" si="0"/>
        <v>846</v>
      </c>
      <c r="B25" t="s">
        <v>502</v>
      </c>
      <c r="C25" s="41">
        <v>2</v>
      </c>
    </row>
    <row r="26" spans="1:3" x14ac:dyDescent="0.35">
      <c r="A26">
        <f t="shared" si="0"/>
        <v>1152</v>
      </c>
      <c r="B26" t="s">
        <v>503</v>
      </c>
      <c r="C26" s="41">
        <v>2</v>
      </c>
    </row>
    <row r="27" spans="1:3" x14ac:dyDescent="0.35">
      <c r="A27">
        <f t="shared" si="0"/>
        <v>203</v>
      </c>
      <c r="B27" t="s">
        <v>504</v>
      </c>
      <c r="C27" s="41">
        <v>3</v>
      </c>
    </row>
    <row r="28" spans="1:3" x14ac:dyDescent="0.35">
      <c r="A28">
        <f t="shared" si="0"/>
        <v>1355</v>
      </c>
      <c r="B28" t="s">
        <v>505</v>
      </c>
      <c r="C28" s="41">
        <v>3</v>
      </c>
    </row>
    <row r="29" spans="1:3" x14ac:dyDescent="0.35">
      <c r="A29">
        <f t="shared" si="0"/>
        <v>704</v>
      </c>
      <c r="B29" t="s">
        <v>506</v>
      </c>
      <c r="C29" s="41">
        <v>3</v>
      </c>
    </row>
    <row r="30" spans="1:3" x14ac:dyDescent="0.35">
      <c r="A30">
        <f t="shared" si="0"/>
        <v>23</v>
      </c>
      <c r="B30" t="s">
        <v>507</v>
      </c>
      <c r="C30" s="41">
        <v>3</v>
      </c>
    </row>
    <row r="31" spans="1:3" x14ac:dyDescent="0.35">
      <c r="A31">
        <f t="shared" si="0"/>
        <v>1112</v>
      </c>
      <c r="B31" t="s">
        <v>508</v>
      </c>
      <c r="C31" s="41">
        <v>3</v>
      </c>
    </row>
    <row r="32" spans="1:3" x14ac:dyDescent="0.35">
      <c r="A32">
        <f t="shared" si="0"/>
        <v>1024</v>
      </c>
      <c r="B32" t="s">
        <v>509</v>
      </c>
      <c r="C32" s="41">
        <v>3</v>
      </c>
    </row>
    <row r="33" spans="1:3" x14ac:dyDescent="0.35">
      <c r="A33">
        <f t="shared" si="0"/>
        <v>532</v>
      </c>
      <c r="B33" t="s">
        <v>510</v>
      </c>
      <c r="C33" s="41">
        <v>3</v>
      </c>
    </row>
    <row r="34" spans="1:3" x14ac:dyDescent="0.35">
      <c r="A34">
        <f t="shared" si="0"/>
        <v>616</v>
      </c>
      <c r="B34" t="s">
        <v>511</v>
      </c>
      <c r="C34" s="41">
        <v>3</v>
      </c>
    </row>
    <row r="35" spans="1:3" x14ac:dyDescent="0.35">
      <c r="A35">
        <f t="shared" si="0"/>
        <v>1194</v>
      </c>
      <c r="B35" t="s">
        <v>512</v>
      </c>
      <c r="C35" s="41">
        <v>4</v>
      </c>
    </row>
    <row r="36" spans="1:3" x14ac:dyDescent="0.35">
      <c r="A36">
        <f t="shared" si="0"/>
        <v>1048</v>
      </c>
      <c r="B36" t="s">
        <v>513</v>
      </c>
      <c r="C36" s="41">
        <v>4</v>
      </c>
    </row>
    <row r="37" spans="1:3" x14ac:dyDescent="0.35">
      <c r="A37">
        <f t="shared" si="0"/>
        <v>1195</v>
      </c>
      <c r="B37" t="s">
        <v>514</v>
      </c>
      <c r="C37" s="41">
        <v>4</v>
      </c>
    </row>
    <row r="38" spans="1:3" x14ac:dyDescent="0.35">
      <c r="A38">
        <f t="shared" si="0"/>
        <v>1298</v>
      </c>
      <c r="B38" t="s">
        <v>515</v>
      </c>
      <c r="C38" s="41">
        <v>4</v>
      </c>
    </row>
    <row r="39" spans="1:3" x14ac:dyDescent="0.35">
      <c r="A39">
        <f t="shared" si="0"/>
        <v>1332</v>
      </c>
      <c r="B39" t="s">
        <v>516</v>
      </c>
      <c r="C39" s="41">
        <v>4</v>
      </c>
    </row>
    <row r="40" spans="1:3" x14ac:dyDescent="0.35">
      <c r="A40">
        <f t="shared" si="0"/>
        <v>1377</v>
      </c>
      <c r="B40" t="s">
        <v>517</v>
      </c>
      <c r="C40" s="41">
        <v>4</v>
      </c>
    </row>
    <row r="41" spans="1:3" x14ac:dyDescent="0.35">
      <c r="A41">
        <f t="shared" si="0"/>
        <v>1193</v>
      </c>
      <c r="B41" t="s">
        <v>518</v>
      </c>
      <c r="C41" s="41">
        <v>4</v>
      </c>
    </row>
    <row r="42" spans="1:3" x14ac:dyDescent="0.35">
      <c r="A42">
        <f t="shared" si="0"/>
        <v>1244</v>
      </c>
      <c r="B42" t="s">
        <v>519</v>
      </c>
      <c r="C42" s="41">
        <v>4</v>
      </c>
    </row>
    <row r="43" spans="1:3" x14ac:dyDescent="0.35">
      <c r="A43">
        <f t="shared" si="0"/>
        <v>38</v>
      </c>
      <c r="B43" t="s">
        <v>520</v>
      </c>
      <c r="C43" s="41" t="s">
        <v>481</v>
      </c>
    </row>
    <row r="44" spans="1:3" x14ac:dyDescent="0.35">
      <c r="A44">
        <f t="shared" si="0"/>
        <v>967</v>
      </c>
      <c r="B44" t="s">
        <v>521</v>
      </c>
      <c r="C44" s="41">
        <v>1</v>
      </c>
    </row>
    <row r="45" spans="1:3" x14ac:dyDescent="0.35">
      <c r="A45">
        <f t="shared" si="0"/>
        <v>1242</v>
      </c>
      <c r="B45" t="s">
        <v>522</v>
      </c>
      <c r="C45" s="41">
        <v>2</v>
      </c>
    </row>
    <row r="46" spans="1:3" x14ac:dyDescent="0.35">
      <c r="A46">
        <f t="shared" si="0"/>
        <v>1135</v>
      </c>
      <c r="B46" t="s">
        <v>523</v>
      </c>
      <c r="C46" s="41">
        <v>2</v>
      </c>
    </row>
    <row r="47" spans="1:3" x14ac:dyDescent="0.35">
      <c r="A47">
        <f t="shared" si="0"/>
        <v>715</v>
      </c>
      <c r="B47" t="s">
        <v>524</v>
      </c>
      <c r="C47" s="41">
        <v>3</v>
      </c>
    </row>
    <row r="48" spans="1:3" x14ac:dyDescent="0.35">
      <c r="A48">
        <f t="shared" si="0"/>
        <v>1254</v>
      </c>
      <c r="B48" t="s">
        <v>525</v>
      </c>
      <c r="C48" s="41">
        <v>3</v>
      </c>
    </row>
    <row r="49" spans="1:3" x14ac:dyDescent="0.35">
      <c r="A49">
        <f t="shared" si="0"/>
        <v>1385</v>
      </c>
      <c r="B49" t="s">
        <v>180</v>
      </c>
      <c r="C49" s="41">
        <v>3</v>
      </c>
    </row>
    <row r="50" spans="1:3" x14ac:dyDescent="0.35">
      <c r="A50">
        <f t="shared" si="0"/>
        <v>7</v>
      </c>
      <c r="B50" t="s">
        <v>526</v>
      </c>
      <c r="C50" s="41">
        <v>4</v>
      </c>
    </row>
    <row r="51" spans="1:3" x14ac:dyDescent="0.35">
      <c r="A51" t="str">
        <f t="shared" si="0"/>
        <v/>
      </c>
    </row>
    <row r="52" spans="1:3" x14ac:dyDescent="0.35">
      <c r="A52" t="str">
        <f t="shared" si="0"/>
        <v/>
      </c>
    </row>
    <row r="53" spans="1:3" x14ac:dyDescent="0.35">
      <c r="A53" t="str">
        <f t="shared" si="0"/>
        <v/>
      </c>
    </row>
    <row r="54" spans="1:3" x14ac:dyDescent="0.35">
      <c r="A54" t="str">
        <f t="shared" si="0"/>
        <v/>
      </c>
    </row>
    <row r="55" spans="1:3" x14ac:dyDescent="0.35">
      <c r="A55" t="str">
        <f t="shared" si="0"/>
        <v/>
      </c>
    </row>
    <row r="56" spans="1:3" x14ac:dyDescent="0.35">
      <c r="A56" t="str">
        <f t="shared" si="0"/>
        <v/>
      </c>
    </row>
    <row r="57" spans="1:3" x14ac:dyDescent="0.35">
      <c r="A57" t="str">
        <f t="shared" si="0"/>
        <v/>
      </c>
    </row>
    <row r="58" spans="1:3" x14ac:dyDescent="0.35">
      <c r="A58" t="str">
        <f t="shared" si="0"/>
        <v/>
      </c>
    </row>
    <row r="59" spans="1:3" x14ac:dyDescent="0.35">
      <c r="A59" t="str">
        <f t="shared" si="0"/>
        <v/>
      </c>
    </row>
    <row r="60" spans="1:3" x14ac:dyDescent="0.35">
      <c r="A60" t="str">
        <f t="shared" si="0"/>
        <v/>
      </c>
    </row>
    <row r="61" spans="1:3" x14ac:dyDescent="0.35">
      <c r="A61" t="str">
        <f t="shared" si="0"/>
        <v/>
      </c>
    </row>
    <row r="62" spans="1:3" x14ac:dyDescent="0.35">
      <c r="A62" t="str">
        <f t="shared" si="0"/>
        <v/>
      </c>
    </row>
    <row r="63" spans="1:3" x14ac:dyDescent="0.35">
      <c r="A63" t="str">
        <f t="shared" si="0"/>
        <v/>
      </c>
    </row>
    <row r="64" spans="1:3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49C5-EC6B-455E-ADFB-2B41655B7F4A}">
  <dimension ref="A1:C101"/>
  <sheetViews>
    <sheetView workbookViewId="0">
      <selection activeCell="B9" sqref="B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 t="str">
        <f t="shared" ref="A2:A65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si="0"/>
        <v/>
      </c>
    </row>
    <row r="35" spans="1:1" x14ac:dyDescent="0.35">
      <c r="A35" t="str">
        <f t="shared" si="0"/>
        <v/>
      </c>
    </row>
    <row r="36" spans="1:1" x14ac:dyDescent="0.35">
      <c r="A36" t="str">
        <f t="shared" si="0"/>
        <v/>
      </c>
    </row>
    <row r="37" spans="1:1" x14ac:dyDescent="0.35">
      <c r="A37" t="str">
        <f t="shared" si="0"/>
        <v/>
      </c>
    </row>
    <row r="38" spans="1:1" x14ac:dyDescent="0.35">
      <c r="A38" t="str">
        <f t="shared" si="0"/>
        <v/>
      </c>
    </row>
    <row r="39" spans="1:1" x14ac:dyDescent="0.35">
      <c r="A39" t="str">
        <f t="shared" si="0"/>
        <v/>
      </c>
    </row>
    <row r="40" spans="1:1" x14ac:dyDescent="0.35">
      <c r="A40" t="str">
        <f t="shared" si="0"/>
        <v/>
      </c>
    </row>
    <row r="41" spans="1:1" x14ac:dyDescent="0.35">
      <c r="A41" t="str">
        <f t="shared" si="0"/>
        <v/>
      </c>
    </row>
    <row r="42" spans="1:1" x14ac:dyDescent="0.35">
      <c r="A42" t="str">
        <f t="shared" si="0"/>
        <v/>
      </c>
    </row>
    <row r="43" spans="1:1" x14ac:dyDescent="0.35">
      <c r="A43" t="str">
        <f t="shared" si="0"/>
        <v/>
      </c>
    </row>
    <row r="44" spans="1:1" x14ac:dyDescent="0.35">
      <c r="A44" t="str">
        <f t="shared" si="0"/>
        <v/>
      </c>
    </row>
    <row r="45" spans="1:1" x14ac:dyDescent="0.35">
      <c r="A45" t="str">
        <f t="shared" si="0"/>
        <v/>
      </c>
    </row>
    <row r="46" spans="1:1" x14ac:dyDescent="0.35">
      <c r="A46" t="str">
        <f t="shared" si="0"/>
        <v/>
      </c>
    </row>
    <row r="47" spans="1:1" x14ac:dyDescent="0.35">
      <c r="A47" t="str">
        <f t="shared" si="0"/>
        <v/>
      </c>
    </row>
    <row r="48" spans="1:1" x14ac:dyDescent="0.35">
      <c r="A48" t="str">
        <f t="shared" si="0"/>
        <v/>
      </c>
    </row>
    <row r="49" spans="1:1" x14ac:dyDescent="0.35">
      <c r="A49" t="str">
        <f t="shared" si="0"/>
        <v/>
      </c>
    </row>
    <row r="50" spans="1:1" x14ac:dyDescent="0.35">
      <c r="A50" t="str">
        <f t="shared" si="0"/>
        <v/>
      </c>
    </row>
    <row r="51" spans="1:1" x14ac:dyDescent="0.35">
      <c r="A51" t="str">
        <f t="shared" si="0"/>
        <v/>
      </c>
    </row>
    <row r="52" spans="1:1" x14ac:dyDescent="0.35">
      <c r="A52" t="str">
        <f t="shared" si="0"/>
        <v/>
      </c>
    </row>
    <row r="53" spans="1:1" x14ac:dyDescent="0.35">
      <c r="A53" t="str">
        <f t="shared" si="0"/>
        <v/>
      </c>
    </row>
    <row r="54" spans="1:1" x14ac:dyDescent="0.35">
      <c r="A54" t="str">
        <f t="shared" si="0"/>
        <v/>
      </c>
    </row>
    <row r="55" spans="1:1" x14ac:dyDescent="0.35">
      <c r="A55" t="str">
        <f t="shared" si="0"/>
        <v/>
      </c>
    </row>
    <row r="56" spans="1:1" x14ac:dyDescent="0.35">
      <c r="A56" t="str">
        <f t="shared" si="0"/>
        <v/>
      </c>
    </row>
    <row r="57" spans="1:1" x14ac:dyDescent="0.35">
      <c r="A57" t="str">
        <f t="shared" si="0"/>
        <v/>
      </c>
    </row>
    <row r="58" spans="1:1" x14ac:dyDescent="0.35">
      <c r="A58" t="str">
        <f t="shared" si="0"/>
        <v/>
      </c>
    </row>
    <row r="59" spans="1:1" x14ac:dyDescent="0.35">
      <c r="A59" t="str">
        <f t="shared" si="0"/>
        <v/>
      </c>
    </row>
    <row r="60" spans="1:1" x14ac:dyDescent="0.35">
      <c r="A60" t="str">
        <f t="shared" si="0"/>
        <v/>
      </c>
    </row>
    <row r="61" spans="1:1" x14ac:dyDescent="0.35">
      <c r="A61" t="str">
        <f t="shared" si="0"/>
        <v/>
      </c>
    </row>
    <row r="62" spans="1:1" x14ac:dyDescent="0.35">
      <c r="A62" t="str">
        <f t="shared" si="0"/>
        <v/>
      </c>
    </row>
    <row r="63" spans="1:1" x14ac:dyDescent="0.35">
      <c r="A63" t="str">
        <f t="shared" si="0"/>
        <v/>
      </c>
    </row>
    <row r="64" spans="1:1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J24" sqref="J24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113</v>
      </c>
      <c r="B1" t="s">
        <v>114</v>
      </c>
    </row>
    <row r="2" spans="1:4" ht="14.25" x14ac:dyDescent="0.45">
      <c r="A2" t="s">
        <v>115</v>
      </c>
      <c r="B2" t="s">
        <v>116</v>
      </c>
      <c r="C2" s="9" t="str">
        <f>_xlfn.CONCAT(A2," (",B2,")")</f>
        <v>Carl Dyson (Aerologic)</v>
      </c>
      <c r="D2" s="10"/>
    </row>
    <row r="3" spans="1:4" ht="14.25" x14ac:dyDescent="0.45">
      <c r="A3" t="s">
        <v>117</v>
      </c>
      <c r="B3" t="s">
        <v>118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119</v>
      </c>
      <c r="B4" t="s">
        <v>120</v>
      </c>
      <c r="C4" s="9" t="str">
        <f t="shared" si="0"/>
        <v>Jayne Mumford (Cov Tri)</v>
      </c>
      <c r="D4" s="10"/>
    </row>
    <row r="5" spans="1:4" ht="14.25" x14ac:dyDescent="0.45">
      <c r="A5" t="s">
        <v>121</v>
      </c>
      <c r="B5" t="s">
        <v>120</v>
      </c>
      <c r="C5" s="9" t="str">
        <f t="shared" si="0"/>
        <v>Simon Clarke (Cov Tri)</v>
      </c>
      <c r="D5" s="10"/>
    </row>
    <row r="6" spans="1:4" ht="14.25" x14ac:dyDescent="0.45">
      <c r="A6" t="s">
        <v>122</v>
      </c>
      <c r="B6" t="s">
        <v>123</v>
      </c>
      <c r="C6" s="9" t="str">
        <f t="shared" si="0"/>
        <v>Evan Collett Jnr (KCC)</v>
      </c>
      <c r="D6" s="10"/>
    </row>
    <row r="7" spans="1:4" ht="14.25" x14ac:dyDescent="0.45">
      <c r="A7" t="s">
        <v>124</v>
      </c>
      <c r="B7" t="s">
        <v>125</v>
      </c>
      <c r="C7" s="9" t="str">
        <f t="shared" si="0"/>
        <v>Harriet Hughes (LFCC)</v>
      </c>
      <c r="D7" s="10"/>
    </row>
    <row r="8" spans="1:4" ht="14.25" x14ac:dyDescent="0.45">
      <c r="A8" t="s">
        <v>126</v>
      </c>
      <c r="B8" t="s">
        <v>125</v>
      </c>
      <c r="C8" s="9" t="str">
        <f t="shared" si="0"/>
        <v>Mat Mabe (LFCC)</v>
      </c>
      <c r="D8" s="10"/>
    </row>
    <row r="9" spans="1:4" ht="14.25" x14ac:dyDescent="0.45">
      <c r="A9" t="s">
        <v>127</v>
      </c>
      <c r="B9" t="s">
        <v>125</v>
      </c>
      <c r="C9" s="9" t="str">
        <f t="shared" si="0"/>
        <v>Matt Finch (LFCC)</v>
      </c>
      <c r="D9" s="10"/>
    </row>
    <row r="10" spans="1:4" ht="14.25" x14ac:dyDescent="0.45">
      <c r="A10" t="s">
        <v>128</v>
      </c>
      <c r="B10" t="s">
        <v>125</v>
      </c>
      <c r="C10" s="9" t="str">
        <f t="shared" si="0"/>
        <v>Matthew Finch (LFCC)</v>
      </c>
      <c r="D10" s="10"/>
    </row>
    <row r="11" spans="1:4" ht="14.25" x14ac:dyDescent="0.45">
      <c r="A11" t="s">
        <v>128</v>
      </c>
      <c r="B11" t="s">
        <v>125</v>
      </c>
      <c r="C11" s="9" t="str">
        <f t="shared" si="0"/>
        <v>Matthew Finch (LFCC)</v>
      </c>
      <c r="D11" s="10"/>
    </row>
    <row r="12" spans="1:4" ht="14.25" x14ac:dyDescent="0.45">
      <c r="A12" t="s">
        <v>129</v>
      </c>
      <c r="B12" t="s">
        <v>125</v>
      </c>
      <c r="C12" s="9" t="str">
        <f t="shared" si="0"/>
        <v>Morris Mabe (LFCC)</v>
      </c>
      <c r="D12" s="10"/>
    </row>
    <row r="13" spans="1:4" ht="14.25" x14ac:dyDescent="0.45">
      <c r="A13" t="s">
        <v>130</v>
      </c>
      <c r="B13" t="s">
        <v>125</v>
      </c>
      <c r="C13" s="9" t="str">
        <f t="shared" si="0"/>
        <v>Sam Nettel (LFCC)</v>
      </c>
      <c r="D13" s="10"/>
    </row>
    <row r="14" spans="1:4" ht="14.25" x14ac:dyDescent="0.45">
      <c r="A14" t="s">
        <v>131</v>
      </c>
      <c r="B14" t="s">
        <v>125</v>
      </c>
      <c r="C14" s="9" t="str">
        <f t="shared" si="0"/>
        <v>Talles Medevives (LFCC)</v>
      </c>
      <c r="D14" s="10"/>
    </row>
    <row r="15" spans="1:4" ht="14.25" x14ac:dyDescent="0.45">
      <c r="A15" t="s">
        <v>132</v>
      </c>
      <c r="B15" t="s">
        <v>133</v>
      </c>
      <c r="C15" s="9" t="str">
        <f t="shared" si="0"/>
        <v>Dean Tacey (LRC)</v>
      </c>
      <c r="D15" s="10"/>
    </row>
    <row r="16" spans="1:4" ht="14.25" x14ac:dyDescent="0.45">
      <c r="A16" t="s">
        <v>134</v>
      </c>
      <c r="B16" t="s">
        <v>135</v>
      </c>
      <c r="C16" s="9" t="str">
        <f t="shared" si="0"/>
        <v>Joe Murray (M I Racing)</v>
      </c>
    </row>
    <row r="17" spans="1:3" ht="14.25" x14ac:dyDescent="0.45">
      <c r="A17" t="s">
        <v>136</v>
      </c>
      <c r="B17" t="s">
        <v>137</v>
      </c>
      <c r="C17" s="9" t="str">
        <f t="shared" si="0"/>
        <v>Chris Booth (MOCC)</v>
      </c>
    </row>
    <row r="18" spans="1:3" ht="14.25" x14ac:dyDescent="0.45">
      <c r="A18" t="s">
        <v>138</v>
      </c>
      <c r="B18" t="s">
        <v>137</v>
      </c>
      <c r="C18" s="9" t="str">
        <f t="shared" si="0"/>
        <v>David Cooper (MOCC)</v>
      </c>
    </row>
    <row r="19" spans="1:3" ht="14.25" x14ac:dyDescent="0.45">
      <c r="A19" t="s">
        <v>139</v>
      </c>
      <c r="B19" t="s">
        <v>137</v>
      </c>
      <c r="C19" s="9" t="str">
        <f t="shared" si="0"/>
        <v>Jamie Haines (MOCC)</v>
      </c>
    </row>
    <row r="20" spans="1:3" ht="14.25" x14ac:dyDescent="0.45">
      <c r="A20" t="s">
        <v>140</v>
      </c>
      <c r="B20" t="s">
        <v>137</v>
      </c>
      <c r="C20" s="9" t="str">
        <f t="shared" si="0"/>
        <v>Laura Ayers (MOCC)</v>
      </c>
    </row>
    <row r="21" spans="1:3" ht="14.25" x14ac:dyDescent="0.45">
      <c r="A21" t="s">
        <v>141</v>
      </c>
      <c r="B21" t="s">
        <v>142</v>
      </c>
      <c r="C21" s="9" t="str">
        <f t="shared" si="0"/>
        <v>Lewis Cooper (RAF Tri)</v>
      </c>
    </row>
    <row r="22" spans="1:3" ht="14.25" x14ac:dyDescent="0.45">
      <c r="A22" t="s">
        <v>143</v>
      </c>
      <c r="B22" t="s">
        <v>144</v>
      </c>
      <c r="C22" s="9" t="str">
        <f t="shared" si="0"/>
        <v>Alex Whitmore (RATAE)</v>
      </c>
    </row>
    <row r="23" spans="1:3" ht="14.25" x14ac:dyDescent="0.45">
      <c r="A23" t="s">
        <v>145</v>
      </c>
      <c r="B23" t="s">
        <v>144</v>
      </c>
      <c r="C23" s="9" t="str">
        <f t="shared" si="0"/>
        <v>Brian Lincoln (RATAE)</v>
      </c>
    </row>
    <row r="24" spans="1:3" ht="14.25" x14ac:dyDescent="0.45">
      <c r="A24" t="s">
        <v>146</v>
      </c>
      <c r="B24" t="s">
        <v>144</v>
      </c>
      <c r="C24" s="9" t="str">
        <f t="shared" si="0"/>
        <v>Chris Bonsor (RATAE)</v>
      </c>
    </row>
    <row r="25" spans="1:3" ht="14.25" x14ac:dyDescent="0.45">
      <c r="A25" t="s">
        <v>147</v>
      </c>
      <c r="B25" t="s">
        <v>144</v>
      </c>
      <c r="C25" s="9" t="str">
        <f t="shared" si="0"/>
        <v>Chris Spray (RATAE)</v>
      </c>
    </row>
    <row r="26" spans="1:3" ht="14.25" x14ac:dyDescent="0.45">
      <c r="A26" t="s">
        <v>148</v>
      </c>
      <c r="B26" t="s">
        <v>144</v>
      </c>
      <c r="C26" s="9" t="str">
        <f t="shared" si="0"/>
        <v>Ed Watson (RATAE)</v>
      </c>
    </row>
    <row r="27" spans="1:3" ht="14.25" x14ac:dyDescent="0.45">
      <c r="A27" t="s">
        <v>149</v>
      </c>
      <c r="B27" t="s">
        <v>144</v>
      </c>
      <c r="C27" s="9" t="str">
        <f t="shared" si="0"/>
        <v>Mark Marmoy (RATAE)</v>
      </c>
    </row>
    <row r="28" spans="1:3" ht="14.25" x14ac:dyDescent="0.45">
      <c r="A28" t="s">
        <v>150</v>
      </c>
      <c r="B28" t="s">
        <v>144</v>
      </c>
      <c r="C28" s="9" t="str">
        <f t="shared" si="0"/>
        <v>Mark Newton (RATAE)</v>
      </c>
    </row>
    <row r="29" spans="1:3" ht="14.25" x14ac:dyDescent="0.45">
      <c r="A29" t="s">
        <v>151</v>
      </c>
      <c r="B29" t="s">
        <v>144</v>
      </c>
      <c r="C29" s="9" t="str">
        <f t="shared" si="0"/>
        <v>Marshall Briggs (RATAE)</v>
      </c>
    </row>
    <row r="30" spans="1:3" ht="14.25" x14ac:dyDescent="0.45">
      <c r="A30" t="s">
        <v>152</v>
      </c>
      <c r="B30" t="s">
        <v>144</v>
      </c>
      <c r="C30" s="9" t="str">
        <f t="shared" si="0"/>
        <v>Paul Eden (RATAE)</v>
      </c>
    </row>
    <row r="31" spans="1:3" ht="14.25" x14ac:dyDescent="0.45">
      <c r="A31" t="s">
        <v>153</v>
      </c>
      <c r="B31" t="s">
        <v>144</v>
      </c>
      <c r="C31" s="9" t="str">
        <f t="shared" si="0"/>
        <v>Sadie Murphy (RATAE)</v>
      </c>
    </row>
    <row r="32" spans="1:3" ht="14.25" x14ac:dyDescent="0.45">
      <c r="A32" t="s">
        <v>154</v>
      </c>
      <c r="B32" t="s">
        <v>144</v>
      </c>
      <c r="C32" s="9" t="str">
        <f t="shared" si="0"/>
        <v>Steve Pearce (RATAE)</v>
      </c>
    </row>
    <row r="33" spans="1:3" ht="14.25" x14ac:dyDescent="0.45">
      <c r="A33" t="s">
        <v>155</v>
      </c>
      <c r="B33" t="s">
        <v>156</v>
      </c>
      <c r="C33" s="9" t="str">
        <f t="shared" si="0"/>
        <v>Adam Wells (RFW)</v>
      </c>
    </row>
    <row r="34" spans="1:3" ht="14.25" x14ac:dyDescent="0.45">
      <c r="A34" t="s">
        <v>157</v>
      </c>
      <c r="B34" t="s">
        <v>156</v>
      </c>
      <c r="C34" s="9" t="str">
        <f t="shared" si="0"/>
        <v>Alex Borrowman (RFW)</v>
      </c>
    </row>
    <row r="35" spans="1:3" ht="14.25" x14ac:dyDescent="0.45">
      <c r="A35" t="s">
        <v>158</v>
      </c>
      <c r="B35" t="s">
        <v>156</v>
      </c>
      <c r="C35" s="9" t="str">
        <f t="shared" si="0"/>
        <v>Chris Fowler (RFW)</v>
      </c>
    </row>
    <row r="36" spans="1:3" ht="14.25" x14ac:dyDescent="0.45">
      <c r="A36" t="s">
        <v>159</v>
      </c>
      <c r="B36" t="s">
        <v>156</v>
      </c>
      <c r="C36" s="9" t="str">
        <f t="shared" si="0"/>
        <v>Ethan Mitchell-Clarke (RFW)</v>
      </c>
    </row>
    <row r="37" spans="1:3" ht="14.25" x14ac:dyDescent="0.45">
      <c r="A37" t="s">
        <v>160</v>
      </c>
      <c r="B37" t="s">
        <v>156</v>
      </c>
      <c r="C37" s="9" t="str">
        <f t="shared" si="0"/>
        <v>Lynne Scofield (RFW)</v>
      </c>
    </row>
    <row r="38" spans="1:3" ht="14.25" x14ac:dyDescent="0.45">
      <c r="A38" t="s">
        <v>161</v>
      </c>
      <c r="B38" t="s">
        <v>156</v>
      </c>
      <c r="C38" s="9" t="str">
        <f t="shared" si="0"/>
        <v>Michael Carter (RFW)</v>
      </c>
    </row>
    <row r="39" spans="1:3" ht="14.25" x14ac:dyDescent="0.45">
      <c r="A39" t="s">
        <v>152</v>
      </c>
      <c r="B39" t="s">
        <v>156</v>
      </c>
      <c r="C39" s="9" t="str">
        <f t="shared" si="0"/>
        <v>Paul Eden (RFW)</v>
      </c>
    </row>
    <row r="40" spans="1:3" ht="14.25" x14ac:dyDescent="0.45">
      <c r="A40" t="s">
        <v>162</v>
      </c>
      <c r="B40" t="s">
        <v>156</v>
      </c>
      <c r="C40" s="9" t="str">
        <f t="shared" si="0"/>
        <v>Phil Wilkinson (RFW)</v>
      </c>
    </row>
    <row r="41" spans="1:3" ht="14.25" x14ac:dyDescent="0.45">
      <c r="A41" t="s">
        <v>163</v>
      </c>
      <c r="B41" t="s">
        <v>156</v>
      </c>
      <c r="C41" s="9" t="str">
        <f t="shared" si="0"/>
        <v>Philip Wilkinson (RFW)</v>
      </c>
    </row>
    <row r="42" spans="1:3" ht="14.25" x14ac:dyDescent="0.45">
      <c r="A42" t="s">
        <v>164</v>
      </c>
      <c r="B42" t="s">
        <v>165</v>
      </c>
      <c r="C42" s="9" t="str">
        <f t="shared" si="0"/>
        <v>Adrian James (Rugby RCC)</v>
      </c>
    </row>
    <row r="43" spans="1:3" ht="14.25" x14ac:dyDescent="0.45">
      <c r="A43" t="s">
        <v>166</v>
      </c>
      <c r="B43" t="s">
        <v>167</v>
      </c>
      <c r="C43" s="9" t="str">
        <f t="shared" si="0"/>
        <v>Carl Shaw (Speedhub)</v>
      </c>
    </row>
    <row r="44" spans="1:3" ht="14.25" x14ac:dyDescent="0.45">
      <c r="A44" t="s">
        <v>168</v>
      </c>
      <c r="B44" t="s">
        <v>169</v>
      </c>
      <c r="C44" s="9" t="str">
        <f t="shared" si="0"/>
        <v>Oliver Searle (St Ives CC)</v>
      </c>
    </row>
    <row r="45" spans="1:3" ht="14.25" x14ac:dyDescent="0.45">
      <c r="A45" t="s">
        <v>170</v>
      </c>
      <c r="B45" t="s">
        <v>171</v>
      </c>
      <c r="C45" s="9" t="str">
        <f t="shared" si="0"/>
        <v>Colin Parkinson (SWRC)</v>
      </c>
    </row>
    <row r="46" spans="1:3" ht="14.25" x14ac:dyDescent="0.45">
      <c r="A46" t="s">
        <v>172</v>
      </c>
      <c r="C46" s="9" t="str">
        <f t="shared" si="0"/>
        <v>Derek Lawlor ()</v>
      </c>
    </row>
    <row r="47" spans="1:3" ht="14.25" x14ac:dyDescent="0.45">
      <c r="A47" t="s">
        <v>173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abSelected="1" zoomScaleNormal="100" workbookViewId="0">
      <selection activeCell="D24" sqref="D24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478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A2" sqref="A2:F101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8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2" sqref="A2:F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6"/>
      <c r="B2" s="36"/>
      <c r="C2" s="37"/>
      <c r="D2" s="38"/>
      <c r="E2" s="37"/>
      <c r="F2" s="37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6"/>
      <c r="B3" s="36"/>
      <c r="C3" s="37"/>
      <c r="D3" s="38"/>
      <c r="E3" s="37"/>
      <c r="F3" s="37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6"/>
      <c r="B4" s="36"/>
      <c r="C4" s="37"/>
      <c r="D4" s="38"/>
      <c r="E4" s="37"/>
      <c r="F4" s="37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6"/>
      <c r="B5" s="36"/>
      <c r="C5" s="37"/>
      <c r="D5" s="38"/>
      <c r="E5" s="37"/>
      <c r="F5" s="37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6"/>
      <c r="B6" s="36"/>
      <c r="C6" s="37"/>
      <c r="D6" s="38"/>
      <c r="E6" s="37"/>
      <c r="F6" s="37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6"/>
      <c r="B7" s="36"/>
      <c r="C7" s="37"/>
      <c r="D7" s="38"/>
      <c r="E7" s="37"/>
      <c r="F7" s="37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6"/>
      <c r="B8" s="36"/>
      <c r="C8" s="37"/>
      <c r="D8" s="38"/>
      <c r="E8" s="37"/>
      <c r="F8" s="37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6"/>
      <c r="B9" s="36"/>
      <c r="C9" s="37"/>
      <c r="D9" s="38"/>
      <c r="E9" s="37"/>
      <c r="F9" s="37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6"/>
      <c r="B10" s="36"/>
      <c r="C10" s="37"/>
      <c r="D10" s="38"/>
      <c r="E10" s="37"/>
      <c r="F10" s="37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6"/>
      <c r="B11" s="36"/>
      <c r="C11" s="37"/>
      <c r="D11" s="38"/>
      <c r="E11" s="37"/>
      <c r="F11" s="37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6"/>
      <c r="B12" s="36"/>
      <c r="C12" s="37"/>
      <c r="D12" s="38"/>
      <c r="E12" s="37"/>
      <c r="F12" s="37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6"/>
      <c r="B13" s="36"/>
      <c r="C13" s="37"/>
      <c r="D13" s="38"/>
      <c r="E13" s="37"/>
      <c r="F13" s="37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6"/>
      <c r="B14" s="36"/>
      <c r="C14" s="37"/>
      <c r="D14" s="38"/>
      <c r="E14" s="37"/>
      <c r="F14" s="37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6"/>
      <c r="B15" s="36"/>
      <c r="C15" s="37"/>
      <c r="D15" s="38"/>
      <c r="E15" s="37"/>
      <c r="F15" s="37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6"/>
      <c r="B16" s="36"/>
      <c r="C16" s="37"/>
      <c r="D16" s="38"/>
      <c r="E16" s="37"/>
      <c r="F16" s="37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6"/>
      <c r="B17" s="36"/>
      <c r="C17" s="37"/>
      <c r="D17" s="38"/>
      <c r="E17" s="37"/>
      <c r="F17" s="37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6"/>
      <c r="B18" s="36"/>
      <c r="C18" s="37"/>
      <c r="D18" s="38"/>
      <c r="E18" s="37"/>
      <c r="F18" s="37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6"/>
      <c r="B19" s="36"/>
      <c r="C19" s="37"/>
      <c r="D19" s="38"/>
      <c r="E19" s="37"/>
      <c r="F19" s="37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6"/>
      <c r="B20" s="36"/>
      <c r="C20" s="37"/>
      <c r="D20" s="38"/>
      <c r="E20" s="37"/>
      <c r="F20" s="37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6"/>
      <c r="B21" s="36"/>
      <c r="C21" s="37"/>
      <c r="D21" s="38"/>
      <c r="E21" s="37"/>
      <c r="F21" s="37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6"/>
      <c r="B22" s="36"/>
      <c r="C22" s="37"/>
      <c r="D22" s="38"/>
      <c r="E22" s="37"/>
      <c r="F22" s="37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6"/>
      <c r="B23" s="36"/>
      <c r="C23" s="37"/>
      <c r="D23" s="38"/>
      <c r="E23" s="37"/>
      <c r="F23" s="37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6"/>
      <c r="B24" s="36"/>
      <c r="C24" s="37"/>
      <c r="D24" s="38"/>
      <c r="E24" s="37"/>
      <c r="F24" s="37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6"/>
      <c r="B25" s="36"/>
      <c r="C25" s="37"/>
      <c r="D25" s="38"/>
      <c r="E25" s="37"/>
      <c r="F25" s="37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6"/>
      <c r="B26" s="36"/>
      <c r="C26" s="37"/>
      <c r="D26" s="38"/>
      <c r="E26" s="37"/>
      <c r="F26" s="37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6"/>
      <c r="B27" s="36"/>
      <c r="C27" s="37"/>
      <c r="D27" s="38"/>
      <c r="E27" s="37"/>
      <c r="F27" s="37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6"/>
      <c r="B28" s="36"/>
      <c r="C28" s="37"/>
      <c r="D28" s="38"/>
      <c r="E28" s="37"/>
      <c r="F28" s="37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6"/>
      <c r="B29" s="36"/>
      <c r="C29" s="37"/>
      <c r="D29" s="38"/>
      <c r="E29" s="37"/>
      <c r="F29" s="37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6"/>
      <c r="B30" s="36"/>
      <c r="C30" s="37"/>
      <c r="D30" s="38"/>
      <c r="E30" s="37"/>
      <c r="F30" s="37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6"/>
      <c r="B31" s="36"/>
      <c r="C31" s="37"/>
      <c r="D31" s="38"/>
      <c r="E31" s="37"/>
      <c r="F31" s="37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6"/>
      <c r="B32" s="36"/>
      <c r="C32" s="37"/>
      <c r="D32" s="38"/>
      <c r="E32" s="37"/>
      <c r="F32" s="37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6"/>
      <c r="B33" s="36"/>
      <c r="C33" s="37"/>
      <c r="D33" s="38"/>
      <c r="E33" s="37"/>
      <c r="F33" s="37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6"/>
      <c r="B34" s="36"/>
      <c r="C34" s="37"/>
      <c r="D34" s="38"/>
      <c r="E34" s="37"/>
      <c r="F34" s="37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6"/>
      <c r="B35" s="36"/>
      <c r="C35" s="37"/>
      <c r="D35" s="38"/>
      <c r="E35" s="37"/>
      <c r="F35" s="37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6"/>
      <c r="B36" s="36"/>
      <c r="C36" s="37"/>
      <c r="D36" s="38"/>
      <c r="E36" s="37"/>
      <c r="F36" s="37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6"/>
      <c r="B37" s="36"/>
      <c r="C37" s="37"/>
      <c r="D37" s="38"/>
      <c r="E37" s="37"/>
      <c r="F37" s="37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6"/>
      <c r="B38" s="36"/>
      <c r="C38" s="37"/>
      <c r="D38" s="38"/>
      <c r="E38" s="37"/>
      <c r="F38" s="37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6"/>
      <c r="B39" s="36"/>
      <c r="C39" s="37"/>
      <c r="D39" s="38"/>
      <c r="E39" s="37"/>
      <c r="F39" s="37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6"/>
      <c r="B40" s="36"/>
      <c r="C40" s="37"/>
      <c r="D40" s="38"/>
      <c r="E40" s="37"/>
      <c r="F40" s="37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6"/>
      <c r="B41" s="36"/>
      <c r="C41" s="37"/>
      <c r="D41" s="38"/>
      <c r="E41" s="37"/>
      <c r="F41" s="37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6"/>
      <c r="B42" s="36"/>
      <c r="C42" s="37"/>
      <c r="D42" s="38"/>
      <c r="E42" s="37"/>
      <c r="F42" s="37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6"/>
      <c r="B43" s="36"/>
      <c r="C43" s="37"/>
      <c r="D43" s="38"/>
      <c r="E43" s="37"/>
      <c r="F43" s="37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6"/>
      <c r="B44" s="36"/>
      <c r="C44" s="37"/>
      <c r="D44" s="38"/>
      <c r="E44" s="37"/>
      <c r="F44" s="37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Revisions</vt:lpstr>
      <vt:lpstr>Competitors</vt:lpstr>
      <vt:lpstr>NameLookup</vt:lpstr>
      <vt:lpstr>Calendar (2)</vt:lpstr>
      <vt:lpstr>Calendar</vt:lpstr>
      <vt:lpstr>Leagues (2)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'Calendar (2)'!Calendar</vt:lpstr>
      <vt:lpstr>'Calendar (2)'!CalendarEventNumbers</vt:lpstr>
      <vt:lpstr>ClubNames</vt:lpstr>
      <vt:lpstr>ClubNumbers</vt:lpstr>
      <vt:lpstr>MemberData</vt:lpstr>
      <vt:lpstr>'Calendar (2)'!NonTenEvents</vt:lpstr>
      <vt:lpstr>Number2Name</vt:lpstr>
      <vt:lpstr>RoundRobinNameToClub</vt:lpstr>
      <vt:lpstr>RoundRobinNameToClubRange</vt:lpstr>
      <vt:lpstr>'Calendar (2)'!TenMileEvents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2025-12-16T17:16:29Z</dcterms:modified>
</cp:coreProperties>
</file>